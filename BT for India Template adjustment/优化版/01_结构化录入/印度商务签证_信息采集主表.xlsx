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ijiajun/Documents/GitHub/python-document/Template adjustment/优化版/01_结构化录入/"/>
    </mc:Choice>
  </mc:AlternateContent>
  <xr:revisionPtr revIDLastSave="0" documentId="13_ncr:1_{C48E13DC-153A-AC4E-A279-6373A9DBC086}" xr6:coauthVersionLast="47" xr6:coauthVersionMax="47" xr10:uidLastSave="{00000000-0000-0000-0000-000000000000}"/>
  <bookViews>
    <workbookView xWindow="0" yWindow="660" windowWidth="29840" windowHeight="17240" activeTab="2" xr2:uid="{00000000-000D-0000-FFFF-FFFF00000000}"/>
  </bookViews>
  <sheets>
    <sheet name="00_使用说明" sheetId="1" r:id="rId1"/>
    <sheet name="01_申请人" sheetId="2" r:id="rId2"/>
    <sheet name="02_中方公司" sheetId="3" r:id="rId3"/>
    <sheet name="03_印度公司" sheetId="4" r:id="rId4"/>
    <sheet name="04_行程" sheetId="5" r:id="rId5"/>
    <sheet name="05_教育经历" sheetId="6" r:id="rId6"/>
    <sheet name="06_工作经历" sheetId="7" r:id="rId7"/>
    <sheet name="07_Proforma补充" sheetId="8" r:id="rId8"/>
    <sheet name="08_材料清单" sheetId="9" r:id="rId9"/>
    <sheet name="09_一致性检查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0" l="1"/>
  <c r="C13" i="10"/>
  <c r="C12" i="10"/>
  <c r="C11" i="10"/>
  <c r="C10" i="10"/>
  <c r="C9" i="10"/>
  <c r="C8" i="10"/>
  <c r="C7" i="10"/>
  <c r="C6" i="10"/>
  <c r="C5" i="10"/>
</calcChain>
</file>

<file path=xl/sharedStrings.xml><?xml version="1.0" encoding="utf-8"?>
<sst xmlns="http://schemas.openxmlformats.org/spreadsheetml/2006/main" count="417" uniqueCount="337">
  <si>
    <t>印度商务签证材料 - 结构化录入工作簿</t>
  </si>
  <si>
    <t>只在黄色单元格填写；其他页和最终文档应从这里生成。日期统一使用 yyyy-mm-dd。</t>
  </si>
  <si>
    <t>步骤</t>
  </si>
  <si>
    <t>操作</t>
  </si>
  <si>
    <t>目的</t>
  </si>
  <si>
    <t>注意</t>
  </si>
  <si>
    <t>1</t>
  </si>
  <si>
    <t>依次填写 01-07 页黄色单元格</t>
  </si>
  <si>
    <t>建立唯一数据源</t>
  </si>
  <si>
    <t>不知道的内容先留空，不要猜</t>
  </si>
  <si>
    <t>2</t>
  </si>
  <si>
    <t>在 08_材料清单 更新准备状态</t>
  </si>
  <si>
    <t>跟踪原件、签字、盖章和复印件</t>
  </si>
  <si>
    <t>官方要求与 agency 补充要求已区分</t>
  </si>
  <si>
    <t>3</t>
  </si>
  <si>
    <t>查看 09_一致性检查</t>
  </si>
  <si>
    <t>发现漏填和矛盾</t>
  </si>
  <si>
    <t>红色/未完成项必须处理</t>
  </si>
  <si>
    <t>4</t>
  </si>
  <si>
    <t>运行“生成签证文档.command”</t>
  </si>
  <si>
    <t>生成派遣函、邀请函、行程单、简历和便签</t>
  </si>
  <si>
    <t>正式提交前由 agency/公司复核</t>
  </si>
  <si>
    <t>5</t>
  </si>
  <si>
    <t>将生成的 Word 转 PDF 或打印</t>
  </si>
  <si>
    <t>锁定最终版式</t>
  </si>
  <si>
    <t>签字和盖章后再扫描留档</t>
  </si>
  <si>
    <t>颜色</t>
  </si>
  <si>
    <t>黄色=填写；绿色=自动/已完成；灰色=说明</t>
  </si>
  <si>
    <t>降低误编辑风险</t>
  </si>
  <si>
    <t>请勿改变字段 ID</t>
  </si>
  <si>
    <t>官方来源</t>
  </si>
  <si>
    <t>https://www.eoibeijing.gov.in/page/business-visa-sports-visa/</t>
  </si>
  <si>
    <t>印度驻华使馆商务签页面</t>
  </si>
  <si>
    <t>页面更新可能改变要求</t>
  </si>
  <si>
    <t>01 申请人信息</t>
  </si>
  <si>
    <t>姓名、证件号和日期将复用于派遣函、邀请函、简历、便签和 Proforma。</t>
  </si>
  <si>
    <t>字段 ID</t>
  </si>
  <si>
    <t>字段 / Field</t>
  </si>
  <si>
    <t>填写内容（黄色）</t>
  </si>
  <si>
    <t>说明 / 要求</t>
  </si>
  <si>
    <t>applicant_name</t>
  </si>
  <si>
    <t>英文姓名（与护照一致）</t>
  </si>
  <si>
    <t>必填；注意姓/名顺序</t>
  </si>
  <si>
    <t>gender</t>
  </si>
  <si>
    <t>性别</t>
  </si>
  <si>
    <t>Male / Female</t>
  </si>
  <si>
    <t>dob</t>
  </si>
  <si>
    <t>出生日期</t>
  </si>
  <si>
    <t>yyyy-mm-dd</t>
  </si>
  <si>
    <t>passport_no</t>
  </si>
  <si>
    <t>护照号码</t>
  </si>
  <si>
    <t>必填</t>
  </si>
  <si>
    <t>passport_issue_date</t>
  </si>
  <si>
    <t>护照签发日期</t>
  </si>
  <si>
    <t>passport_expiry_date</t>
  </si>
  <si>
    <t>护照有效期至</t>
  </si>
  <si>
    <t>离计划入境日不少于6个月</t>
  </si>
  <si>
    <t>national_id</t>
  </si>
  <si>
    <t>身份证号码</t>
  </si>
  <si>
    <t>派遣函可能需要</t>
  </si>
  <si>
    <t>mobile</t>
  </si>
  <si>
    <t>手机</t>
  </si>
  <si>
    <t>含国家代码</t>
  </si>
  <si>
    <t>email</t>
  </si>
  <si>
    <t>个人邮箱</t>
  </si>
  <si>
    <t>常用邮箱</t>
  </si>
  <si>
    <t>home_address</t>
  </si>
  <si>
    <t>住址（英文）</t>
  </si>
  <si>
    <t>与申请表一致</t>
  </si>
  <si>
    <t>job_title</t>
  </si>
  <si>
    <t>英文职位</t>
  </si>
  <si>
    <t>所有材料一致</t>
  </si>
  <si>
    <t>department</t>
  </si>
  <si>
    <t>英文部门</t>
  </si>
  <si>
    <t>employment_start</t>
  </si>
  <si>
    <t>入职日期</t>
  </si>
  <si>
    <t>annual_salary_cny</t>
  </si>
  <si>
    <t>税前年薪（CNY）</t>
  </si>
  <si>
    <t>数字</t>
  </si>
  <si>
    <t>visa_entries</t>
  </si>
  <si>
    <t>申请入境次数</t>
  </si>
  <si>
    <t>Single</t>
  </si>
  <si>
    <t>Single / Double / Multiple</t>
  </si>
  <si>
    <t>trip_start</t>
  </si>
  <si>
    <t>计划入境日期</t>
  </si>
  <si>
    <t>trip_end</t>
  </si>
  <si>
    <t>计划离境日期</t>
  </si>
  <si>
    <t>business_purpose</t>
  </si>
  <si>
    <t>商务访问目的（英文）</t>
  </si>
  <si>
    <t>具体到会议/讨论/培训，不写 work</t>
  </si>
  <si>
    <t>cost_bearer</t>
  </si>
  <si>
    <t>费用承担方</t>
  </si>
  <si>
    <t>Chinese employer</t>
  </si>
  <si>
    <t>与邀请函和派遣函一致</t>
  </si>
  <si>
    <t>02 中方公司与签字人</t>
  </si>
  <si>
    <t>用于派遣函、Proforma 和信息便签。</t>
  </si>
  <si>
    <t>cn_company_name</t>
  </si>
  <si>
    <t>公司英文全称</t>
  </si>
  <si>
    <t>Audi China Enterprise Management Co., Ltd.</t>
  </si>
  <si>
    <t>必须与营业执照译文一致</t>
  </si>
  <si>
    <t>cn_company_address</t>
  </si>
  <si>
    <t>英文地址</t>
  </si>
  <si>
    <t>cn_company_phone</t>
  </si>
  <si>
    <t>公司电话</t>
  </si>
  <si>
    <t>固定电话优先</t>
  </si>
  <si>
    <t>cn_company_fax</t>
  </si>
  <si>
    <t>传真</t>
  </si>
  <si>
    <t>N/A</t>
  </si>
  <si>
    <t>无则填 N/A</t>
  </si>
  <si>
    <t>cn_company_email</t>
  </si>
  <si>
    <t>公司公共邮箱</t>
  </si>
  <si>
    <t>可核验</t>
  </si>
  <si>
    <t>establishment_year</t>
  </si>
  <si>
    <t>成立年份</t>
  </si>
  <si>
    <t>YYYY</t>
  </si>
  <si>
    <t>ownership_type</t>
  </si>
  <si>
    <t>所有制</t>
  </si>
  <si>
    <t>Private Enterprise</t>
  </si>
  <si>
    <t>Private / State Owned / Joint Venture</t>
  </si>
  <si>
    <t>listed_status</t>
  </si>
  <si>
    <t>上市状态</t>
  </si>
  <si>
    <t>Listed / Non-Listed</t>
  </si>
  <si>
    <t>stock_exchange</t>
  </si>
  <si>
    <t>交易所</t>
  </si>
  <si>
    <t>不适用填 N/A</t>
  </si>
  <si>
    <t>business_sector</t>
  </si>
  <si>
    <t>业务领域</t>
  </si>
  <si>
    <t>英文</t>
  </si>
  <si>
    <t>company_brief</t>
  </si>
  <si>
    <t>公司简介（英文）</t>
  </si>
  <si>
    <t>2-4句</t>
  </si>
  <si>
    <t>india_presence</t>
  </si>
  <si>
    <t>在印度的实体/投资情况</t>
  </si>
  <si>
    <t>无则 N/A</t>
  </si>
  <si>
    <t>turnover_y1</t>
  </si>
  <si>
    <t>最近第1年营业额</t>
  </si>
  <si>
    <t>注明年份和币种</t>
  </si>
  <si>
    <t>turnover_y2</t>
  </si>
  <si>
    <t>最近第2年营业额</t>
  </si>
  <si>
    <t>turnover_y3</t>
  </si>
  <si>
    <t>最近第3年营业额</t>
  </si>
  <si>
    <t>signatory_name</t>
  </si>
  <si>
    <t>授权签字人英文姓名</t>
  </si>
  <si>
    <t>拼音全名</t>
  </si>
  <si>
    <t>signatory_title</t>
  </si>
  <si>
    <t>授权签字人职位</t>
  </si>
  <si>
    <t>signatory_department</t>
  </si>
  <si>
    <t>授权签字人部门</t>
  </si>
  <si>
    <t>signatory_mobile</t>
  </si>
  <si>
    <t>授权签字人手机</t>
  </si>
  <si>
    <t>可能被核验</t>
  </si>
  <si>
    <t>signatory_phone</t>
  </si>
  <si>
    <t>授权签字人座机</t>
  </si>
  <si>
    <t>signatory_email</t>
  </si>
  <si>
    <t>授权签字人邮箱</t>
  </si>
  <si>
    <t>公司域名邮箱</t>
  </si>
  <si>
    <t>dispatch_date</t>
  </si>
  <si>
    <t>派遣函日期</t>
  </si>
  <si>
    <t>03 印度公司与邀请人</t>
  </si>
  <si>
    <t>用于邀请函、行程单、便签和 Proforma。</t>
  </si>
  <si>
    <t>in_company_name</t>
  </si>
  <si>
    <t>印度公司法定英文名称</t>
  </si>
  <si>
    <t>与注册证明/PAN一致</t>
  </si>
  <si>
    <t>in_company_address</t>
  </si>
  <si>
    <t>注册地址</t>
  </si>
  <si>
    <t>完整英文地址</t>
  </si>
  <si>
    <t>in_company_phone</t>
  </si>
  <si>
    <t>含区号</t>
  </si>
  <si>
    <t>in_company_email</t>
  </si>
  <si>
    <t>公司邮箱</t>
  </si>
  <si>
    <t>公司域名优先</t>
  </si>
  <si>
    <t>in_establishment_year</t>
  </si>
  <si>
    <t>in_ownership_type</t>
  </si>
  <si>
    <t>foreign_ownership</t>
  </si>
  <si>
    <t>是否有外资</t>
  </si>
  <si>
    <t>Y / N</t>
  </si>
  <si>
    <t>beneficial_owner</t>
  </si>
  <si>
    <t>受益所有人国籍及比例</t>
  </si>
  <si>
    <t>inviter_name</t>
  </si>
  <si>
    <t>邀请人姓名</t>
  </si>
  <si>
    <t>inviter_title</t>
  </si>
  <si>
    <t>邀请人职位</t>
  </si>
  <si>
    <t>inviter_department</t>
  </si>
  <si>
    <t>邀请人部门</t>
  </si>
  <si>
    <t>inviter_mobile</t>
  </si>
  <si>
    <t>邀请人电话</t>
  </si>
  <si>
    <t>inviter_email</t>
  </si>
  <si>
    <t>邀请人邮箱</t>
  </si>
  <si>
    <t>invitation_date</t>
  </si>
  <si>
    <t>邀请函日期</t>
  </si>
  <si>
    <t>relationship</t>
  </si>
  <si>
    <t>双方业务关系</t>
  </si>
  <si>
    <t>business partner</t>
  </si>
  <si>
    <t>避免仅写 partner</t>
  </si>
  <si>
    <t>registration_doc</t>
  </si>
  <si>
    <t>注册证明类型/编号</t>
  </si>
  <si>
    <t>Certificate of Incorporation 或 PAN</t>
  </si>
  <si>
    <t>04 印度行程</t>
  </si>
  <si>
    <t>按天或连续日期段填写；城市、拜访公司和活动必须与邀请函及申请表一致。</t>
  </si>
  <si>
    <t>开始日期</t>
  </si>
  <si>
    <t>结束日期</t>
  </si>
  <si>
    <t>城市</t>
  </si>
  <si>
    <t>拜访公司/地点</t>
  </si>
  <si>
    <t>商务活动（英文）</t>
  </si>
  <si>
    <t>航班/酒店/交通</t>
  </si>
  <si>
    <t>05 教育经历</t>
  </si>
  <si>
    <t>从最近一段开始，覆盖全部经历；空档期需能够解释。</t>
  </si>
  <si>
    <t>开始年月</t>
  </si>
  <si>
    <t>结束年月</t>
  </si>
  <si>
    <t>学校英文名称</t>
  </si>
  <si>
    <t>专业/学历</t>
  </si>
  <si>
    <t>备注</t>
  </si>
  <si>
    <t>06 工作经历</t>
  </si>
  <si>
    <t>公司英文名称</t>
  </si>
  <si>
    <t>职位</t>
  </si>
  <si>
    <t>职责（英文）</t>
  </si>
  <si>
    <t>所有字段必填；不适用请明确写 N/A。</t>
  </si>
  <si>
    <t>skills_experience</t>
  </si>
  <si>
    <t>专业技能/相关经验</t>
  </si>
  <si>
    <t>英文具体描述</t>
  </si>
  <si>
    <t>years_experience</t>
  </si>
  <si>
    <t>相关领域工作年限</t>
  </si>
  <si>
    <t>数字+years</t>
  </si>
  <si>
    <t>worked_abroad</t>
  </si>
  <si>
    <t>是否曾在其他国家工作</t>
  </si>
  <si>
    <t>No</t>
  </si>
  <si>
    <t>Yes / No</t>
  </si>
  <si>
    <t>foreign_company</t>
  </si>
  <si>
    <t>境外公司名称</t>
  </si>
  <si>
    <t>No则N/A</t>
  </si>
  <si>
    <t>foreign_company_contact</t>
  </si>
  <si>
    <t>境外公司地址及联系方式</t>
  </si>
  <si>
    <t>foreign_project</t>
  </si>
  <si>
    <t>境外项目详情</t>
  </si>
  <si>
    <t>shareholders_5pct</t>
  </si>
  <si>
    <t>持股5%以上股东</t>
  </si>
  <si>
    <t>公司提供</t>
  </si>
  <si>
    <t>india_entity_name_address</t>
  </si>
  <si>
    <t>在印实体名称和地址</t>
  </si>
  <si>
    <t>无则N/A</t>
  </si>
  <si>
    <t>india_investment_nature</t>
  </si>
  <si>
    <t>在印投资性质</t>
  </si>
  <si>
    <t>08 材料清单与进度</t>
  </si>
  <si>
    <t>状态可选：未开始 / 准备中 / 已完成 / 不适用。官方核心要求与 agency 补充项分开标注。</t>
  </si>
  <si>
    <t>来源</t>
  </si>
  <si>
    <t>材料</t>
  </si>
  <si>
    <t>状态</t>
  </si>
  <si>
    <t>官方核心</t>
  </si>
  <si>
    <t>在线申请表打印并签名</t>
  </si>
  <si>
    <t>未开始</t>
  </si>
  <si>
    <t>所有栏目填写；照片51×51mm</t>
  </si>
  <si>
    <t>护照及复印件</t>
  </si>
  <si>
    <t>有效期至少6个月</t>
  </si>
  <si>
    <t>中方公司派遣函</t>
  </si>
  <si>
    <t>签字+公章</t>
  </si>
  <si>
    <t>营业执照及认证英文翻译/CCPIT证明</t>
  </si>
  <si>
    <t>按签证中心口径</t>
  </si>
  <si>
    <t>Business Visa Proforma</t>
  </si>
  <si>
    <t>授权人签字+指定位置盖章</t>
  </si>
  <si>
    <t>印度公司注册证明或PAN</t>
  </si>
  <si>
    <t>与邀请方一致</t>
  </si>
  <si>
    <t>印度行程单</t>
  </si>
  <si>
    <t>申请人签字</t>
  </si>
  <si>
    <t>银行担保或近6个月流水</t>
  </si>
  <si>
    <t>使馆页面写RMB100,000</t>
  </si>
  <si>
    <t>Agency补充</t>
  </si>
  <si>
    <t>印度公司邀请函原件</t>
  </si>
  <si>
    <t>公司抬头纸+邀请人签字</t>
  </si>
  <si>
    <t>英文简历</t>
  </si>
  <si>
    <t>全部教育和工作经历</t>
  </si>
  <si>
    <t>最高学历及无犯罪证明公证/翻译</t>
  </si>
  <si>
    <t>向agency确认适用性</t>
  </si>
  <si>
    <t>在职证明/年收入证明</t>
  </si>
  <si>
    <t>身份证正反面复印件</t>
  </si>
  <si>
    <t>同页</t>
  </si>
  <si>
    <t>信息便签</t>
  </si>
  <si>
    <t>联系方式一致</t>
  </si>
  <si>
    <t>照片2张</t>
  </si>
  <si>
    <t>建议51×51mm白底</t>
  </si>
  <si>
    <t>09 一致性检查</t>
  </si>
  <si>
    <t>自动检查关键必填项和日期逻辑。全部显示“通过”后再生成最终文档。</t>
  </si>
  <si>
    <t>检查项</t>
  </si>
  <si>
    <t>引用字段</t>
  </si>
  <si>
    <t>结果</t>
  </si>
  <si>
    <t>处理建议</t>
  </si>
  <si>
    <t>英文姓名已填写</t>
  </si>
  <si>
    <t>01_申请人!C5</t>
  </si>
  <si>
    <t>与护照完全一致</t>
  </si>
  <si>
    <t>护照号已填写</t>
  </si>
  <si>
    <t>01_申请人!C8</t>
  </si>
  <si>
    <t>不要包含多余空格</t>
  </si>
  <si>
    <t>行程日期完整</t>
  </si>
  <si>
    <t>01_申请人!C20:C21</t>
  </si>
  <si>
    <t>填写入境及离境日期</t>
  </si>
  <si>
    <t>离境日晚于入境日</t>
  </si>
  <si>
    <t>修正日期顺序</t>
  </si>
  <si>
    <t>护照至少覆盖入境后6个月</t>
  </si>
  <si>
    <t>01_申请人!C10/C20</t>
  </si>
  <si>
    <t>确认护照有效期</t>
  </si>
  <si>
    <t>中方公司名称已填写</t>
  </si>
  <si>
    <t>02_中方公司!C5</t>
  </si>
  <si>
    <t>与营业执照译文一致</t>
  </si>
  <si>
    <t>印度公司名称已填写</t>
  </si>
  <si>
    <t>03_印度公司!C5</t>
  </si>
  <si>
    <t>与注册证明一致</t>
  </si>
  <si>
    <t>邀请人联系方式完整</t>
  </si>
  <si>
    <t>03_印度公司!C16:C17</t>
  </si>
  <si>
    <t>电话和公司邮箱</t>
  </si>
  <si>
    <t>至少一段行程</t>
  </si>
  <si>
    <t>04_行程!A5:F5</t>
  </si>
  <si>
    <t>至少填写首段完整行程</t>
  </si>
  <si>
    <t>Proforma 不留空</t>
  </si>
  <si>
    <t>07_Proforma补充!C5:C13</t>
  </si>
  <si>
    <t>Li Jiajun</t>
    <phoneticPr fontId="7" type="noConversion"/>
  </si>
  <si>
    <t>Male</t>
    <phoneticPr fontId="7" type="noConversion"/>
  </si>
  <si>
    <t>EK0985934</t>
    <phoneticPr fontId="7" type="noConversion"/>
  </si>
  <si>
    <t>310103198312085079</t>
    <phoneticPr fontId="7" type="noConversion"/>
  </si>
  <si>
    <t>+86-13761058893</t>
    <phoneticPr fontId="7" type="noConversion"/>
  </si>
  <si>
    <t>jiajun.li@audi.com.cn</t>
    <phoneticPr fontId="7" type="noConversion"/>
  </si>
  <si>
    <t>Supply Chain planner</t>
    <phoneticPr fontId="7" type="noConversion"/>
  </si>
  <si>
    <t>Audi China supply chain</t>
    <phoneticPr fontId="7" type="noConversion"/>
  </si>
  <si>
    <t>Audit</t>
    <phoneticPr fontId="7" type="noConversion"/>
  </si>
  <si>
    <t>Tower 1, No. 12 Qishengzhong Street, Chaoyang District, Beijing, 100028, P.R. China</t>
    <phoneticPr fontId="7" type="noConversion"/>
  </si>
  <si>
    <t>Gurugram</t>
    <phoneticPr fontId="7" type="noConversion"/>
  </si>
  <si>
    <t>Anand NVH Products (P) Ltd</t>
    <phoneticPr fontId="7" type="noConversion"/>
  </si>
  <si>
    <t>Shanghai Maritime University</t>
    <phoneticPr fontId="7" type="noConversion"/>
  </si>
  <si>
    <t>Bachelor in Marine engineering</t>
    <phoneticPr fontId="7" type="noConversion"/>
  </si>
  <si>
    <t>Present</t>
    <phoneticPr fontId="7" type="noConversion"/>
  </si>
  <si>
    <t>Audi China Supply Chain Great Asia</t>
    <phoneticPr fontId="7" type="noConversion"/>
  </si>
  <si>
    <t>Supply Chain Auditor and Planner</t>
    <phoneticPr fontId="7" type="noConversion"/>
  </si>
  <si>
    <t>SAIC Volkswagen</t>
    <phoneticPr fontId="7" type="noConversion"/>
  </si>
  <si>
    <t>Expert of supply chain management</t>
    <phoneticPr fontId="7" type="noConversion"/>
  </si>
  <si>
    <t>Global Supplier Qualification
Strategic Supplier Development &amp; Maturity</t>
    <phoneticPr fontId="7" type="noConversion"/>
  </si>
  <si>
    <t>Supply Chain Risk Prediction &amp; Mitigation
Risk Framework Development</t>
    <phoneticPr fontId="7" type="noConversion"/>
  </si>
  <si>
    <t>Certified VDA 6.3 &amp; VDA 6.8 Auditor</t>
    <phoneticPr fontId="7" type="noConversion"/>
  </si>
  <si>
    <t>N/A</t>
    <phoneticPr fontId="7" type="noConversion"/>
  </si>
  <si>
    <r>
      <t xml:space="preserve">07 Proforma </t>
    </r>
    <r>
      <rPr>
        <b/>
        <sz val="10"/>
        <color rgb="FFFFFFFF"/>
        <rFont val="Microsoft YaHei"/>
        <family val="2"/>
        <charset val="134"/>
      </rPr>
      <t>补充字段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</si>
</sst>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_ [$¥-804]* #,##0.00_ ;_ [$¥-804]* \-#,##0.00_ ;_ [$¥-804]* &quot;-&quot;??_ ;_ @_ "/>
  </numFmts>
  <fonts count="10">
    <font>
      <sz val="11"/>
      <name val="Carlito"/>
    </font>
    <font>
      <b/>
      <sz val="10"/>
      <color rgb="FFFFFFFF"/>
      <name val="Aptos"/>
    </font>
    <font>
      <i/>
      <sz val="10"/>
      <color rgb="FF244062"/>
      <name val="Aptos"/>
    </font>
    <font>
      <sz val="10"/>
      <name val="Aptos"/>
    </font>
    <font>
      <sz val="10"/>
      <color rgb="FF666666"/>
      <name val="Aptos"/>
    </font>
    <font>
      <sz val="10"/>
      <color rgb="FF7F6000"/>
      <name val="Aptos"/>
    </font>
    <font>
      <sz val="11"/>
      <name val="Carlito"/>
    </font>
    <font>
      <sz val="9"/>
      <name val="FangSong"/>
      <family val="3"/>
      <charset val="134"/>
    </font>
    <font>
      <u/>
      <sz val="11"/>
      <color theme="10"/>
      <name val="Carlito"/>
    </font>
    <font>
      <b/>
      <sz val="10"/>
      <color rgb="FFFFFFFF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0" xfId="1" applyFont="1" applyFill="1" applyAlignment="1">
      <alignment vertical="center"/>
    </xf>
    <xf numFmtId="0" fontId="3" fillId="0" borderId="0" xfId="1" applyFont="1"/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3" fillId="0" borderId="4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9" xfId="1" applyFont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5" fillId="4" borderId="2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4" fillId="5" borderId="4" xfId="1" applyFont="1" applyFill="1" applyBorder="1" applyAlignment="1">
      <alignment vertical="center" wrapText="1"/>
    </xf>
    <xf numFmtId="0" fontId="5" fillId="4" borderId="5" xfId="1" applyFont="1" applyFill="1" applyBorder="1" applyAlignment="1">
      <alignment vertical="center" wrapText="1"/>
    </xf>
    <xf numFmtId="0" fontId="4" fillId="5" borderId="7" xfId="1" applyFont="1" applyFill="1" applyBorder="1" applyAlignment="1">
      <alignment vertical="center" wrapText="1"/>
    </xf>
    <xf numFmtId="0" fontId="5" fillId="4" borderId="8" xfId="1" applyFont="1" applyFill="1" applyBorder="1" applyAlignment="1">
      <alignment vertical="center" wrapText="1"/>
    </xf>
    <xf numFmtId="0" fontId="1" fillId="2" borderId="0" xfId="1" applyFont="1" applyFill="1" applyAlignment="1">
      <alignment wrapText="1"/>
    </xf>
    <xf numFmtId="176" fontId="3" fillId="4" borderId="1" xfId="1" applyNumberFormat="1" applyFont="1" applyFill="1" applyBorder="1" applyAlignment="1">
      <alignment vertical="center" wrapText="1"/>
    </xf>
    <xf numFmtId="176" fontId="3" fillId="4" borderId="2" xfId="1" applyNumberFormat="1" applyFont="1" applyFill="1" applyBorder="1" applyAlignment="1">
      <alignment vertical="center" wrapText="1"/>
    </xf>
    <xf numFmtId="0" fontId="3" fillId="4" borderId="2" xfId="1" applyFont="1" applyFill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176" fontId="3" fillId="4" borderId="4" xfId="1" applyNumberFormat="1" applyFont="1" applyFill="1" applyBorder="1" applyAlignment="1">
      <alignment vertical="center" wrapText="1"/>
    </xf>
    <xf numFmtId="176" fontId="3" fillId="4" borderId="5" xfId="1" applyNumberFormat="1" applyFont="1" applyFill="1" applyBorder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4" borderId="6" xfId="1" applyFont="1" applyFill="1" applyBorder="1" applyAlignment="1">
      <alignment vertical="center" wrapText="1"/>
    </xf>
    <xf numFmtId="176" fontId="3" fillId="4" borderId="7" xfId="1" applyNumberFormat="1" applyFont="1" applyFill="1" applyBorder="1" applyAlignment="1">
      <alignment vertical="center" wrapText="1"/>
    </xf>
    <xf numFmtId="176" fontId="3" fillId="4" borderId="8" xfId="1" applyNumberFormat="1" applyFont="1" applyFill="1" applyBorder="1" applyAlignment="1">
      <alignment vertical="center" wrapText="1"/>
    </xf>
    <xf numFmtId="0" fontId="3" fillId="4" borderId="8" xfId="1" applyFont="1" applyFill="1" applyBorder="1" applyAlignment="1">
      <alignment vertical="center" wrapText="1"/>
    </xf>
    <xf numFmtId="0" fontId="3" fillId="4" borderId="9" xfId="1" applyFont="1" applyFill="1" applyBorder="1" applyAlignment="1">
      <alignment vertical="center" wrapText="1"/>
    </xf>
    <xf numFmtId="0" fontId="1" fillId="2" borderId="0" xfId="1" applyFont="1" applyFill="1"/>
    <xf numFmtId="0" fontId="3" fillId="4" borderId="1" xfId="1" applyFont="1" applyFill="1" applyBorder="1" applyAlignment="1">
      <alignment vertical="center" wrapText="1"/>
    </xf>
    <xf numFmtId="0" fontId="3" fillId="4" borderId="4" xfId="1" applyFont="1" applyFill="1" applyBorder="1" applyAlignment="1">
      <alignment vertical="center" wrapText="1"/>
    </xf>
    <xf numFmtId="0" fontId="3" fillId="4" borderId="7" xfId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left" vertical="center" wrapText="1"/>
    </xf>
    <xf numFmtId="0" fontId="3" fillId="4" borderId="4" xfId="1" applyFont="1" applyFill="1" applyBorder="1" applyAlignment="1">
      <alignment horizontal="left" vertical="center" wrapText="1"/>
    </xf>
    <xf numFmtId="0" fontId="3" fillId="4" borderId="5" xfId="1" applyFont="1" applyFill="1" applyBorder="1" applyAlignment="1">
      <alignment horizontal="left" vertical="center" wrapText="1"/>
    </xf>
    <xf numFmtId="0" fontId="5" fillId="4" borderId="5" xfId="1" applyFont="1" applyFill="1" applyBorder="1" applyAlignment="1">
      <alignment horizontal="left"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3" fillId="0" borderId="0" xfId="1" applyFont="1" applyAlignment="1">
      <alignment horizontal="right"/>
    </xf>
    <xf numFmtId="0" fontId="1" fillId="2" borderId="0" xfId="1" applyFont="1" applyFill="1" applyAlignment="1">
      <alignment horizontal="right" vertical="center"/>
    </xf>
    <xf numFmtId="0" fontId="5" fillId="4" borderId="2" xfId="1" applyFont="1" applyFill="1" applyBorder="1" applyAlignment="1">
      <alignment horizontal="right" vertical="center" wrapText="1"/>
    </xf>
    <xf numFmtId="0" fontId="5" fillId="4" borderId="5" xfId="1" applyFont="1" applyFill="1" applyBorder="1" applyAlignment="1">
      <alignment horizontal="right" vertical="center" wrapText="1"/>
    </xf>
    <xf numFmtId="14" fontId="5" fillId="4" borderId="5" xfId="1" applyNumberFormat="1" applyFont="1" applyFill="1" applyBorder="1" applyAlignment="1">
      <alignment horizontal="right" vertical="center" wrapText="1"/>
    </xf>
    <xf numFmtId="49" fontId="5" fillId="4" borderId="5" xfId="1" applyNumberFormat="1" applyFont="1" applyFill="1" applyBorder="1" applyAlignment="1">
      <alignment horizontal="right" vertical="center" wrapText="1"/>
    </xf>
    <xf numFmtId="0" fontId="8" fillId="4" borderId="5" xfId="2" applyFill="1" applyBorder="1" applyAlignment="1">
      <alignment horizontal="right" vertical="center" wrapText="1"/>
    </xf>
    <xf numFmtId="177" fontId="5" fillId="4" borderId="5" xfId="1" applyNumberFormat="1" applyFont="1" applyFill="1" applyBorder="1" applyAlignment="1">
      <alignment horizontal="right" vertical="center" wrapText="1"/>
    </xf>
    <xf numFmtId="0" fontId="5" fillId="4" borderId="8" xfId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iajun.li@audi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zoomScale="129" workbookViewId="0">
      <selection activeCell="F20" sqref="F20"/>
    </sheetView>
  </sheetViews>
  <sheetFormatPr baseColWidth="10" defaultColWidth="8.83203125" defaultRowHeight="14"/>
  <cols>
    <col min="1" max="1" width="18" customWidth="1"/>
    <col min="2" max="2" width="34" customWidth="1"/>
    <col min="3" max="3" width="42" customWidth="1"/>
    <col min="4" max="4" width="24" customWidth="1"/>
  </cols>
  <sheetData>
    <row r="1" spans="1:4" ht="28" customHeight="1">
      <c r="A1" s="43" t="s">
        <v>0</v>
      </c>
      <c r="B1" s="43"/>
      <c r="C1" s="43"/>
      <c r="D1" s="43"/>
    </row>
    <row r="2" spans="1:4" ht="34" customHeight="1">
      <c r="A2" s="44" t="s">
        <v>1</v>
      </c>
      <c r="B2" s="44"/>
      <c r="C2" s="44"/>
      <c r="D2" s="44"/>
    </row>
    <row r="3" spans="1:4" ht="15">
      <c r="A3" s="2"/>
      <c r="B3" s="2"/>
      <c r="C3" s="2"/>
      <c r="D3" s="2"/>
    </row>
    <row r="4" spans="1:4" ht="15">
      <c r="A4" s="3" t="s">
        <v>2</v>
      </c>
      <c r="B4" s="4" t="s">
        <v>3</v>
      </c>
      <c r="C4" s="4" t="s">
        <v>4</v>
      </c>
      <c r="D4" s="5" t="s">
        <v>5</v>
      </c>
    </row>
    <row r="5" spans="1:4" ht="15">
      <c r="A5" s="6" t="s">
        <v>6</v>
      </c>
      <c r="B5" s="7" t="s">
        <v>7</v>
      </c>
      <c r="C5" s="7" t="s">
        <v>8</v>
      </c>
      <c r="D5" s="8" t="s">
        <v>9</v>
      </c>
    </row>
    <row r="6" spans="1:4" ht="30">
      <c r="A6" s="6" t="s">
        <v>10</v>
      </c>
      <c r="B6" s="7" t="s">
        <v>11</v>
      </c>
      <c r="C6" s="7" t="s">
        <v>12</v>
      </c>
      <c r="D6" s="8" t="s">
        <v>13</v>
      </c>
    </row>
    <row r="7" spans="1:4" ht="15">
      <c r="A7" s="6" t="s">
        <v>14</v>
      </c>
      <c r="B7" s="7" t="s">
        <v>15</v>
      </c>
      <c r="C7" s="7" t="s">
        <v>16</v>
      </c>
      <c r="D7" s="8" t="s">
        <v>17</v>
      </c>
    </row>
    <row r="8" spans="1:4" ht="15">
      <c r="A8" s="6" t="s">
        <v>18</v>
      </c>
      <c r="B8" s="7" t="s">
        <v>19</v>
      </c>
      <c r="C8" s="7" t="s">
        <v>20</v>
      </c>
      <c r="D8" s="8" t="s">
        <v>21</v>
      </c>
    </row>
    <row r="9" spans="1:4" ht="15">
      <c r="A9" s="6" t="s">
        <v>22</v>
      </c>
      <c r="B9" s="7" t="s">
        <v>23</v>
      </c>
      <c r="C9" s="7" t="s">
        <v>24</v>
      </c>
      <c r="D9" s="8" t="s">
        <v>25</v>
      </c>
    </row>
    <row r="10" spans="1:4" ht="15">
      <c r="A10" s="6" t="s">
        <v>26</v>
      </c>
      <c r="B10" s="7" t="s">
        <v>27</v>
      </c>
      <c r="C10" s="7" t="s">
        <v>28</v>
      </c>
      <c r="D10" s="8" t="s">
        <v>29</v>
      </c>
    </row>
    <row r="11" spans="1:4" ht="30">
      <c r="A11" s="9" t="s">
        <v>30</v>
      </c>
      <c r="B11" s="10" t="s">
        <v>31</v>
      </c>
      <c r="C11" s="10" t="s">
        <v>32</v>
      </c>
      <c r="D11" s="11" t="s">
        <v>33</v>
      </c>
    </row>
  </sheetData>
  <mergeCells count="2">
    <mergeCell ref="A1:D1"/>
    <mergeCell ref="A2:D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topLeftCell="A15" zoomScale="125" workbookViewId="0">
      <selection activeCell="C21" sqref="C21"/>
    </sheetView>
  </sheetViews>
  <sheetFormatPr baseColWidth="10" defaultColWidth="8.83203125" defaultRowHeight="14"/>
  <cols>
    <col min="1" max="1" width="18" customWidth="1"/>
    <col min="2" max="2" width="30" customWidth="1"/>
    <col min="3" max="3" width="39" style="54" customWidth="1"/>
    <col min="4" max="4" width="18" customWidth="1"/>
  </cols>
  <sheetData>
    <row r="1" spans="1:4" ht="28" customHeight="1">
      <c r="A1" s="43" t="s">
        <v>34</v>
      </c>
      <c r="B1" s="43"/>
      <c r="C1" s="43"/>
      <c r="D1" s="43"/>
    </row>
    <row r="2" spans="1:4" ht="34" customHeight="1">
      <c r="A2" s="44" t="s">
        <v>35</v>
      </c>
      <c r="B2" s="44"/>
      <c r="C2" s="44"/>
      <c r="D2" s="44"/>
    </row>
    <row r="3" spans="1:4" ht="15">
      <c r="A3" s="2"/>
      <c r="B3" s="2"/>
      <c r="C3" s="45"/>
      <c r="D3" s="2"/>
    </row>
    <row r="4" spans="1:4" ht="24" customHeight="1">
      <c r="A4" s="1" t="s">
        <v>36</v>
      </c>
      <c r="B4" s="1" t="s">
        <v>37</v>
      </c>
      <c r="C4" s="46" t="s">
        <v>38</v>
      </c>
      <c r="D4" s="1" t="s">
        <v>39</v>
      </c>
    </row>
    <row r="5" spans="1:4" ht="34" customHeight="1">
      <c r="A5" s="12" t="s">
        <v>40</v>
      </c>
      <c r="B5" s="13" t="s">
        <v>41</v>
      </c>
      <c r="C5" s="47" t="s">
        <v>313</v>
      </c>
      <c r="D5" s="15" t="s">
        <v>42</v>
      </c>
    </row>
    <row r="6" spans="1:4" ht="34" customHeight="1">
      <c r="A6" s="16" t="s">
        <v>43</v>
      </c>
      <c r="B6" s="7" t="s">
        <v>44</v>
      </c>
      <c r="C6" s="48" t="s">
        <v>314</v>
      </c>
      <c r="D6" s="8" t="s">
        <v>45</v>
      </c>
    </row>
    <row r="7" spans="1:4" ht="34" customHeight="1">
      <c r="A7" s="16" t="s">
        <v>46</v>
      </c>
      <c r="B7" s="7" t="s">
        <v>47</v>
      </c>
      <c r="C7" s="49">
        <v>30658</v>
      </c>
      <c r="D7" s="8" t="s">
        <v>48</v>
      </c>
    </row>
    <row r="8" spans="1:4" ht="34" customHeight="1">
      <c r="A8" s="16" t="s">
        <v>49</v>
      </c>
      <c r="B8" s="7" t="s">
        <v>50</v>
      </c>
      <c r="C8" s="48" t="s">
        <v>315</v>
      </c>
      <c r="D8" s="8" t="s">
        <v>51</v>
      </c>
    </row>
    <row r="9" spans="1:4" ht="34" customHeight="1">
      <c r="A9" s="16" t="s">
        <v>52</v>
      </c>
      <c r="B9" s="7" t="s">
        <v>53</v>
      </c>
      <c r="C9" s="49">
        <v>44999</v>
      </c>
      <c r="D9" s="8" t="s">
        <v>48</v>
      </c>
    </row>
    <row r="10" spans="1:4" ht="34" customHeight="1">
      <c r="A10" s="16" t="s">
        <v>54</v>
      </c>
      <c r="B10" s="7" t="s">
        <v>55</v>
      </c>
      <c r="C10" s="49">
        <v>48651</v>
      </c>
      <c r="D10" s="8" t="s">
        <v>56</v>
      </c>
    </row>
    <row r="11" spans="1:4" ht="34" customHeight="1">
      <c r="A11" s="16" t="s">
        <v>57</v>
      </c>
      <c r="B11" s="7" t="s">
        <v>58</v>
      </c>
      <c r="C11" s="50" t="s">
        <v>316</v>
      </c>
      <c r="D11" s="8" t="s">
        <v>59</v>
      </c>
    </row>
    <row r="12" spans="1:4" ht="34" customHeight="1">
      <c r="A12" s="16" t="s">
        <v>60</v>
      </c>
      <c r="B12" s="7" t="s">
        <v>61</v>
      </c>
      <c r="C12" s="50" t="s">
        <v>317</v>
      </c>
      <c r="D12" s="8" t="s">
        <v>62</v>
      </c>
    </row>
    <row r="13" spans="1:4" ht="34" customHeight="1">
      <c r="A13" s="16" t="s">
        <v>63</v>
      </c>
      <c r="B13" s="7" t="s">
        <v>64</v>
      </c>
      <c r="C13" s="51" t="s">
        <v>318</v>
      </c>
      <c r="D13" s="8" t="s">
        <v>65</v>
      </c>
    </row>
    <row r="14" spans="1:4" ht="34" customHeight="1">
      <c r="A14" s="16" t="s">
        <v>66</v>
      </c>
      <c r="B14" s="7" t="s">
        <v>67</v>
      </c>
      <c r="C14" s="48"/>
      <c r="D14" s="8" t="s">
        <v>68</v>
      </c>
    </row>
    <row r="15" spans="1:4" ht="34" customHeight="1">
      <c r="A15" s="16" t="s">
        <v>69</v>
      </c>
      <c r="B15" s="7" t="s">
        <v>70</v>
      </c>
      <c r="C15" s="48" t="s">
        <v>319</v>
      </c>
      <c r="D15" s="8" t="s">
        <v>71</v>
      </c>
    </row>
    <row r="16" spans="1:4" ht="34" customHeight="1">
      <c r="A16" s="16" t="s">
        <v>72</v>
      </c>
      <c r="B16" s="7" t="s">
        <v>73</v>
      </c>
      <c r="C16" s="48" t="s">
        <v>320</v>
      </c>
      <c r="D16" s="8" t="s">
        <v>71</v>
      </c>
    </row>
    <row r="17" spans="1:4" ht="34" customHeight="1">
      <c r="A17" s="16" t="s">
        <v>74</v>
      </c>
      <c r="B17" s="7" t="s">
        <v>75</v>
      </c>
      <c r="C17" s="49">
        <v>44697</v>
      </c>
      <c r="D17" s="8" t="s">
        <v>48</v>
      </c>
    </row>
    <row r="18" spans="1:4" ht="34" customHeight="1">
      <c r="A18" s="16" t="s">
        <v>76</v>
      </c>
      <c r="B18" s="7" t="s">
        <v>77</v>
      </c>
      <c r="C18" s="52">
        <v>650000</v>
      </c>
      <c r="D18" s="8" t="s">
        <v>78</v>
      </c>
    </row>
    <row r="19" spans="1:4" ht="34" customHeight="1">
      <c r="A19" s="16" t="s">
        <v>79</v>
      </c>
      <c r="B19" s="7" t="s">
        <v>80</v>
      </c>
      <c r="C19" s="48" t="s">
        <v>81</v>
      </c>
      <c r="D19" s="8" t="s">
        <v>82</v>
      </c>
    </row>
    <row r="20" spans="1:4" ht="34" customHeight="1">
      <c r="A20" s="16" t="s">
        <v>83</v>
      </c>
      <c r="B20" s="7" t="s">
        <v>84</v>
      </c>
      <c r="C20" s="49">
        <v>46280</v>
      </c>
      <c r="D20" s="8" t="s">
        <v>48</v>
      </c>
    </row>
    <row r="21" spans="1:4" ht="34" customHeight="1">
      <c r="A21" s="16" t="s">
        <v>85</v>
      </c>
      <c r="B21" s="7" t="s">
        <v>86</v>
      </c>
      <c r="C21" s="49">
        <v>46283</v>
      </c>
      <c r="D21" s="8" t="s">
        <v>48</v>
      </c>
    </row>
    <row r="22" spans="1:4" ht="34" customHeight="1">
      <c r="A22" s="16" t="s">
        <v>87</v>
      </c>
      <c r="B22" s="7" t="s">
        <v>88</v>
      </c>
      <c r="C22" s="48" t="s">
        <v>321</v>
      </c>
      <c r="D22" s="8" t="s">
        <v>89</v>
      </c>
    </row>
    <row r="23" spans="1:4" ht="34" customHeight="1">
      <c r="A23" s="18" t="s">
        <v>90</v>
      </c>
      <c r="B23" s="10" t="s">
        <v>91</v>
      </c>
      <c r="C23" s="53" t="s">
        <v>92</v>
      </c>
      <c r="D23" s="11" t="s">
        <v>93</v>
      </c>
    </row>
  </sheetData>
  <mergeCells count="2">
    <mergeCell ref="A1:D1"/>
    <mergeCell ref="A2:D2"/>
  </mergeCells>
  <phoneticPr fontId="7" type="noConversion"/>
  <hyperlinks>
    <hyperlink ref="C13" r:id="rId1" xr:uid="{8ECA7E46-4BDF-EF4A-81A7-2FCC9307EA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showGridLines="0" tabSelected="1" workbookViewId="0">
      <selection activeCell="C12" sqref="C12"/>
    </sheetView>
  </sheetViews>
  <sheetFormatPr baseColWidth="10" defaultColWidth="8.83203125" defaultRowHeight="14"/>
  <cols>
    <col min="1" max="1" width="18" customWidth="1"/>
    <col min="2" max="2" width="30" customWidth="1"/>
    <col min="3" max="3" width="42" customWidth="1"/>
    <col min="4" max="4" width="18" customWidth="1"/>
  </cols>
  <sheetData>
    <row r="1" spans="1:4" ht="28" customHeight="1">
      <c r="A1" s="43" t="s">
        <v>94</v>
      </c>
      <c r="B1" s="43"/>
      <c r="C1" s="43"/>
      <c r="D1" s="43"/>
    </row>
    <row r="2" spans="1:4" ht="34" customHeight="1">
      <c r="A2" s="44" t="s">
        <v>95</v>
      </c>
      <c r="B2" s="44"/>
      <c r="C2" s="44"/>
      <c r="D2" s="44"/>
    </row>
    <row r="3" spans="1:4" ht="15">
      <c r="A3" s="2"/>
      <c r="B3" s="2"/>
      <c r="C3" s="2"/>
      <c r="D3" s="2"/>
    </row>
    <row r="4" spans="1:4" ht="24" customHeight="1">
      <c r="A4" s="1" t="s">
        <v>36</v>
      </c>
      <c r="B4" s="1" t="s">
        <v>37</v>
      </c>
      <c r="C4" s="1" t="s">
        <v>38</v>
      </c>
      <c r="D4" s="1" t="s">
        <v>39</v>
      </c>
    </row>
    <row r="5" spans="1:4" ht="34" customHeight="1">
      <c r="A5" s="12" t="s">
        <v>96</v>
      </c>
      <c r="B5" s="13" t="s">
        <v>97</v>
      </c>
      <c r="C5" s="14" t="s">
        <v>98</v>
      </c>
      <c r="D5" s="15" t="s">
        <v>99</v>
      </c>
    </row>
    <row r="6" spans="1:4" ht="34" customHeight="1">
      <c r="A6" s="16" t="s">
        <v>100</v>
      </c>
      <c r="B6" s="7" t="s">
        <v>101</v>
      </c>
      <c r="C6" s="17" t="s">
        <v>322</v>
      </c>
      <c r="D6" s="8" t="s">
        <v>51</v>
      </c>
    </row>
    <row r="7" spans="1:4" ht="34" customHeight="1">
      <c r="A7" s="16" t="s">
        <v>102</v>
      </c>
      <c r="B7" s="7" t="s">
        <v>103</v>
      </c>
      <c r="C7" s="17"/>
      <c r="D7" s="8" t="s">
        <v>104</v>
      </c>
    </row>
    <row r="8" spans="1:4" ht="34" customHeight="1">
      <c r="A8" s="16" t="s">
        <v>105</v>
      </c>
      <c r="B8" s="7" t="s">
        <v>106</v>
      </c>
      <c r="C8" s="17" t="s">
        <v>107</v>
      </c>
      <c r="D8" s="8" t="s">
        <v>108</v>
      </c>
    </row>
    <row r="9" spans="1:4" ht="34" customHeight="1">
      <c r="A9" s="16" t="s">
        <v>109</v>
      </c>
      <c r="B9" s="7" t="s">
        <v>110</v>
      </c>
      <c r="C9" s="17"/>
      <c r="D9" s="8" t="s">
        <v>111</v>
      </c>
    </row>
    <row r="10" spans="1:4" ht="34" customHeight="1">
      <c r="A10" s="16" t="s">
        <v>112</v>
      </c>
      <c r="B10" s="7" t="s">
        <v>113</v>
      </c>
      <c r="C10" s="17"/>
      <c r="D10" s="8" t="s">
        <v>114</v>
      </c>
    </row>
    <row r="11" spans="1:4" ht="34" customHeight="1">
      <c r="A11" s="16" t="s">
        <v>115</v>
      </c>
      <c r="B11" s="7" t="s">
        <v>116</v>
      </c>
      <c r="C11" s="17" t="s">
        <v>117</v>
      </c>
      <c r="D11" s="8" t="s">
        <v>118</v>
      </c>
    </row>
    <row r="12" spans="1:4" ht="34" customHeight="1">
      <c r="A12" s="16" t="s">
        <v>119</v>
      </c>
      <c r="B12" s="7" t="s">
        <v>120</v>
      </c>
      <c r="C12" s="17"/>
      <c r="D12" s="8" t="s">
        <v>121</v>
      </c>
    </row>
    <row r="13" spans="1:4" ht="34" customHeight="1">
      <c r="A13" s="16" t="s">
        <v>122</v>
      </c>
      <c r="B13" s="7" t="s">
        <v>123</v>
      </c>
      <c r="C13" s="17" t="s">
        <v>107</v>
      </c>
      <c r="D13" s="8" t="s">
        <v>124</v>
      </c>
    </row>
    <row r="14" spans="1:4" ht="34" customHeight="1">
      <c r="A14" s="16" t="s">
        <v>125</v>
      </c>
      <c r="B14" s="7" t="s">
        <v>126</v>
      </c>
      <c r="C14" s="17"/>
      <c r="D14" s="8" t="s">
        <v>127</v>
      </c>
    </row>
    <row r="15" spans="1:4" ht="34" customHeight="1">
      <c r="A15" s="16" t="s">
        <v>128</v>
      </c>
      <c r="B15" s="7" t="s">
        <v>129</v>
      </c>
      <c r="C15" s="17"/>
      <c r="D15" s="8" t="s">
        <v>130</v>
      </c>
    </row>
    <row r="16" spans="1:4" ht="34" customHeight="1">
      <c r="A16" s="16" t="s">
        <v>131</v>
      </c>
      <c r="B16" s="7" t="s">
        <v>132</v>
      </c>
      <c r="C16" s="17"/>
      <c r="D16" s="8" t="s">
        <v>133</v>
      </c>
    </row>
    <row r="17" spans="1:4" ht="34" customHeight="1">
      <c r="A17" s="16" t="s">
        <v>134</v>
      </c>
      <c r="B17" s="7" t="s">
        <v>135</v>
      </c>
      <c r="C17" s="17"/>
      <c r="D17" s="8" t="s">
        <v>136</v>
      </c>
    </row>
    <row r="18" spans="1:4" ht="34" customHeight="1">
      <c r="A18" s="16" t="s">
        <v>137</v>
      </c>
      <c r="B18" s="7" t="s">
        <v>138</v>
      </c>
      <c r="C18" s="17"/>
      <c r="D18" s="8" t="s">
        <v>136</v>
      </c>
    </row>
    <row r="19" spans="1:4" ht="34" customHeight="1">
      <c r="A19" s="16" t="s">
        <v>139</v>
      </c>
      <c r="B19" s="7" t="s">
        <v>140</v>
      </c>
      <c r="C19" s="17"/>
      <c r="D19" s="8" t="s">
        <v>136</v>
      </c>
    </row>
    <row r="20" spans="1:4" ht="34" customHeight="1">
      <c r="A20" s="16" t="s">
        <v>141</v>
      </c>
      <c r="B20" s="7" t="s">
        <v>142</v>
      </c>
      <c r="C20" s="17"/>
      <c r="D20" s="8" t="s">
        <v>143</v>
      </c>
    </row>
    <row r="21" spans="1:4" ht="34" customHeight="1">
      <c r="A21" s="16" t="s">
        <v>144</v>
      </c>
      <c r="B21" s="7" t="s">
        <v>145</v>
      </c>
      <c r="C21" s="17"/>
      <c r="D21" s="8" t="s">
        <v>127</v>
      </c>
    </row>
    <row r="22" spans="1:4" ht="34" customHeight="1">
      <c r="A22" s="16" t="s">
        <v>146</v>
      </c>
      <c r="B22" s="7" t="s">
        <v>147</v>
      </c>
      <c r="C22" s="17"/>
      <c r="D22" s="8" t="s">
        <v>127</v>
      </c>
    </row>
    <row r="23" spans="1:4" ht="34" customHeight="1">
      <c r="A23" s="16" t="s">
        <v>148</v>
      </c>
      <c r="B23" s="7" t="s">
        <v>149</v>
      </c>
      <c r="C23" s="17"/>
      <c r="D23" s="8" t="s">
        <v>150</v>
      </c>
    </row>
    <row r="24" spans="1:4" ht="34" customHeight="1">
      <c r="A24" s="16" t="s">
        <v>151</v>
      </c>
      <c r="B24" s="7" t="s">
        <v>152</v>
      </c>
      <c r="C24" s="17"/>
      <c r="D24" s="8" t="s">
        <v>51</v>
      </c>
    </row>
    <row r="25" spans="1:4" ht="34" customHeight="1">
      <c r="A25" s="16" t="s">
        <v>153</v>
      </c>
      <c r="B25" s="7" t="s">
        <v>154</v>
      </c>
      <c r="C25" s="17"/>
      <c r="D25" s="8" t="s">
        <v>155</v>
      </c>
    </row>
    <row r="26" spans="1:4" ht="34" customHeight="1">
      <c r="A26" s="18" t="s">
        <v>156</v>
      </c>
      <c r="B26" s="10" t="s">
        <v>157</v>
      </c>
      <c r="C26" s="19"/>
      <c r="D26" s="11" t="s">
        <v>48</v>
      </c>
    </row>
  </sheetData>
  <mergeCells count="2">
    <mergeCell ref="A1:D1"/>
    <mergeCell ref="A2:D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topLeftCell="A2" workbookViewId="0">
      <selection activeCell="L15" sqref="L15"/>
    </sheetView>
  </sheetViews>
  <sheetFormatPr baseColWidth="10" defaultColWidth="8.83203125" defaultRowHeight="14"/>
  <cols>
    <col min="1" max="1" width="18" customWidth="1"/>
    <col min="2" max="2" width="30" customWidth="1"/>
    <col min="3" max="3" width="42" customWidth="1"/>
    <col min="4" max="4" width="18" customWidth="1"/>
  </cols>
  <sheetData>
    <row r="1" spans="1:4" ht="28" customHeight="1">
      <c r="A1" s="43" t="s">
        <v>158</v>
      </c>
      <c r="B1" s="43"/>
      <c r="C1" s="43"/>
      <c r="D1" s="43"/>
    </row>
    <row r="2" spans="1:4" ht="34" customHeight="1">
      <c r="A2" s="44" t="s">
        <v>159</v>
      </c>
      <c r="B2" s="44"/>
      <c r="C2" s="44"/>
      <c r="D2" s="44"/>
    </row>
    <row r="3" spans="1:4" ht="15">
      <c r="A3" s="2"/>
      <c r="B3" s="2"/>
      <c r="C3" s="2"/>
      <c r="D3" s="2"/>
    </row>
    <row r="4" spans="1:4" ht="24" customHeight="1">
      <c r="A4" s="1" t="s">
        <v>36</v>
      </c>
      <c r="B4" s="1" t="s">
        <v>37</v>
      </c>
      <c r="C4" s="1" t="s">
        <v>38</v>
      </c>
      <c r="D4" s="1" t="s">
        <v>39</v>
      </c>
    </row>
    <row r="5" spans="1:4" ht="34" customHeight="1">
      <c r="A5" s="12" t="s">
        <v>160</v>
      </c>
      <c r="B5" s="13" t="s">
        <v>161</v>
      </c>
      <c r="C5" s="14"/>
      <c r="D5" s="15" t="s">
        <v>162</v>
      </c>
    </row>
    <row r="6" spans="1:4" ht="34" customHeight="1">
      <c r="A6" s="16" t="s">
        <v>163</v>
      </c>
      <c r="B6" s="7" t="s">
        <v>164</v>
      </c>
      <c r="C6" s="17"/>
      <c r="D6" s="8" t="s">
        <v>165</v>
      </c>
    </row>
    <row r="7" spans="1:4" ht="34" customHeight="1">
      <c r="A7" s="16" t="s">
        <v>166</v>
      </c>
      <c r="B7" s="7" t="s">
        <v>103</v>
      </c>
      <c r="C7" s="17"/>
      <c r="D7" s="8" t="s">
        <v>167</v>
      </c>
    </row>
    <row r="8" spans="1:4" ht="34" customHeight="1">
      <c r="A8" s="16" t="s">
        <v>168</v>
      </c>
      <c r="B8" s="7" t="s">
        <v>169</v>
      </c>
      <c r="C8" s="17"/>
      <c r="D8" s="8" t="s">
        <v>170</v>
      </c>
    </row>
    <row r="9" spans="1:4" ht="34" customHeight="1">
      <c r="A9" s="16" t="s">
        <v>171</v>
      </c>
      <c r="B9" s="7" t="s">
        <v>113</v>
      </c>
      <c r="C9" s="17"/>
      <c r="D9" s="8" t="s">
        <v>114</v>
      </c>
    </row>
    <row r="10" spans="1:4" ht="34" customHeight="1">
      <c r="A10" s="16" t="s">
        <v>172</v>
      </c>
      <c r="B10" s="7" t="s">
        <v>116</v>
      </c>
      <c r="C10" s="17"/>
      <c r="D10" s="8" t="s">
        <v>118</v>
      </c>
    </row>
    <row r="11" spans="1:4" ht="34" customHeight="1">
      <c r="A11" s="16" t="s">
        <v>173</v>
      </c>
      <c r="B11" s="7" t="s">
        <v>174</v>
      </c>
      <c r="C11" s="17"/>
      <c r="D11" s="8" t="s">
        <v>175</v>
      </c>
    </row>
    <row r="12" spans="1:4" ht="34" customHeight="1">
      <c r="A12" s="16" t="s">
        <v>176</v>
      </c>
      <c r="B12" s="7" t="s">
        <v>177</v>
      </c>
      <c r="C12" s="17" t="s">
        <v>107</v>
      </c>
      <c r="D12" s="8" t="s">
        <v>133</v>
      </c>
    </row>
    <row r="13" spans="1:4" ht="34" customHeight="1">
      <c r="A13" s="16" t="s">
        <v>178</v>
      </c>
      <c r="B13" s="7" t="s">
        <v>179</v>
      </c>
      <c r="C13" s="17"/>
      <c r="D13" s="8" t="s">
        <v>127</v>
      </c>
    </row>
    <row r="14" spans="1:4" ht="34" customHeight="1">
      <c r="A14" s="16" t="s">
        <v>180</v>
      </c>
      <c r="B14" s="7" t="s">
        <v>181</v>
      </c>
      <c r="C14" s="17"/>
      <c r="D14" s="8" t="s">
        <v>127</v>
      </c>
    </row>
    <row r="15" spans="1:4" ht="34" customHeight="1">
      <c r="A15" s="16" t="s">
        <v>182</v>
      </c>
      <c r="B15" s="7" t="s">
        <v>183</v>
      </c>
      <c r="C15" s="17"/>
      <c r="D15" s="8" t="s">
        <v>127</v>
      </c>
    </row>
    <row r="16" spans="1:4" ht="34" customHeight="1">
      <c r="A16" s="16" t="s">
        <v>184</v>
      </c>
      <c r="B16" s="7" t="s">
        <v>185</v>
      </c>
      <c r="C16" s="17"/>
      <c r="D16" s="8" t="s">
        <v>51</v>
      </c>
    </row>
    <row r="17" spans="1:4" ht="34" customHeight="1">
      <c r="A17" s="16" t="s">
        <v>186</v>
      </c>
      <c r="B17" s="7" t="s">
        <v>187</v>
      </c>
      <c r="C17" s="17"/>
      <c r="D17" s="8" t="s">
        <v>51</v>
      </c>
    </row>
    <row r="18" spans="1:4" ht="34" customHeight="1">
      <c r="A18" s="16" t="s">
        <v>188</v>
      </c>
      <c r="B18" s="7" t="s">
        <v>189</v>
      </c>
      <c r="C18" s="17"/>
      <c r="D18" s="8" t="s">
        <v>48</v>
      </c>
    </row>
    <row r="19" spans="1:4" ht="34" customHeight="1">
      <c r="A19" s="16" t="s">
        <v>190</v>
      </c>
      <c r="B19" s="7" t="s">
        <v>191</v>
      </c>
      <c r="C19" s="17" t="s">
        <v>192</v>
      </c>
      <c r="D19" s="8" t="s">
        <v>193</v>
      </c>
    </row>
    <row r="20" spans="1:4" ht="34" customHeight="1">
      <c r="A20" s="18" t="s">
        <v>194</v>
      </c>
      <c r="B20" s="10" t="s">
        <v>195</v>
      </c>
      <c r="C20" s="19"/>
      <c r="D20" s="11" t="s">
        <v>196</v>
      </c>
    </row>
  </sheetData>
  <mergeCells count="2">
    <mergeCell ref="A1:D1"/>
    <mergeCell ref="A2:D2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showGridLines="0" zoomScale="130" zoomScaleNormal="130" workbookViewId="0">
      <selection activeCell="D5" sqref="D5"/>
    </sheetView>
  </sheetViews>
  <sheetFormatPr baseColWidth="10" defaultColWidth="8.83203125" defaultRowHeight="14"/>
  <cols>
    <col min="1" max="2" width="15" customWidth="1"/>
    <col min="3" max="3" width="20" customWidth="1"/>
    <col min="4" max="4" width="28" customWidth="1"/>
    <col min="5" max="5" width="38" customWidth="1"/>
    <col min="6" max="6" width="35" customWidth="1"/>
  </cols>
  <sheetData>
    <row r="1" spans="1:6" ht="28" customHeight="1">
      <c r="A1" s="43" t="s">
        <v>197</v>
      </c>
      <c r="B1" s="43"/>
      <c r="C1" s="43"/>
      <c r="D1" s="43"/>
      <c r="E1" s="2"/>
      <c r="F1" s="2"/>
    </row>
    <row r="2" spans="1:6" ht="34" customHeight="1">
      <c r="A2" s="44" t="s">
        <v>198</v>
      </c>
      <c r="B2" s="44"/>
      <c r="C2" s="44"/>
      <c r="D2" s="44"/>
      <c r="E2" s="2"/>
      <c r="F2" s="2"/>
    </row>
    <row r="3" spans="1:6" ht="15">
      <c r="A3" s="2"/>
      <c r="B3" s="2"/>
      <c r="C3" s="2"/>
      <c r="D3" s="2"/>
      <c r="E3" s="2"/>
      <c r="F3" s="2"/>
    </row>
    <row r="4" spans="1:6" ht="15">
      <c r="A4" s="20" t="s">
        <v>199</v>
      </c>
      <c r="B4" s="20" t="s">
        <v>200</v>
      </c>
      <c r="C4" s="20" t="s">
        <v>201</v>
      </c>
      <c r="D4" s="20" t="s">
        <v>202</v>
      </c>
      <c r="E4" s="20" t="s">
        <v>203</v>
      </c>
      <c r="F4" s="20" t="s">
        <v>204</v>
      </c>
    </row>
    <row r="5" spans="1:6" ht="15">
      <c r="A5" s="21">
        <v>46280</v>
      </c>
      <c r="B5" s="22">
        <v>46283</v>
      </c>
      <c r="C5" s="23" t="s">
        <v>323</v>
      </c>
      <c r="D5" s="23" t="s">
        <v>324</v>
      </c>
      <c r="E5" s="23" t="s">
        <v>321</v>
      </c>
      <c r="F5" s="24"/>
    </row>
    <row r="6" spans="1:6">
      <c r="A6" s="25"/>
      <c r="B6" s="26"/>
      <c r="C6" s="27"/>
      <c r="D6" s="27"/>
      <c r="E6" s="27"/>
      <c r="F6" s="28"/>
    </row>
    <row r="7" spans="1:6">
      <c r="A7" s="25"/>
      <c r="B7" s="26"/>
      <c r="C7" s="27"/>
      <c r="D7" s="27"/>
      <c r="E7" s="27"/>
      <c r="F7" s="28"/>
    </row>
    <row r="8" spans="1:6">
      <c r="A8" s="25"/>
      <c r="B8" s="26"/>
      <c r="C8" s="27"/>
      <c r="D8" s="27"/>
      <c r="E8" s="27"/>
      <c r="F8" s="28"/>
    </row>
    <row r="9" spans="1:6">
      <c r="A9" s="25"/>
      <c r="B9" s="26"/>
      <c r="C9" s="27"/>
      <c r="D9" s="27"/>
      <c r="E9" s="27"/>
      <c r="F9" s="28"/>
    </row>
    <row r="10" spans="1:6">
      <c r="A10" s="25"/>
      <c r="B10" s="26"/>
      <c r="C10" s="27"/>
      <c r="D10" s="27"/>
      <c r="E10" s="27"/>
      <c r="F10" s="28"/>
    </row>
    <row r="11" spans="1:6">
      <c r="A11" s="25"/>
      <c r="B11" s="26"/>
      <c r="C11" s="27"/>
      <c r="D11" s="27"/>
      <c r="E11" s="27"/>
      <c r="F11" s="28"/>
    </row>
    <row r="12" spans="1:6">
      <c r="A12" s="25"/>
      <c r="B12" s="26"/>
      <c r="C12" s="27"/>
      <c r="D12" s="27"/>
      <c r="E12" s="27"/>
      <c r="F12" s="28"/>
    </row>
    <row r="13" spans="1:6">
      <c r="A13" s="25"/>
      <c r="B13" s="26"/>
      <c r="C13" s="27"/>
      <c r="D13" s="27"/>
      <c r="E13" s="27"/>
      <c r="F13" s="28"/>
    </row>
    <row r="14" spans="1:6">
      <c r="A14" s="25"/>
      <c r="B14" s="26"/>
      <c r="C14" s="27"/>
      <c r="D14" s="27"/>
      <c r="E14" s="27"/>
      <c r="F14" s="28"/>
    </row>
    <row r="15" spans="1:6">
      <c r="A15" s="25"/>
      <c r="B15" s="26"/>
      <c r="C15" s="27"/>
      <c r="D15" s="27"/>
      <c r="E15" s="27"/>
      <c r="F15" s="28"/>
    </row>
    <row r="16" spans="1:6">
      <c r="A16" s="25"/>
      <c r="B16" s="26"/>
      <c r="C16" s="27"/>
      <c r="D16" s="27"/>
      <c r="E16" s="27"/>
      <c r="F16" s="28"/>
    </row>
    <row r="17" spans="1:6">
      <c r="A17" s="25"/>
      <c r="B17" s="26"/>
      <c r="C17" s="27"/>
      <c r="D17" s="27"/>
      <c r="E17" s="27"/>
      <c r="F17" s="28"/>
    </row>
    <row r="18" spans="1:6">
      <c r="A18" s="25"/>
      <c r="B18" s="26"/>
      <c r="C18" s="27"/>
      <c r="D18" s="27"/>
      <c r="E18" s="27"/>
      <c r="F18" s="28"/>
    </row>
    <row r="19" spans="1:6">
      <c r="A19" s="25"/>
      <c r="B19" s="26"/>
      <c r="C19" s="27"/>
      <c r="D19" s="27"/>
      <c r="E19" s="27"/>
      <c r="F19" s="28"/>
    </row>
    <row r="20" spans="1:6">
      <c r="A20" s="25"/>
      <c r="B20" s="26"/>
      <c r="C20" s="27"/>
      <c r="D20" s="27"/>
      <c r="E20" s="27"/>
      <c r="F20" s="28"/>
    </row>
    <row r="21" spans="1:6">
      <c r="A21" s="25"/>
      <c r="B21" s="26"/>
      <c r="C21" s="27"/>
      <c r="D21" s="27"/>
      <c r="E21" s="27"/>
      <c r="F21" s="28"/>
    </row>
    <row r="22" spans="1:6">
      <c r="A22" s="25"/>
      <c r="B22" s="26"/>
      <c r="C22" s="27"/>
      <c r="D22" s="27"/>
      <c r="E22" s="27"/>
      <c r="F22" s="28"/>
    </row>
    <row r="23" spans="1:6">
      <c r="A23" s="25"/>
      <c r="B23" s="26"/>
      <c r="C23" s="27"/>
      <c r="D23" s="27"/>
      <c r="E23" s="27"/>
      <c r="F23" s="28"/>
    </row>
    <row r="24" spans="1:6">
      <c r="A24" s="29"/>
      <c r="B24" s="30"/>
      <c r="C24" s="31"/>
      <c r="D24" s="31"/>
      <c r="E24" s="31"/>
      <c r="F24" s="32"/>
    </row>
  </sheetData>
  <mergeCells count="2">
    <mergeCell ref="A1:D1"/>
    <mergeCell ref="A2:D2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zoomScale="129" workbookViewId="0">
      <selection activeCell="D17" sqref="D17"/>
    </sheetView>
  </sheetViews>
  <sheetFormatPr baseColWidth="10" defaultColWidth="8.83203125" defaultRowHeight="14"/>
  <cols>
    <col min="1" max="2" width="16" customWidth="1"/>
    <col min="3" max="3" width="30" customWidth="1"/>
    <col min="4" max="4" width="24" customWidth="1"/>
    <col min="5" max="5" width="42" customWidth="1"/>
  </cols>
  <sheetData>
    <row r="1" spans="1:5" ht="28" customHeight="1">
      <c r="A1" s="43" t="s">
        <v>205</v>
      </c>
      <c r="B1" s="43"/>
      <c r="C1" s="43"/>
      <c r="D1" s="43"/>
      <c r="E1" s="2"/>
    </row>
    <row r="2" spans="1:5" ht="34" customHeight="1">
      <c r="A2" s="44" t="s">
        <v>206</v>
      </c>
      <c r="B2" s="44"/>
      <c r="C2" s="44"/>
      <c r="D2" s="44"/>
      <c r="E2" s="2"/>
    </row>
    <row r="3" spans="1:5" ht="15">
      <c r="A3" s="2"/>
      <c r="B3" s="2"/>
      <c r="C3" s="2"/>
      <c r="D3" s="2"/>
      <c r="E3" s="2"/>
    </row>
    <row r="4" spans="1:5" ht="15">
      <c r="A4" s="33" t="s">
        <v>207</v>
      </c>
      <c r="B4" s="33" t="s">
        <v>208</v>
      </c>
      <c r="C4" s="33" t="s">
        <v>209</v>
      </c>
      <c r="D4" s="33" t="s">
        <v>210</v>
      </c>
      <c r="E4" s="33" t="s">
        <v>211</v>
      </c>
    </row>
    <row r="5" spans="1:5" ht="15">
      <c r="A5" s="34">
        <v>2002.09</v>
      </c>
      <c r="B5" s="23">
        <v>2006.06</v>
      </c>
      <c r="C5" s="23" t="s">
        <v>325</v>
      </c>
      <c r="D5" s="23" t="s">
        <v>326</v>
      </c>
      <c r="E5" s="24"/>
    </row>
    <row r="6" spans="1:5">
      <c r="A6" s="35"/>
      <c r="B6" s="27"/>
      <c r="C6" s="27"/>
      <c r="D6" s="27"/>
      <c r="E6" s="28"/>
    </row>
    <row r="7" spans="1:5">
      <c r="A7" s="35"/>
      <c r="B7" s="27"/>
      <c r="C7" s="27"/>
      <c r="D7" s="27"/>
      <c r="E7" s="28"/>
    </row>
    <row r="8" spans="1:5">
      <c r="A8" s="35"/>
      <c r="B8" s="27"/>
      <c r="C8" s="27"/>
      <c r="D8" s="27"/>
      <c r="E8" s="28"/>
    </row>
    <row r="9" spans="1:5">
      <c r="A9" s="35"/>
      <c r="B9" s="27"/>
      <c r="C9" s="27"/>
      <c r="D9" s="27"/>
      <c r="E9" s="28"/>
    </row>
    <row r="10" spans="1:5">
      <c r="A10" s="35"/>
      <c r="B10" s="27"/>
      <c r="C10" s="27"/>
      <c r="D10" s="27"/>
      <c r="E10" s="28"/>
    </row>
    <row r="11" spans="1:5">
      <c r="A11" s="35"/>
      <c r="B11" s="27"/>
      <c r="C11" s="27"/>
      <c r="D11" s="27"/>
      <c r="E11" s="28"/>
    </row>
    <row r="12" spans="1:5">
      <c r="A12" s="35"/>
      <c r="B12" s="27"/>
      <c r="C12" s="27"/>
      <c r="D12" s="27"/>
      <c r="E12" s="28"/>
    </row>
    <row r="13" spans="1:5">
      <c r="A13" s="35"/>
      <c r="B13" s="27"/>
      <c r="C13" s="27"/>
      <c r="D13" s="27"/>
      <c r="E13" s="28"/>
    </row>
    <row r="14" spans="1:5">
      <c r="A14" s="35"/>
      <c r="B14" s="27"/>
      <c r="C14" s="27"/>
      <c r="D14" s="27"/>
      <c r="E14" s="28"/>
    </row>
    <row r="15" spans="1:5">
      <c r="A15" s="35"/>
      <c r="B15" s="27"/>
      <c r="C15" s="27"/>
      <c r="D15" s="27"/>
      <c r="E15" s="28"/>
    </row>
    <row r="16" spans="1:5">
      <c r="A16" s="36"/>
      <c r="B16" s="31"/>
      <c r="C16" s="31"/>
      <c r="D16" s="31"/>
      <c r="E16" s="32"/>
    </row>
  </sheetData>
  <mergeCells count="2">
    <mergeCell ref="A1:D1"/>
    <mergeCell ref="A2:D2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showGridLines="0" zoomScale="120" zoomScaleNormal="120" workbookViewId="0">
      <selection activeCell="H24" sqref="H24"/>
    </sheetView>
  </sheetViews>
  <sheetFormatPr baseColWidth="10" defaultColWidth="8.83203125" defaultRowHeight="14"/>
  <cols>
    <col min="1" max="2" width="16" customWidth="1"/>
    <col min="3" max="3" width="30" customWidth="1"/>
    <col min="4" max="4" width="30" bestFit="1" customWidth="1"/>
    <col min="5" max="5" width="42" customWidth="1"/>
  </cols>
  <sheetData>
    <row r="1" spans="1:5" ht="28" customHeight="1">
      <c r="A1" s="43" t="s">
        <v>212</v>
      </c>
      <c r="B1" s="43"/>
      <c r="C1" s="43"/>
      <c r="D1" s="43"/>
      <c r="E1" s="2"/>
    </row>
    <row r="2" spans="1:5" ht="34" customHeight="1">
      <c r="A2" s="44" t="s">
        <v>206</v>
      </c>
      <c r="B2" s="44"/>
      <c r="C2" s="44"/>
      <c r="D2" s="44"/>
      <c r="E2" s="2"/>
    </row>
    <row r="3" spans="1:5" ht="15">
      <c r="A3" s="2"/>
      <c r="B3" s="2"/>
      <c r="C3" s="2"/>
      <c r="D3" s="2"/>
      <c r="E3" s="2"/>
    </row>
    <row r="4" spans="1:5" ht="15">
      <c r="A4" s="33" t="s">
        <v>207</v>
      </c>
      <c r="B4" s="33" t="s">
        <v>208</v>
      </c>
      <c r="C4" s="33" t="s">
        <v>213</v>
      </c>
      <c r="D4" s="33" t="s">
        <v>214</v>
      </c>
      <c r="E4" s="33" t="s">
        <v>215</v>
      </c>
    </row>
    <row r="5" spans="1:5" ht="30">
      <c r="A5" s="38">
        <v>2022.05</v>
      </c>
      <c r="B5" s="39" t="s">
        <v>327</v>
      </c>
      <c r="C5" s="23" t="s">
        <v>328</v>
      </c>
      <c r="D5" s="23" t="s">
        <v>329</v>
      </c>
      <c r="E5" s="24" t="s">
        <v>332</v>
      </c>
    </row>
    <row r="6" spans="1:5" ht="30">
      <c r="A6" s="40">
        <v>2006.07</v>
      </c>
      <c r="B6" s="41">
        <v>2022.05</v>
      </c>
      <c r="C6" s="27" t="s">
        <v>330</v>
      </c>
      <c r="D6" s="27" t="s">
        <v>331</v>
      </c>
      <c r="E6" s="28" t="s">
        <v>333</v>
      </c>
    </row>
    <row r="7" spans="1:5">
      <c r="A7" s="35"/>
      <c r="B7" s="27"/>
      <c r="C7" s="27"/>
      <c r="D7" s="27"/>
      <c r="E7" s="28"/>
    </row>
    <row r="8" spans="1:5">
      <c r="A8" s="35"/>
      <c r="B8" s="27"/>
      <c r="C8" s="27"/>
      <c r="D8" s="27"/>
      <c r="E8" s="28"/>
    </row>
    <row r="9" spans="1:5">
      <c r="A9" s="35"/>
      <c r="B9" s="27"/>
      <c r="C9" s="27"/>
      <c r="D9" s="27"/>
      <c r="E9" s="28"/>
    </row>
    <row r="10" spans="1:5">
      <c r="A10" s="35"/>
      <c r="B10" s="27"/>
      <c r="C10" s="27"/>
      <c r="D10" s="27"/>
      <c r="E10" s="28"/>
    </row>
    <row r="11" spans="1:5">
      <c r="A11" s="35"/>
      <c r="B11" s="27"/>
      <c r="C11" s="27"/>
      <c r="D11" s="27"/>
      <c r="E11" s="28"/>
    </row>
    <row r="12" spans="1:5">
      <c r="A12" s="35"/>
      <c r="B12" s="27"/>
      <c r="C12" s="27"/>
      <c r="D12" s="27"/>
      <c r="E12" s="28"/>
    </row>
    <row r="13" spans="1:5">
      <c r="A13" s="35"/>
      <c r="B13" s="27"/>
      <c r="C13" s="27"/>
      <c r="D13" s="27"/>
      <c r="E13" s="28"/>
    </row>
    <row r="14" spans="1:5">
      <c r="A14" s="35"/>
      <c r="B14" s="27"/>
      <c r="C14" s="27"/>
      <c r="D14" s="27"/>
      <c r="E14" s="28"/>
    </row>
    <row r="15" spans="1:5">
      <c r="A15" s="35"/>
      <c r="B15" s="27"/>
      <c r="C15" s="27"/>
      <c r="D15" s="27"/>
      <c r="E15" s="28"/>
    </row>
    <row r="16" spans="1:5">
      <c r="A16" s="35"/>
      <c r="B16" s="27"/>
      <c r="C16" s="27"/>
      <c r="D16" s="27"/>
      <c r="E16" s="28"/>
    </row>
    <row r="17" spans="1:5">
      <c r="A17" s="35"/>
      <c r="B17" s="27"/>
      <c r="C17" s="27"/>
      <c r="D17" s="27"/>
      <c r="E17" s="28"/>
    </row>
    <row r="18" spans="1:5">
      <c r="A18" s="35"/>
      <c r="B18" s="27"/>
      <c r="C18" s="27"/>
      <c r="D18" s="27"/>
      <c r="E18" s="28"/>
    </row>
    <row r="19" spans="1:5">
      <c r="A19" s="35"/>
      <c r="B19" s="27"/>
      <c r="C19" s="27"/>
      <c r="D19" s="27"/>
      <c r="E19" s="28"/>
    </row>
    <row r="20" spans="1:5">
      <c r="A20" s="35"/>
      <c r="B20" s="27"/>
      <c r="C20" s="27"/>
      <c r="D20" s="27"/>
      <c r="E20" s="28"/>
    </row>
    <row r="21" spans="1:5">
      <c r="A21" s="35"/>
      <c r="B21" s="27"/>
      <c r="C21" s="27"/>
      <c r="D21" s="27"/>
      <c r="E21" s="28"/>
    </row>
    <row r="22" spans="1:5">
      <c r="A22" s="36"/>
      <c r="B22" s="31"/>
      <c r="C22" s="31"/>
      <c r="D22" s="31"/>
      <c r="E22" s="32"/>
    </row>
  </sheetData>
  <mergeCells count="2">
    <mergeCell ref="A1:D1"/>
    <mergeCell ref="A2:D2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showGridLines="0" zoomScale="130" zoomScaleNormal="130" workbookViewId="0">
      <selection sqref="A1:D1"/>
    </sheetView>
  </sheetViews>
  <sheetFormatPr baseColWidth="10" defaultColWidth="8.83203125" defaultRowHeight="14"/>
  <cols>
    <col min="1" max="1" width="18" customWidth="1"/>
    <col min="2" max="2" width="30" customWidth="1"/>
    <col min="3" max="3" width="42" customWidth="1"/>
    <col min="4" max="4" width="18" customWidth="1"/>
  </cols>
  <sheetData>
    <row r="1" spans="1:4" ht="28" customHeight="1">
      <c r="A1" s="43" t="s">
        <v>336</v>
      </c>
      <c r="B1" s="43"/>
      <c r="C1" s="43"/>
      <c r="D1" s="43"/>
    </row>
    <row r="2" spans="1:4" ht="34" customHeight="1">
      <c r="A2" s="44" t="s">
        <v>216</v>
      </c>
      <c r="B2" s="44"/>
      <c r="C2" s="44"/>
      <c r="D2" s="44"/>
    </row>
    <row r="3" spans="1:4" ht="15">
      <c r="A3" s="2"/>
      <c r="B3" s="2"/>
      <c r="C3" s="2"/>
      <c r="D3" s="2"/>
    </row>
    <row r="4" spans="1:4" ht="24" customHeight="1">
      <c r="A4" s="1" t="s">
        <v>36</v>
      </c>
      <c r="B4" s="1" t="s">
        <v>37</v>
      </c>
      <c r="C4" s="1" t="s">
        <v>38</v>
      </c>
      <c r="D4" s="1" t="s">
        <v>39</v>
      </c>
    </row>
    <row r="5" spans="1:4" ht="34" customHeight="1">
      <c r="A5" s="12" t="s">
        <v>217</v>
      </c>
      <c r="B5" s="13" t="s">
        <v>218</v>
      </c>
      <c r="C5" s="14" t="s">
        <v>334</v>
      </c>
      <c r="D5" s="15" t="s">
        <v>219</v>
      </c>
    </row>
    <row r="6" spans="1:4" ht="34" customHeight="1">
      <c r="A6" s="16" t="s">
        <v>220</v>
      </c>
      <c r="B6" s="7" t="s">
        <v>221</v>
      </c>
      <c r="C6" s="42">
        <v>20</v>
      </c>
      <c r="D6" s="8" t="s">
        <v>222</v>
      </c>
    </row>
    <row r="7" spans="1:4" ht="34" customHeight="1">
      <c r="A7" s="16" t="s">
        <v>223</v>
      </c>
      <c r="B7" s="7" t="s">
        <v>224</v>
      </c>
      <c r="C7" s="17" t="s">
        <v>225</v>
      </c>
      <c r="D7" s="8" t="s">
        <v>226</v>
      </c>
    </row>
    <row r="8" spans="1:4" ht="34" customHeight="1">
      <c r="A8" s="16" t="s">
        <v>227</v>
      </c>
      <c r="B8" s="7" t="s">
        <v>228</v>
      </c>
      <c r="C8" s="17" t="s">
        <v>107</v>
      </c>
      <c r="D8" s="8" t="s">
        <v>229</v>
      </c>
    </row>
    <row r="9" spans="1:4" ht="34" customHeight="1">
      <c r="A9" s="16" t="s">
        <v>230</v>
      </c>
      <c r="B9" s="7" t="s">
        <v>231</v>
      </c>
      <c r="C9" s="17" t="s">
        <v>107</v>
      </c>
      <c r="D9" s="8" t="s">
        <v>229</v>
      </c>
    </row>
    <row r="10" spans="1:4" ht="34" customHeight="1">
      <c r="A10" s="16" t="s">
        <v>232</v>
      </c>
      <c r="B10" s="7" t="s">
        <v>233</v>
      </c>
      <c r="C10" s="17" t="s">
        <v>335</v>
      </c>
      <c r="D10" s="8" t="s">
        <v>229</v>
      </c>
    </row>
    <row r="11" spans="1:4" ht="34" customHeight="1">
      <c r="A11" s="16" t="s">
        <v>234</v>
      </c>
      <c r="B11" s="7" t="s">
        <v>235</v>
      </c>
      <c r="C11" s="17"/>
      <c r="D11" s="8" t="s">
        <v>236</v>
      </c>
    </row>
    <row r="12" spans="1:4" ht="34" customHeight="1">
      <c r="A12" s="16" t="s">
        <v>237</v>
      </c>
      <c r="B12" s="7" t="s">
        <v>238</v>
      </c>
      <c r="C12" s="17" t="s">
        <v>107</v>
      </c>
      <c r="D12" s="8" t="s">
        <v>239</v>
      </c>
    </row>
    <row r="13" spans="1:4" ht="34" customHeight="1">
      <c r="A13" s="18" t="s">
        <v>240</v>
      </c>
      <c r="B13" s="10" t="s">
        <v>241</v>
      </c>
      <c r="C13" s="19" t="s">
        <v>107</v>
      </c>
      <c r="D13" s="11" t="s">
        <v>239</v>
      </c>
    </row>
  </sheetData>
  <mergeCells count="2">
    <mergeCell ref="A1:D1"/>
    <mergeCell ref="A2:D2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showGridLines="0" zoomScale="130" zoomScaleNormal="130" workbookViewId="0">
      <selection activeCell="F19" sqref="F19"/>
    </sheetView>
  </sheetViews>
  <sheetFormatPr baseColWidth="10" defaultColWidth="8.83203125" defaultRowHeight="14"/>
  <cols>
    <col min="1" max="1" width="16" customWidth="1"/>
    <col min="2" max="2" width="34" customWidth="1"/>
    <col min="3" max="3" width="20" customWidth="1"/>
    <col min="4" max="4" width="32" customWidth="1"/>
  </cols>
  <sheetData>
    <row r="1" spans="1:4" ht="28" customHeight="1">
      <c r="A1" s="43" t="s">
        <v>242</v>
      </c>
      <c r="B1" s="43"/>
      <c r="C1" s="43"/>
      <c r="D1" s="43"/>
    </row>
    <row r="2" spans="1:4" ht="34" customHeight="1">
      <c r="A2" s="44" t="s">
        <v>243</v>
      </c>
      <c r="B2" s="44"/>
      <c r="C2" s="44"/>
      <c r="D2" s="44"/>
    </row>
    <row r="3" spans="1:4" ht="15">
      <c r="A3" s="2"/>
      <c r="B3" s="2"/>
      <c r="C3" s="2"/>
      <c r="D3" s="2"/>
    </row>
    <row r="4" spans="1:4" ht="15">
      <c r="A4" s="33" t="s">
        <v>244</v>
      </c>
      <c r="B4" s="33" t="s">
        <v>245</v>
      </c>
      <c r="C4" s="33" t="s">
        <v>246</v>
      </c>
      <c r="D4" s="33" t="s">
        <v>211</v>
      </c>
    </row>
    <row r="5" spans="1:4" ht="15">
      <c r="A5" s="37" t="s">
        <v>247</v>
      </c>
      <c r="B5" s="13" t="s">
        <v>248</v>
      </c>
      <c r="C5" s="23" t="s">
        <v>249</v>
      </c>
      <c r="D5" s="15" t="s">
        <v>250</v>
      </c>
    </row>
    <row r="6" spans="1:4" ht="15">
      <c r="A6" s="6" t="s">
        <v>247</v>
      </c>
      <c r="B6" s="7" t="s">
        <v>251</v>
      </c>
      <c r="C6" s="27" t="s">
        <v>249</v>
      </c>
      <c r="D6" s="8" t="s">
        <v>252</v>
      </c>
    </row>
    <row r="7" spans="1:4" ht="15">
      <c r="A7" s="6" t="s">
        <v>247</v>
      </c>
      <c r="B7" s="7" t="s">
        <v>253</v>
      </c>
      <c r="C7" s="27" t="s">
        <v>249</v>
      </c>
      <c r="D7" s="8" t="s">
        <v>254</v>
      </c>
    </row>
    <row r="8" spans="1:4" ht="15">
      <c r="A8" s="6" t="s">
        <v>247</v>
      </c>
      <c r="B8" s="7" t="s">
        <v>255</v>
      </c>
      <c r="C8" s="27" t="s">
        <v>249</v>
      </c>
      <c r="D8" s="8" t="s">
        <v>256</v>
      </c>
    </row>
    <row r="9" spans="1:4" ht="15">
      <c r="A9" s="6" t="s">
        <v>247</v>
      </c>
      <c r="B9" s="7" t="s">
        <v>257</v>
      </c>
      <c r="C9" s="27" t="s">
        <v>249</v>
      </c>
      <c r="D9" s="8" t="s">
        <v>258</v>
      </c>
    </row>
    <row r="10" spans="1:4" ht="15">
      <c r="A10" s="6" t="s">
        <v>247</v>
      </c>
      <c r="B10" s="7" t="s">
        <v>259</v>
      </c>
      <c r="C10" s="27" t="s">
        <v>249</v>
      </c>
      <c r="D10" s="8" t="s">
        <v>260</v>
      </c>
    </row>
    <row r="11" spans="1:4" ht="15">
      <c r="A11" s="6" t="s">
        <v>247</v>
      </c>
      <c r="B11" s="7" t="s">
        <v>261</v>
      </c>
      <c r="C11" s="27" t="s">
        <v>249</v>
      </c>
      <c r="D11" s="8" t="s">
        <v>262</v>
      </c>
    </row>
    <row r="12" spans="1:4" ht="15">
      <c r="A12" s="6" t="s">
        <v>247</v>
      </c>
      <c r="B12" s="7" t="s">
        <v>263</v>
      </c>
      <c r="C12" s="27" t="s">
        <v>249</v>
      </c>
      <c r="D12" s="8" t="s">
        <v>264</v>
      </c>
    </row>
    <row r="13" spans="1:4" ht="15">
      <c r="A13" s="6" t="s">
        <v>265</v>
      </c>
      <c r="B13" s="7" t="s">
        <v>266</v>
      </c>
      <c r="C13" s="27" t="s">
        <v>249</v>
      </c>
      <c r="D13" s="8" t="s">
        <v>267</v>
      </c>
    </row>
    <row r="14" spans="1:4" ht="15">
      <c r="A14" s="6" t="s">
        <v>265</v>
      </c>
      <c r="B14" s="7" t="s">
        <v>268</v>
      </c>
      <c r="C14" s="27" t="s">
        <v>249</v>
      </c>
      <c r="D14" s="8" t="s">
        <v>269</v>
      </c>
    </row>
    <row r="15" spans="1:4" ht="15">
      <c r="A15" s="6" t="s">
        <v>265</v>
      </c>
      <c r="B15" s="7" t="s">
        <v>270</v>
      </c>
      <c r="C15" s="27" t="s">
        <v>249</v>
      </c>
      <c r="D15" s="8" t="s">
        <v>271</v>
      </c>
    </row>
    <row r="16" spans="1:4" ht="15">
      <c r="A16" s="6" t="s">
        <v>265</v>
      </c>
      <c r="B16" s="7" t="s">
        <v>272</v>
      </c>
      <c r="C16" s="27" t="s">
        <v>249</v>
      </c>
      <c r="D16" s="8" t="s">
        <v>254</v>
      </c>
    </row>
    <row r="17" spans="1:4" ht="15">
      <c r="A17" s="6" t="s">
        <v>265</v>
      </c>
      <c r="B17" s="7" t="s">
        <v>273</v>
      </c>
      <c r="C17" s="27" t="s">
        <v>249</v>
      </c>
      <c r="D17" s="8" t="s">
        <v>274</v>
      </c>
    </row>
    <row r="18" spans="1:4" ht="15">
      <c r="A18" s="6" t="s">
        <v>265</v>
      </c>
      <c r="B18" s="7" t="s">
        <v>275</v>
      </c>
      <c r="C18" s="27" t="s">
        <v>249</v>
      </c>
      <c r="D18" s="8" t="s">
        <v>276</v>
      </c>
    </row>
    <row r="19" spans="1:4" ht="15">
      <c r="A19" s="9" t="s">
        <v>265</v>
      </c>
      <c r="B19" s="10" t="s">
        <v>277</v>
      </c>
      <c r="C19" s="31" t="s">
        <v>249</v>
      </c>
      <c r="D19" s="11" t="s">
        <v>278</v>
      </c>
    </row>
  </sheetData>
  <mergeCells count="2">
    <mergeCell ref="A1:D1"/>
    <mergeCell ref="A2:D2"/>
  </mergeCells>
  <phoneticPr fontId="7" type="noConversion"/>
  <dataValidations count="1">
    <dataValidation type="list" sqref="C5:C19" xr:uid="{00000000-0002-0000-0800-000000000000}">
      <formula1>"未开始,准备中,已完成,不适用"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showGridLines="0" zoomScale="150" zoomScaleNormal="150" workbookViewId="0">
      <selection activeCell="D14" sqref="D14"/>
    </sheetView>
  </sheetViews>
  <sheetFormatPr baseColWidth="10" defaultColWidth="8.83203125" defaultRowHeight="14"/>
  <cols>
    <col min="1" max="1" width="30" customWidth="1"/>
    <col min="2" max="2" width="28" customWidth="1"/>
    <col min="3" max="3" width="20" customWidth="1"/>
    <col min="4" max="4" width="40" customWidth="1"/>
  </cols>
  <sheetData>
    <row r="1" spans="1:4" ht="28" customHeight="1">
      <c r="A1" s="43" t="s">
        <v>279</v>
      </c>
      <c r="B1" s="43"/>
      <c r="C1" s="43"/>
      <c r="D1" s="43"/>
    </row>
    <row r="2" spans="1:4" ht="34" customHeight="1">
      <c r="A2" s="44" t="s">
        <v>280</v>
      </c>
      <c r="B2" s="44"/>
      <c r="C2" s="44"/>
      <c r="D2" s="44"/>
    </row>
    <row r="3" spans="1:4" ht="15">
      <c r="A3" s="2"/>
      <c r="B3" s="2"/>
      <c r="C3" s="2"/>
      <c r="D3" s="2"/>
    </row>
    <row r="4" spans="1:4" ht="15">
      <c r="A4" s="33" t="s">
        <v>281</v>
      </c>
      <c r="B4" s="33" t="s">
        <v>282</v>
      </c>
      <c r="C4" s="33" t="s">
        <v>283</v>
      </c>
      <c r="D4" s="33" t="s">
        <v>284</v>
      </c>
    </row>
    <row r="5" spans="1:4" ht="15">
      <c r="A5" s="37" t="s">
        <v>285</v>
      </c>
      <c r="B5" s="13" t="s">
        <v>286</v>
      </c>
      <c r="C5" s="13" t="str">
        <f>IF('01_申请人'!C5&lt;&gt;"","通过","待填写")</f>
        <v>通过</v>
      </c>
      <c r="D5" s="15" t="s">
        <v>287</v>
      </c>
    </row>
    <row r="6" spans="1:4" ht="15">
      <c r="A6" s="6" t="s">
        <v>288</v>
      </c>
      <c r="B6" s="7" t="s">
        <v>289</v>
      </c>
      <c r="C6" s="7" t="str">
        <f>IF('01_申请人'!C8&lt;&gt;"","通过","待填写")</f>
        <v>通过</v>
      </c>
      <c r="D6" s="8" t="s">
        <v>290</v>
      </c>
    </row>
    <row r="7" spans="1:4" ht="15">
      <c r="A7" s="6" t="s">
        <v>291</v>
      </c>
      <c r="B7" s="7" t="s">
        <v>292</v>
      </c>
      <c r="C7" s="7" t="str">
        <f>IF(AND('01_申请人'!C20&lt;&gt;"",'01_申请人'!C21&lt;&gt;""),"通过","待填写")</f>
        <v>通过</v>
      </c>
      <c r="D7" s="8" t="s">
        <v>293</v>
      </c>
    </row>
    <row r="8" spans="1:4" ht="15">
      <c r="A8" s="6" t="s">
        <v>294</v>
      </c>
      <c r="B8" s="7" t="s">
        <v>292</v>
      </c>
      <c r="C8" s="7" t="str">
        <f>IF(OR('01_申请人'!C20="",'01_申请人'!C21=""),"待填写",IF('01_申请人'!C21&gt;='01_申请人'!C20,"通过","日期错误"))</f>
        <v>通过</v>
      </c>
      <c r="D8" s="8" t="s">
        <v>295</v>
      </c>
    </row>
    <row r="9" spans="1:4" ht="15">
      <c r="A9" s="6" t="s">
        <v>296</v>
      </c>
      <c r="B9" s="7" t="s">
        <v>297</v>
      </c>
      <c r="C9" s="7" t="str">
        <f>IF(OR('01_申请人'!C10="",'01_申请人'!C20=""),"待填写",IF('01_申请人'!C10&gt;=EDATE('01_申请人'!C20,6),"通过","有效期不足"))</f>
        <v>通过</v>
      </c>
      <c r="D9" s="8" t="s">
        <v>298</v>
      </c>
    </row>
    <row r="10" spans="1:4" ht="15">
      <c r="A10" s="6" t="s">
        <v>299</v>
      </c>
      <c r="B10" s="7" t="s">
        <v>300</v>
      </c>
      <c r="C10" s="7" t="str">
        <f>IF('02_中方公司'!C5&lt;&gt;"","通过","待填写")</f>
        <v>通过</v>
      </c>
      <c r="D10" s="8" t="s">
        <v>301</v>
      </c>
    </row>
    <row r="11" spans="1:4" ht="15">
      <c r="A11" s="6" t="s">
        <v>302</v>
      </c>
      <c r="B11" s="7" t="s">
        <v>303</v>
      </c>
      <c r="C11" s="7" t="str">
        <f>IF('03_印度公司'!C5&lt;&gt;"","通过","待填写")</f>
        <v>待填写</v>
      </c>
      <c r="D11" s="8" t="s">
        <v>304</v>
      </c>
    </row>
    <row r="12" spans="1:4" ht="15">
      <c r="A12" s="6" t="s">
        <v>305</v>
      </c>
      <c r="B12" s="7" t="s">
        <v>306</v>
      </c>
      <c r="C12" s="7" t="str">
        <f>IF(AND('03_印度公司'!C16&lt;&gt;"",'03_印度公司'!C17&lt;&gt;""),"通过","待填写")</f>
        <v>待填写</v>
      </c>
      <c r="D12" s="8" t="s">
        <v>307</v>
      </c>
    </row>
    <row r="13" spans="1:4" ht="15">
      <c r="A13" s="6" t="s">
        <v>308</v>
      </c>
      <c r="B13" s="7" t="s">
        <v>309</v>
      </c>
      <c r="C13" s="7" t="str">
        <f>IF(COUNTA('04_行程'!A5:F5)&gt;=5,"通过","待填写")</f>
        <v>通过</v>
      </c>
      <c r="D13" s="8" t="s">
        <v>310</v>
      </c>
    </row>
    <row r="14" spans="1:4" ht="15">
      <c r="A14" s="9" t="s">
        <v>311</v>
      </c>
      <c r="B14" s="10" t="s">
        <v>312</v>
      </c>
      <c r="C14" s="10" t="str">
        <f>IF(COUNTBLANK('07_Proforma补充'!C5:C13)=0,"通过","待填写")</f>
        <v>待填写</v>
      </c>
      <c r="D14" s="11" t="s">
        <v>124</v>
      </c>
    </row>
  </sheetData>
  <mergeCells count="2">
    <mergeCell ref="A1:D1"/>
    <mergeCell ref="A2:D2"/>
  </mergeCells>
  <phoneticPr fontId="7" type="noConversion"/>
  <conditionalFormatting sqref="C5:C14">
    <cfRule type="expression" dxfId="1" priority="1">
      <formula>C5="通过"</formula>
    </cfRule>
    <cfRule type="expression" dxfId="0" priority="2">
      <formula>C5&lt;&gt;"通过"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00_使用说明</vt:lpstr>
      <vt:lpstr>01_申请人</vt:lpstr>
      <vt:lpstr>02_中方公司</vt:lpstr>
      <vt:lpstr>03_印度公司</vt:lpstr>
      <vt:lpstr>04_行程</vt:lpstr>
      <vt:lpstr>05_教育经历</vt:lpstr>
      <vt:lpstr>06_工作经历</vt:lpstr>
      <vt:lpstr>07_Proforma补充</vt:lpstr>
      <vt:lpstr>08_材料清单</vt:lpstr>
      <vt:lpstr>09_一致性检查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Jiajun</cp:lastModifiedBy>
  <dcterms:modified xsi:type="dcterms:W3CDTF">2026-08-05T00:40:33Z</dcterms:modified>
</cp:coreProperties>
</file>