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9.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DieseArbeitsmappe"/>
  <mc:AlternateContent xmlns:mc="http://schemas.openxmlformats.org/markup-compatibility/2006">
    <mc:Choice Requires="x15">
      <x15ac:absPath xmlns:x15ac="http://schemas.microsoft.com/office/spreadsheetml/2010/11/ac" url="C:\1. 工作运行 Working running\1. Work running\1. Business trip\BT schedule 2026\CW28\"/>
    </mc:Choice>
  </mc:AlternateContent>
  <xr:revisionPtr revIDLastSave="0" documentId="13_ncr:1_{C09CD307-3BDC-414A-B106-943B23CE772D}" xr6:coauthVersionLast="47" xr6:coauthVersionMax="47" xr10:uidLastSave="{00000000-0000-0000-0000-000000000000}"/>
  <bookViews>
    <workbookView xWindow="-110" yWindow="-110" windowWidth="19420" windowHeight="11500" tabRatio="855" firstSheet="2" activeTab="3" xr2:uid="{00000000-000D-0000-FFFF-FFFF00000000}"/>
  </bookViews>
  <sheets>
    <sheet name="Datasheet" sheetId="1" r:id="rId1"/>
    <sheet name="Datenquelle" sheetId="2" state="hidden" r:id="rId2"/>
    <sheet name="Remarks" sheetId="9" r:id="rId3"/>
    <sheet name="Evaluationsheet" sheetId="3" r:id="rId4"/>
    <sheet name="(1) Projectmanagement" sheetId="4" r:id="rId5"/>
    <sheet name="(2) Order admin &amp; planning" sheetId="19" r:id="rId6"/>
    <sheet name="(3) Basic mat., supplier, capa." sheetId="5" r:id="rId7"/>
    <sheet name="(4) Goods receipt, warehouse" sheetId="7" r:id="rId8"/>
    <sheet name="(5) Production" sheetId="8" r:id="rId9"/>
    <sheet name="(6) Shipment" sheetId="12" r:id="rId10"/>
    <sheet name="(7) Logistic setup" sheetId="6" r:id="rId11"/>
    <sheet name="Radar chart" sheetId="21" r:id="rId12"/>
    <sheet name="LOP" sheetId="10" r:id="rId13"/>
    <sheet name="Text" sheetId="11" r:id="rId14"/>
  </sheets>
  <externalReferences>
    <externalReference r:id="rId15"/>
  </externalReferences>
  <definedNames>
    <definedName name="_xlnm._FilterDatabase" localSheetId="0" hidden="1">Datasheet!$B$1:$F$36</definedName>
    <definedName name="A_min" comment="&quot;A&quot;-Rating ab (%)">Evaluationsheet!$C$21</definedName>
    <definedName name="B_min" comment="&quot;B&quot;-Rating ab (%)">Evaluationsheet!$C$22</definedName>
    <definedName name="bedingterfuellt">Datenquelle!$AM$25</definedName>
    <definedName name="erfuellt">Datenquelle!$AM$24</definedName>
    <definedName name="Ergebnis" comment="Ergebnis log. PA in %">Evaluationsheet!$C$14</definedName>
    <definedName name="Max_Nichtantworten" comment="Anzahl maximal nicht beantworteter Fragen pro Modul">Datasheet!$L$7</definedName>
    <definedName name="Modul1_Bew">[1]Datenquelle!$G$5</definedName>
    <definedName name="Modul2_Bew">[1]Datenquelle!$L$5</definedName>
    <definedName name="Modul3_Bew">[1]Datenquelle!$Q$5</definedName>
    <definedName name="Modul4_Bew">[1]Datenquelle!$V$5</definedName>
    <definedName name="Modul5_Bew">[1]Datenquelle!$AA$5</definedName>
    <definedName name="Modul6_Bew">[1]Datenquelle!$AF$5</definedName>
    <definedName name="Modul7_Bew">[1]Datenquelle!$AK$5</definedName>
    <definedName name="Modul8_Bew">[1]Datenquelle!$AP$5</definedName>
    <definedName name="nichterfuellt">Datenquelle!$AM$26</definedName>
    <definedName name="_xlnm.Print_Area" localSheetId="4">'(1) Projectmanagement'!$A$1:$G$30</definedName>
    <definedName name="_xlnm.Print_Area" localSheetId="5">'(2) Order admin &amp; planning'!$A$1:$G$24</definedName>
    <definedName name="_xlnm.Print_Area" localSheetId="6">'(3) Basic mat., supplier, capa.'!$A$1:$G$27</definedName>
    <definedName name="_xlnm.Print_Area" localSheetId="7">'(4) Goods receipt, warehouse'!$A$1:$G$30</definedName>
    <definedName name="_xlnm.Print_Area" localSheetId="8">'(5) Production'!$A$1:$G$27</definedName>
    <definedName name="_xlnm.Print_Area" localSheetId="9">'(6) Shipment'!$A$1:$G$24</definedName>
    <definedName name="_xlnm.Print_Area" localSheetId="10">'(7) Logistic setup'!$A$1:$G$27</definedName>
    <definedName name="_xlnm.Print_Area" localSheetId="0">Datasheet!$A$1:$F$46</definedName>
    <definedName name="_xlnm.Print_Area" localSheetId="3">Evaluationsheet!$A$1:$E$24</definedName>
    <definedName name="_xlnm.Print_Area" localSheetId="12">LOP!$A$1:$J$27</definedName>
    <definedName name="_xlnm.Print_Area" localSheetId="11">'Radar chart'!$A$1:$L$18</definedName>
    <definedName name="_xlnm.Print_Area" localSheetId="2">Remarks!$A$1:$G$60</definedName>
    <definedName name="_xlnm.Print_Area" localSheetId="13">Text!$A$1:$C$56</definedName>
    <definedName name="_xlnm.Print_Titles" localSheetId="5">'(2) Order admin &amp; planning'!$1:$5</definedName>
    <definedName name="_xlnm.Print_Titles" localSheetId="9">'(6) Shipment'!$1:$5</definedName>
    <definedName name="_xlnm.Print_Titles" localSheetId="12">LOP!$1:$5</definedName>
    <definedName name="_xlnm.Print_Titles" localSheetId="2">Remarks!$1:$4</definedName>
    <definedName name="_xlnm.Print_Titles" localSheetId="13">Text!$1:$2</definedName>
    <definedName name="Schrittweite" comment="Gibt an, um wie viel % sich die Bewertung einer Frage pro Bewertungsschritt verschlechtert">Datasheet!$L$13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0" l="1"/>
  <c r="G5" i="2"/>
  <c r="K5" i="2"/>
  <c r="L5" i="2"/>
  <c r="P5" i="2"/>
  <c r="Q5" i="2"/>
  <c r="U5" i="2"/>
  <c r="V5" i="2"/>
  <c r="Z5" i="2"/>
  <c r="AA5" i="2"/>
  <c r="AE5" i="2"/>
  <c r="AF5" i="2"/>
  <c r="AJ5" i="2"/>
  <c r="AK5" i="2"/>
  <c r="V10" i="2"/>
  <c r="V13" i="2"/>
  <c r="A1" i="11" l="1"/>
  <c r="G4" i="6" l="1"/>
  <c r="G3" i="6"/>
  <c r="G2" i="6"/>
  <c r="G4" i="12"/>
  <c r="G3" i="12"/>
  <c r="G2" i="12"/>
  <c r="G4" i="8"/>
  <c r="G3" i="8"/>
  <c r="G2" i="8"/>
  <c r="G4" i="7"/>
  <c r="G3" i="7"/>
  <c r="G2" i="7"/>
  <c r="G4" i="5"/>
  <c r="G3" i="5"/>
  <c r="G2" i="5"/>
  <c r="G4" i="19"/>
  <c r="G3" i="19"/>
  <c r="G2" i="19"/>
  <c r="G4" i="4"/>
  <c r="G3" i="4"/>
  <c r="G2" i="4"/>
  <c r="B2" i="11" l="1"/>
  <c r="C26" i="6" l="1"/>
  <c r="C23" i="12"/>
  <c r="C26" i="8"/>
  <c r="C29" i="7"/>
  <c r="C26" i="5"/>
  <c r="C23" i="19"/>
  <c r="C29" i="4"/>
  <c r="A24" i="6"/>
  <c r="A21" i="12"/>
  <c r="A24" i="8"/>
  <c r="A27" i="7"/>
  <c r="A24" i="5"/>
  <c r="A21" i="19"/>
  <c r="A27" i="4"/>
  <c r="C51" i="9" l="1"/>
  <c r="C49" i="9"/>
  <c r="C48" i="9"/>
  <c r="C47" i="9"/>
  <c r="C50" i="9"/>
  <c r="C44" i="9"/>
  <c r="C43" i="9"/>
  <c r="C42" i="9"/>
  <c r="C41" i="9"/>
  <c r="C39" i="9"/>
  <c r="C33" i="9"/>
  <c r="C36" i="9"/>
  <c r="C35" i="9"/>
  <c r="C34" i="9"/>
  <c r="C32" i="9"/>
  <c r="C31" i="9"/>
  <c r="C27" i="9"/>
  <c r="C19" i="9"/>
  <c r="C18" i="9"/>
  <c r="C17" i="9"/>
  <c r="C16" i="9"/>
  <c r="C15" i="9"/>
  <c r="F20" i="12" l="1"/>
  <c r="F17" i="12"/>
  <c r="F14" i="12"/>
  <c r="F11" i="12"/>
  <c r="F8" i="12"/>
  <c r="F18" i="12"/>
  <c r="F15" i="12"/>
  <c r="F12" i="12"/>
  <c r="F9" i="12"/>
  <c r="F6" i="12"/>
  <c r="F23" i="8"/>
  <c r="F20" i="8"/>
  <c r="F17" i="8"/>
  <c r="F14" i="8"/>
  <c r="D41" i="9" s="1"/>
  <c r="F11" i="8"/>
  <c r="F8" i="8"/>
  <c r="F21" i="8"/>
  <c r="F18" i="8"/>
  <c r="F15" i="8"/>
  <c r="F12" i="8"/>
  <c r="F9" i="8"/>
  <c r="F6" i="8"/>
  <c r="F26" i="7"/>
  <c r="D36" i="9" s="1"/>
  <c r="F23" i="7"/>
  <c r="D35" i="9" s="1"/>
  <c r="F20" i="7"/>
  <c r="D34" i="9" s="1"/>
  <c r="F17" i="7"/>
  <c r="D33" i="9" s="1"/>
  <c r="F14" i="7"/>
  <c r="D32" i="9" s="1"/>
  <c r="F11" i="7"/>
  <c r="D31" i="9" s="1"/>
  <c r="F8" i="7"/>
  <c r="F24" i="7"/>
  <c r="F21" i="7"/>
  <c r="F18" i="7"/>
  <c r="F15" i="7"/>
  <c r="F12" i="7"/>
  <c r="F9" i="7"/>
  <c r="F6" i="7"/>
  <c r="F23" i="5"/>
  <c r="D27" i="9" s="1"/>
  <c r="F20" i="5"/>
  <c r="F17" i="5"/>
  <c r="F14" i="5"/>
  <c r="F11" i="5"/>
  <c r="F8" i="5"/>
  <c r="F21" i="5"/>
  <c r="F18" i="5"/>
  <c r="F15" i="5"/>
  <c r="F12" i="5"/>
  <c r="F9" i="5"/>
  <c r="F6" i="5"/>
  <c r="F20" i="19"/>
  <c r="D19" i="9" s="1"/>
  <c r="F17" i="19"/>
  <c r="D18" i="9" s="1"/>
  <c r="F14" i="19"/>
  <c r="D17" i="9" s="1"/>
  <c r="F11" i="19"/>
  <c r="D16" i="9" s="1"/>
  <c r="F9" i="19"/>
  <c r="F18" i="19"/>
  <c r="F15" i="19"/>
  <c r="F12" i="19"/>
  <c r="F8" i="19"/>
  <c r="D15" i="9" s="1"/>
  <c r="F6" i="19"/>
  <c r="F25" i="7"/>
  <c r="G13" i="2"/>
  <c r="AK12" i="2"/>
  <c r="AA12" i="2"/>
  <c r="F22" i="8" s="1"/>
  <c r="V12" i="2"/>
  <c r="F22" i="7" s="1"/>
  <c r="Q12" i="2"/>
  <c r="F22" i="5" s="1"/>
  <c r="G12" i="2"/>
  <c r="AK11" i="2"/>
  <c r="AF11" i="2"/>
  <c r="F19" i="12" s="1"/>
  <c r="AA11" i="2"/>
  <c r="F19" i="8" s="1"/>
  <c r="V11" i="2"/>
  <c r="F19" i="7" s="1"/>
  <c r="Q11" i="2"/>
  <c r="F19" i="5" s="1"/>
  <c r="L11" i="2"/>
  <c r="F19" i="19" s="1"/>
  <c r="G11" i="2"/>
  <c r="AK10" i="2"/>
  <c r="AF10" i="2"/>
  <c r="AA10" i="2"/>
  <c r="F16" i="8" s="1"/>
  <c r="F16" i="7"/>
  <c r="Q10" i="2"/>
  <c r="F16" i="5" s="1"/>
  <c r="L10" i="2"/>
  <c r="F16" i="19" s="1"/>
  <c r="G10" i="2"/>
  <c r="AK9" i="2"/>
  <c r="AF9" i="2"/>
  <c r="F13" i="12" s="1"/>
  <c r="AA9" i="2"/>
  <c r="F13" i="8" s="1"/>
  <c r="V9" i="2"/>
  <c r="F13" i="7" s="1"/>
  <c r="Q9" i="2"/>
  <c r="F13" i="5" s="1"/>
  <c r="L9" i="2"/>
  <c r="F13" i="19" s="1"/>
  <c r="G9" i="2"/>
  <c r="AK8" i="2"/>
  <c r="AF8" i="2"/>
  <c r="F10" i="12" s="1"/>
  <c r="AA8" i="2"/>
  <c r="F10" i="8" s="1"/>
  <c r="V8" i="2"/>
  <c r="F10" i="7" s="1"/>
  <c r="Q8" i="2"/>
  <c r="F10" i="5" s="1"/>
  <c r="L8" i="2"/>
  <c r="F10" i="19" s="1"/>
  <c r="G8" i="2"/>
  <c r="AK7" i="2"/>
  <c r="AF7" i="2"/>
  <c r="F7" i="12" s="1"/>
  <c r="AA7" i="2"/>
  <c r="F7" i="8" s="1"/>
  <c r="V7" i="2"/>
  <c r="F7" i="7" s="1"/>
  <c r="Q7" i="2"/>
  <c r="F7" i="5" s="1"/>
  <c r="L7" i="2"/>
  <c r="F7" i="19" s="1"/>
  <c r="G7" i="2"/>
  <c r="F22" i="12"/>
  <c r="D10" i="3" s="1"/>
  <c r="D8" i="21" s="1"/>
  <c r="G8" i="21" s="1"/>
  <c r="F25" i="8"/>
  <c r="D9" i="3" s="1"/>
  <c r="D7" i="21" s="1"/>
  <c r="G7" i="21" s="1"/>
  <c r="F28" i="7"/>
  <c r="D8" i="3" s="1"/>
  <c r="D6" i="21" s="1"/>
  <c r="G6" i="21" s="1"/>
  <c r="F25" i="5"/>
  <c r="D7" i="3" s="1"/>
  <c r="D5" i="21" s="1"/>
  <c r="G5" i="21" s="1"/>
  <c r="F22" i="19"/>
  <c r="D6" i="3" s="1"/>
  <c r="D4" i="21" s="1"/>
  <c r="G4" i="21" s="1"/>
  <c r="F5" i="2"/>
  <c r="E19" i="2"/>
  <c r="F16" i="12" l="1"/>
  <c r="A1" i="10"/>
  <c r="D42" i="9" l="1"/>
  <c r="C11" i="3" l="1"/>
  <c r="C10" i="3"/>
  <c r="C5" i="3"/>
  <c r="C59" i="9" l="1"/>
  <c r="C58" i="9"/>
  <c r="C57" i="9"/>
  <c r="C56" i="9"/>
  <c r="C55" i="9"/>
  <c r="C54" i="9"/>
  <c r="B53" i="9"/>
  <c r="B14" i="9"/>
  <c r="B46" i="9"/>
  <c r="C40" i="9"/>
  <c r="B38" i="9"/>
  <c r="B29" i="9"/>
  <c r="C30" i="9"/>
  <c r="C26" i="9"/>
  <c r="C25" i="9"/>
  <c r="C24" i="9"/>
  <c r="C12" i="9"/>
  <c r="C11" i="9"/>
  <c r="F23" i="6" l="1"/>
  <c r="D59" i="9" s="1"/>
  <c r="F20" i="6"/>
  <c r="D58" i="9" s="1"/>
  <c r="F17" i="6"/>
  <c r="D57" i="9" s="1"/>
  <c r="F14" i="6"/>
  <c r="D56" i="9" s="1"/>
  <c r="F11" i="6"/>
  <c r="D55" i="9" s="1"/>
  <c r="F8" i="6"/>
  <c r="D54" i="9" s="1"/>
  <c r="D51" i="9"/>
  <c r="D50" i="9"/>
  <c r="D49" i="9"/>
  <c r="D48" i="9"/>
  <c r="D47" i="9"/>
  <c r="D44" i="9"/>
  <c r="D43" i="9"/>
  <c r="D40" i="9"/>
  <c r="D39" i="9"/>
  <c r="D30" i="9"/>
  <c r="D26" i="9"/>
  <c r="D25" i="9"/>
  <c r="D24" i="9"/>
  <c r="F26" i="4"/>
  <c r="D12" i="9" s="1"/>
  <c r="F23" i="4"/>
  <c r="D11" i="9" s="1"/>
  <c r="F20" i="4"/>
  <c r="F17" i="4"/>
  <c r="F14" i="4"/>
  <c r="F11" i="4"/>
  <c r="F8" i="4"/>
  <c r="AO6" i="2" l="1"/>
  <c r="AO7" i="2" s="1"/>
  <c r="AO8" i="2" s="1"/>
  <c r="F19" i="6" l="1"/>
  <c r="F18" i="6"/>
  <c r="F22" i="6"/>
  <c r="F21" i="6"/>
  <c r="F10" i="6"/>
  <c r="F9" i="6"/>
  <c r="F6" i="6"/>
  <c r="F13" i="6"/>
  <c r="F12" i="6"/>
  <c r="F16" i="6"/>
  <c r="F15" i="6"/>
  <c r="F22" i="4"/>
  <c r="F21" i="4"/>
  <c r="F25" i="4"/>
  <c r="F24" i="4"/>
  <c r="F7" i="6" l="1"/>
  <c r="F25" i="6"/>
  <c r="D11" i="3" s="1"/>
  <c r="D9" i="21" s="1"/>
  <c r="G9" i="21" s="1"/>
  <c r="F28" i="4"/>
  <c r="D5" i="3" s="1"/>
  <c r="D3" i="21" s="1"/>
  <c r="A15" i="3"/>
  <c r="G3" i="21" l="1"/>
  <c r="B2" i="21"/>
  <c r="C14" i="3"/>
  <c r="F33" i="1"/>
  <c r="C22" i="9" l="1"/>
  <c r="C9" i="9"/>
  <c r="C23" i="9"/>
  <c r="C10" i="9"/>
  <c r="C8" i="9"/>
  <c r="C7" i="9"/>
  <c r="C6" i="9"/>
  <c r="B21" i="9"/>
  <c r="B5" i="9"/>
  <c r="D23" i="9"/>
  <c r="D22" i="9"/>
  <c r="D10" i="9" l="1"/>
  <c r="D9" i="9"/>
  <c r="D8" i="9"/>
  <c r="D7" i="9"/>
  <c r="D6" i="9"/>
  <c r="F7" i="4"/>
  <c r="F10" i="4"/>
  <c r="F19" i="4"/>
  <c r="F18" i="4"/>
  <c r="F15" i="4"/>
  <c r="F12" i="4"/>
  <c r="F9" i="4"/>
  <c r="F6" i="4"/>
  <c r="W18" i="3"/>
  <c r="W28" i="1"/>
  <c r="W30" i="1"/>
  <c r="W37" i="1"/>
  <c r="W39" i="1"/>
  <c r="W41" i="1"/>
  <c r="W43" i="1"/>
  <c r="W45" i="1"/>
  <c r="E14" i="1"/>
  <c r="F13" i="4" l="1"/>
  <c r="F16" i="4"/>
  <c r="C33" i="1" l="1"/>
  <c r="C9" i="3" l="1"/>
  <c r="C6" i="3"/>
  <c r="C8" i="3"/>
  <c r="C7" i="3"/>
  <c r="B4" i="3" l="1"/>
  <c r="E33" i="1" l="1"/>
</calcChain>
</file>

<file path=xl/sharedStrings.xml><?xml version="1.0" encoding="utf-8"?>
<sst xmlns="http://schemas.openxmlformats.org/spreadsheetml/2006/main" count="1086" uniqueCount="816">
  <si>
    <t>Datasheet - logistic process inspection</t>
  </si>
  <si>
    <t>General information</t>
  </si>
  <si>
    <t>For saving or printing please choose one of the following PDF export options:</t>
  </si>
  <si>
    <t>Information and settings:</t>
  </si>
  <si>
    <t>Date of evaluation:</t>
  </si>
  <si>
    <t>Possible number of not assessed questions per module 
(according VDA: 2 questions):</t>
  </si>
  <si>
    <t>Supplier type</t>
  </si>
  <si>
    <t xml:space="preserve">Supplier to be evaluated: </t>
  </si>
  <si>
    <t>Increment (%-reduction per rating-step)
(according VDA: 20%):</t>
  </si>
  <si>
    <t>Part number:</t>
  </si>
  <si>
    <t>Parts description:</t>
  </si>
  <si>
    <t>Location</t>
  </si>
  <si>
    <t>Country:</t>
  </si>
  <si>
    <t>Please select…</t>
  </si>
  <si>
    <t>Address (zip, city, street, No.):</t>
  </si>
  <si>
    <t>Project manager:</t>
  </si>
  <si>
    <t>Supplier number:</t>
  </si>
  <si>
    <t>DUNS-No.:</t>
  </si>
  <si>
    <t>Name of assessor:</t>
  </si>
  <si>
    <t>Department:</t>
  </si>
  <si>
    <t>Information about the supplier inspection</t>
  </si>
  <si>
    <t>Date of visit:</t>
  </si>
  <si>
    <t>OEM participants:</t>
  </si>
  <si>
    <t>Supplier participants:</t>
  </si>
  <si>
    <t>Process inspection:</t>
  </si>
  <si>
    <t>Information about the supplier</t>
  </si>
  <si>
    <t>Employees:</t>
  </si>
  <si>
    <t>Parent company:</t>
  </si>
  <si>
    <t>Other locations:</t>
  </si>
  <si>
    <t>References/
current supply relationships:</t>
  </si>
  <si>
    <t>Imprint</t>
  </si>
  <si>
    <t>Author</t>
  </si>
  <si>
    <t>Philipp Flößer, N/BN-L4</t>
  </si>
  <si>
    <t>Version</t>
  </si>
  <si>
    <t>v20210215</t>
  </si>
  <si>
    <t>Evaluation - summary</t>
  </si>
  <si>
    <t>Evaluation of individual modules</t>
  </si>
  <si>
    <t>Percent (max.)</t>
  </si>
  <si>
    <t>Percent (real)</t>
  </si>
  <si>
    <t>Assessment result for 'Modul 1 - Project management'</t>
  </si>
  <si>
    <t>Assessment result for 'Modul 2 - Order administration, production-
                                                               and shipment planning'</t>
  </si>
  <si>
    <t>Assessment result for 'Modul 3 - Basic material, supplier- and
                                                               capacity management'</t>
  </si>
  <si>
    <t>Assessment result for 'Modul 4 - Goods receipt and warehouse'</t>
  </si>
  <si>
    <t>Assessment result for 'Modul 5 - Production'</t>
  </si>
  <si>
    <t>Assessment result for 'Modul 6 - Shipment and transportation'</t>
  </si>
  <si>
    <t>Assessment result for 'Modul 7 - Logistic setup'</t>
  </si>
  <si>
    <t>Result logistic process inspection</t>
  </si>
  <si>
    <t>Notes/Remarks</t>
  </si>
  <si>
    <t xml:space="preserve">
</t>
  </si>
  <si>
    <t>Rating-classes</t>
  </si>
  <si>
    <t xml:space="preserve">A : </t>
  </si>
  <si>
    <t xml:space="preserve">B : </t>
  </si>
  <si>
    <t xml:space="preserve">C : </t>
  </si>
  <si>
    <t>Datenblatt</t>
  </si>
  <si>
    <t>Modul 1</t>
  </si>
  <si>
    <t>Modul 2</t>
  </si>
  <si>
    <t>Modul 3</t>
  </si>
  <si>
    <t>Modul 4</t>
  </si>
  <si>
    <t>Modul 5</t>
  </si>
  <si>
    <t>Modul 6</t>
  </si>
  <si>
    <t>Modul 7</t>
  </si>
  <si>
    <t>Bewertungsschritte</t>
  </si>
  <si>
    <t>Land</t>
  </si>
  <si>
    <t>LKZ</t>
  </si>
  <si>
    <t>Frage</t>
  </si>
  <si>
    <t>Max-Bew.</t>
  </si>
  <si>
    <t>Auswahl Dropd.</t>
  </si>
  <si>
    <t>akt. Bew.</t>
  </si>
  <si>
    <t>Bezeichnung</t>
  </si>
  <si>
    <t>Auswahl Dropdown</t>
  </si>
  <si>
    <t>Bewertung (VDA)</t>
  </si>
  <si>
    <t>Symbol</t>
  </si>
  <si>
    <t xml:space="preserve"> </t>
  </si>
  <si>
    <t>Summe</t>
  </si>
  <si>
    <t>fully met</t>
  </si>
  <si>
    <t>++</t>
  </si>
  <si>
    <t>Belgium</t>
  </si>
  <si>
    <t>BE</t>
  </si>
  <si>
    <t>Aktive Fragen</t>
  </si>
  <si>
    <t>mostly met</t>
  </si>
  <si>
    <t>+</t>
  </si>
  <si>
    <t>Germany</t>
  </si>
  <si>
    <t>DE</t>
  </si>
  <si>
    <t>1.1</t>
  </si>
  <si>
    <t>2.1</t>
  </si>
  <si>
    <t>3.1</t>
  </si>
  <si>
    <t>4.1</t>
  </si>
  <si>
    <t>5.1</t>
  </si>
  <si>
    <t>6.1</t>
  </si>
  <si>
    <t>7.1</t>
  </si>
  <si>
    <t>partially met</t>
  </si>
  <si>
    <t>○</t>
  </si>
  <si>
    <t>France</t>
  </si>
  <si>
    <t>FR</t>
  </si>
  <si>
    <t>1.2</t>
  </si>
  <si>
    <t>2.2</t>
  </si>
  <si>
    <t>3.2</t>
  </si>
  <si>
    <t>4.2</t>
  </si>
  <si>
    <t>5.2</t>
  </si>
  <si>
    <t>6.2</t>
  </si>
  <si>
    <t>7.2</t>
  </si>
  <si>
    <t>inadequately met</t>
  </si>
  <si>
    <t>-</t>
  </si>
  <si>
    <t>United Kingdom</t>
  </si>
  <si>
    <t>UK</t>
  </si>
  <si>
    <t>1.3</t>
  </si>
  <si>
    <t>2.3</t>
  </si>
  <si>
    <t>3.3</t>
  </si>
  <si>
    <t>4.3</t>
  </si>
  <si>
    <t>5.3</t>
  </si>
  <si>
    <t>6.3</t>
  </si>
  <si>
    <t>7.3</t>
  </si>
  <si>
    <t>not met</t>
  </si>
  <si>
    <t>--</t>
  </si>
  <si>
    <t>Italy</t>
  </si>
  <si>
    <t>IT</t>
  </si>
  <si>
    <t>1.4</t>
  </si>
  <si>
    <t>2.4</t>
  </si>
  <si>
    <t>3.4</t>
  </si>
  <si>
    <t>4.4</t>
  </si>
  <si>
    <t>5.4</t>
  </si>
  <si>
    <t>6.4</t>
  </si>
  <si>
    <t>7.4</t>
  </si>
  <si>
    <t>not assessed</t>
  </si>
  <si>
    <t>NB</t>
  </si>
  <si>
    <t>Netherlands</t>
  </si>
  <si>
    <t>NL</t>
  </si>
  <si>
    <t>1.5</t>
  </si>
  <si>
    <t>2.5</t>
  </si>
  <si>
    <t>3.5</t>
  </si>
  <si>
    <t>4.5</t>
  </si>
  <si>
    <t>5.5</t>
  </si>
  <si>
    <t>6.5</t>
  </si>
  <si>
    <t>7.5</t>
  </si>
  <si>
    <t>not relevant</t>
  </si>
  <si>
    <t>NR</t>
  </si>
  <si>
    <t>Austria</t>
  </si>
  <si>
    <t>AT</t>
  </si>
  <si>
    <t>1.6</t>
  </si>
  <si>
    <t>3.6</t>
  </si>
  <si>
    <t>4.6</t>
  </si>
  <si>
    <t>5.6</t>
  </si>
  <si>
    <t>7.6</t>
  </si>
  <si>
    <t>Poland</t>
  </si>
  <si>
    <t>PL</t>
  </si>
  <si>
    <t>1.7</t>
  </si>
  <si>
    <t>4.7</t>
  </si>
  <si>
    <t>Romania</t>
  </si>
  <si>
    <t>RO</t>
  </si>
  <si>
    <t>Slowakia</t>
  </si>
  <si>
    <t>SK</t>
  </si>
  <si>
    <t>Spain</t>
  </si>
  <si>
    <t>ES</t>
  </si>
  <si>
    <t>Czech Republic</t>
  </si>
  <si>
    <t>CZ</t>
  </si>
  <si>
    <t>Hungay</t>
  </si>
  <si>
    <t>HU</t>
  </si>
  <si>
    <t>Gesamt:</t>
  </si>
  <si>
    <t>Afghanistan</t>
  </si>
  <si>
    <t>AF</t>
  </si>
  <si>
    <t>Ägypten</t>
  </si>
  <si>
    <t>EG</t>
  </si>
  <si>
    <t>Albanien</t>
  </si>
  <si>
    <t>AL</t>
  </si>
  <si>
    <t>Algerien</t>
  </si>
  <si>
    <t>DZ</t>
  </si>
  <si>
    <t>Namen</t>
  </si>
  <si>
    <t>Andorra</t>
  </si>
  <si>
    <t>AD</t>
  </si>
  <si>
    <t>requirements met</t>
  </si>
  <si>
    <t>Angola</t>
  </si>
  <si>
    <t>AO</t>
  </si>
  <si>
    <t>requirements partially met</t>
  </si>
  <si>
    <t>Anguilla</t>
  </si>
  <si>
    <t>AI</t>
  </si>
  <si>
    <t>requirements not met</t>
  </si>
  <si>
    <t>Antarktis</t>
  </si>
  <si>
    <t>AQ</t>
  </si>
  <si>
    <t>Antigua und Barbuda</t>
  </si>
  <si>
    <t>AG</t>
  </si>
  <si>
    <t>Äquatorial Guinea</t>
  </si>
  <si>
    <t>GQ</t>
  </si>
  <si>
    <t>Argentinien</t>
  </si>
  <si>
    <t>AR</t>
  </si>
  <si>
    <t>Armenien</t>
  </si>
  <si>
    <t>AM</t>
  </si>
  <si>
    <t>Aruba</t>
  </si>
  <si>
    <t>AW</t>
  </si>
  <si>
    <t>Aserbaidschan</t>
  </si>
  <si>
    <t>AZ</t>
  </si>
  <si>
    <t>Äthiopien</t>
  </si>
  <si>
    <t>ET</t>
  </si>
  <si>
    <t>Australien</t>
  </si>
  <si>
    <t>AU</t>
  </si>
  <si>
    <t>Bahrain</t>
  </si>
  <si>
    <t>BH</t>
  </si>
  <si>
    <t>Bangladesh</t>
  </si>
  <si>
    <t>BD</t>
  </si>
  <si>
    <t>Barbados</t>
  </si>
  <si>
    <t>BB</t>
  </si>
  <si>
    <t>Belize</t>
  </si>
  <si>
    <t>BZ</t>
  </si>
  <si>
    <t>Benin</t>
  </si>
  <si>
    <t>BJ</t>
  </si>
  <si>
    <t>Bermudas</t>
  </si>
  <si>
    <t>BM</t>
  </si>
  <si>
    <t>Bhutan</t>
  </si>
  <si>
    <t>BT</t>
  </si>
  <si>
    <t>Birma</t>
  </si>
  <si>
    <t>BUR</t>
  </si>
  <si>
    <t>Bolivien</t>
  </si>
  <si>
    <t>BO</t>
  </si>
  <si>
    <t>Bosnien-Herzegowina</t>
  </si>
  <si>
    <t>BA</t>
  </si>
  <si>
    <t>Bouvet Inseln</t>
  </si>
  <si>
    <t>BV</t>
  </si>
  <si>
    <t>Brasilien</t>
  </si>
  <si>
    <t>BR</t>
  </si>
  <si>
    <t>Britisch-Indischer Ozean</t>
  </si>
  <si>
    <t>IO</t>
  </si>
  <si>
    <t>Brunei</t>
  </si>
  <si>
    <t>BN</t>
  </si>
  <si>
    <t>Bulgarien</t>
  </si>
  <si>
    <t>BG</t>
  </si>
  <si>
    <t>Burundi</t>
  </si>
  <si>
    <t>BI</t>
  </si>
  <si>
    <t>China</t>
  </si>
  <si>
    <t>CN</t>
  </si>
  <si>
    <t>Christmas Island</t>
  </si>
  <si>
    <t>CX</t>
  </si>
  <si>
    <t>Cook Inseln</t>
  </si>
  <si>
    <t>CK</t>
  </si>
  <si>
    <t>Costa Rica</t>
  </si>
  <si>
    <t>CR</t>
  </si>
  <si>
    <t>Dänemark</t>
  </si>
  <si>
    <t>DK</t>
  </si>
  <si>
    <t>Djibuti</t>
  </si>
  <si>
    <t>DJ</t>
  </si>
  <si>
    <t>Dominika</t>
  </si>
  <si>
    <t>DM</t>
  </si>
  <si>
    <t>Dominikanische Republik</t>
  </si>
  <si>
    <t>DO</t>
  </si>
  <si>
    <t>Ecuador</t>
  </si>
  <si>
    <t>EC</t>
  </si>
  <si>
    <t>El Salvador</t>
  </si>
  <si>
    <t>SV</t>
  </si>
  <si>
    <t>Elfenbeinküste</t>
  </si>
  <si>
    <t>CI</t>
  </si>
  <si>
    <t>Eritrea</t>
  </si>
  <si>
    <t>ER</t>
  </si>
  <si>
    <t>Estland</t>
  </si>
  <si>
    <t>EE</t>
  </si>
  <si>
    <t>Falkland Inseln</t>
  </si>
  <si>
    <t>FK</t>
  </si>
  <si>
    <t>Färöer Inseln</t>
  </si>
  <si>
    <t>FO</t>
  </si>
  <si>
    <t>Fidschi</t>
  </si>
  <si>
    <t>FJ</t>
  </si>
  <si>
    <t>Finnland</t>
  </si>
  <si>
    <t>FI</t>
  </si>
  <si>
    <t>französisch Guyana</t>
  </si>
  <si>
    <t>GF</t>
  </si>
  <si>
    <t>Französisch Polynesien</t>
  </si>
  <si>
    <t>PF</t>
  </si>
  <si>
    <t>Französisches Süd-Territorium</t>
  </si>
  <si>
    <t>TF</t>
  </si>
  <si>
    <t>Gabun</t>
  </si>
  <si>
    <t>GA</t>
  </si>
  <si>
    <t>Gambia</t>
  </si>
  <si>
    <t>GM</t>
  </si>
  <si>
    <t>Georgien</t>
  </si>
  <si>
    <t>GE</t>
  </si>
  <si>
    <t>Ghana</t>
  </si>
  <si>
    <t>GH</t>
  </si>
  <si>
    <t>Gibraltar</t>
  </si>
  <si>
    <t>GI</t>
  </si>
  <si>
    <t>Grenada</t>
  </si>
  <si>
    <t>GD</t>
  </si>
  <si>
    <t>Griechenland</t>
  </si>
  <si>
    <t>GR</t>
  </si>
  <si>
    <t>Grönland</t>
  </si>
  <si>
    <t>GL</t>
  </si>
  <si>
    <t>Großbritannien (UK)</t>
  </si>
  <si>
    <t>GB</t>
  </si>
  <si>
    <t>Guadeloupe</t>
  </si>
  <si>
    <t>GP</t>
  </si>
  <si>
    <t>Guam</t>
  </si>
  <si>
    <t>GU</t>
  </si>
  <si>
    <t>Guatemala</t>
  </si>
  <si>
    <t>GT</t>
  </si>
  <si>
    <t>Guinea</t>
  </si>
  <si>
    <t>GN</t>
  </si>
  <si>
    <t>Guinea Bissau</t>
  </si>
  <si>
    <t>GW</t>
  </si>
  <si>
    <t>Guyana</t>
  </si>
  <si>
    <t>GY</t>
  </si>
  <si>
    <t>Haiti</t>
  </si>
  <si>
    <t>HT</t>
  </si>
  <si>
    <t>Heard und McDonald Islands</t>
  </si>
  <si>
    <t>HM</t>
  </si>
  <si>
    <t>Honduras</t>
  </si>
  <si>
    <t>HN</t>
  </si>
  <si>
    <t>Hong Kong</t>
  </si>
  <si>
    <t>HK</t>
  </si>
  <si>
    <t>Indien</t>
  </si>
  <si>
    <t>IN</t>
  </si>
  <si>
    <t>Indonesien</t>
  </si>
  <si>
    <t>ID</t>
  </si>
  <si>
    <t>Irak</t>
  </si>
  <si>
    <t>IQ</t>
  </si>
  <si>
    <t>Iran</t>
  </si>
  <si>
    <t>IR</t>
  </si>
  <si>
    <t>Irland</t>
  </si>
  <si>
    <t>IE</t>
  </si>
  <si>
    <t>Island</t>
  </si>
  <si>
    <t>IS</t>
  </si>
  <si>
    <t>Israel</t>
  </si>
  <si>
    <t>IL</t>
  </si>
  <si>
    <t>Jamaika</t>
  </si>
  <si>
    <t>JM</t>
  </si>
  <si>
    <t>Japan</t>
  </si>
  <si>
    <t>JP</t>
  </si>
  <si>
    <t>Jemen</t>
  </si>
  <si>
    <t>YE</t>
  </si>
  <si>
    <t>Jordanien</t>
  </si>
  <si>
    <t>JO</t>
  </si>
  <si>
    <t>Jugoslawien</t>
  </si>
  <si>
    <t>YU</t>
  </si>
  <si>
    <t>Kaiman Inseln</t>
  </si>
  <si>
    <t>KY</t>
  </si>
  <si>
    <t>Kambodscha</t>
  </si>
  <si>
    <t>KH</t>
  </si>
  <si>
    <t>Kamerun</t>
  </si>
  <si>
    <t>CM</t>
  </si>
  <si>
    <t>Kanada</t>
  </si>
  <si>
    <t>CA</t>
  </si>
  <si>
    <t>Kap Verde</t>
  </si>
  <si>
    <t>CV</t>
  </si>
  <si>
    <t>Kasachstan</t>
  </si>
  <si>
    <t>KZ</t>
  </si>
  <si>
    <t>Kenia</t>
  </si>
  <si>
    <t>KE</t>
  </si>
  <si>
    <t>Kirgisistan</t>
  </si>
  <si>
    <t>KG</t>
  </si>
  <si>
    <t>Kiribati</t>
  </si>
  <si>
    <t>KI</t>
  </si>
  <si>
    <t>Kokosinseln</t>
  </si>
  <si>
    <t>CC</t>
  </si>
  <si>
    <t>Kolumbien</t>
  </si>
  <si>
    <t>CO</t>
  </si>
  <si>
    <t>Komoren</t>
  </si>
  <si>
    <t>KM</t>
  </si>
  <si>
    <t>Kongo</t>
  </si>
  <si>
    <t>CG</t>
  </si>
  <si>
    <t>Kongo, Demokratische Republik</t>
  </si>
  <si>
    <t>CD</t>
  </si>
  <si>
    <t>Kroatien</t>
  </si>
  <si>
    <t>HR</t>
  </si>
  <si>
    <t>Kuba</t>
  </si>
  <si>
    <t>CU</t>
  </si>
  <si>
    <t>Kuwait</t>
  </si>
  <si>
    <t>KW</t>
  </si>
  <si>
    <t>Laos</t>
  </si>
  <si>
    <t>LA</t>
  </si>
  <si>
    <t>Lesotho</t>
  </si>
  <si>
    <t>LS</t>
  </si>
  <si>
    <t>Lettland</t>
  </si>
  <si>
    <t>LV</t>
  </si>
  <si>
    <t>Libanon</t>
  </si>
  <si>
    <t>LB</t>
  </si>
  <si>
    <t>Liberia</t>
  </si>
  <si>
    <t>LR</t>
  </si>
  <si>
    <t>Libyen</t>
  </si>
  <si>
    <t>LY</t>
  </si>
  <si>
    <t>Liechtenstein</t>
  </si>
  <si>
    <t>LI</t>
  </si>
  <si>
    <t>Litauen</t>
  </si>
  <si>
    <t>LT</t>
  </si>
  <si>
    <t>Luxemburg</t>
  </si>
  <si>
    <t>LU</t>
  </si>
  <si>
    <t>Macao</t>
  </si>
  <si>
    <t>MO</t>
  </si>
  <si>
    <t>Madagaskar</t>
  </si>
  <si>
    <t>MG</t>
  </si>
  <si>
    <t>Malawi</t>
  </si>
  <si>
    <t>MW</t>
  </si>
  <si>
    <t>Malaysia</t>
  </si>
  <si>
    <t>MY</t>
  </si>
  <si>
    <t>Malediven</t>
  </si>
  <si>
    <t>MV</t>
  </si>
  <si>
    <t>Mali</t>
  </si>
  <si>
    <t>ML</t>
  </si>
  <si>
    <t>Malta</t>
  </si>
  <si>
    <t>MT</t>
  </si>
  <si>
    <t>Marianen</t>
  </si>
  <si>
    <t>MP</t>
  </si>
  <si>
    <t>Marokko</t>
  </si>
  <si>
    <t>MA</t>
  </si>
  <si>
    <t>Marshall Inseln</t>
  </si>
  <si>
    <t>MH</t>
  </si>
  <si>
    <t>Martinique</t>
  </si>
  <si>
    <t>MQ</t>
  </si>
  <si>
    <t>Mauretanien</t>
  </si>
  <si>
    <t>MR</t>
  </si>
  <si>
    <t>Mauritius</t>
  </si>
  <si>
    <t>MU</t>
  </si>
  <si>
    <t>Mayotte</t>
  </si>
  <si>
    <t>YT</t>
  </si>
  <si>
    <t>Mazedonien</t>
  </si>
  <si>
    <t>MK</t>
  </si>
  <si>
    <t>Mexiko</t>
  </si>
  <si>
    <t>MX</t>
  </si>
  <si>
    <t>Mikronesien</t>
  </si>
  <si>
    <t>FM</t>
  </si>
  <si>
    <t>Mocambique</t>
  </si>
  <si>
    <t>MZ</t>
  </si>
  <si>
    <t>Moldavien</t>
  </si>
  <si>
    <t>MD</t>
  </si>
  <si>
    <t>Monaco</t>
  </si>
  <si>
    <t>MC</t>
  </si>
  <si>
    <t>Mongolei</t>
  </si>
  <si>
    <t>MN</t>
  </si>
  <si>
    <t>Montserrat</t>
  </si>
  <si>
    <t>MS</t>
  </si>
  <si>
    <t>Namibia</t>
  </si>
  <si>
    <t>NA</t>
  </si>
  <si>
    <t>Nauru</t>
  </si>
  <si>
    <t>Nepal</t>
  </si>
  <si>
    <t>NP</t>
  </si>
  <si>
    <t>Neukaledonien</t>
  </si>
  <si>
    <t>NC</t>
  </si>
  <si>
    <t>Neuseeland</t>
  </si>
  <si>
    <t>NZ</t>
  </si>
  <si>
    <t>Nicaragua</t>
  </si>
  <si>
    <t>NI</t>
  </si>
  <si>
    <t>Niederländische Antillen</t>
  </si>
  <si>
    <t>AN</t>
  </si>
  <si>
    <t>Niger</t>
  </si>
  <si>
    <t>NE</t>
  </si>
  <si>
    <t>Nigeria</t>
  </si>
  <si>
    <t>NG</t>
  </si>
  <si>
    <t>Niue</t>
  </si>
  <si>
    <t>NU</t>
  </si>
  <si>
    <t>Nord Korea</t>
  </si>
  <si>
    <t>KP</t>
  </si>
  <si>
    <t>Norfolk Inseln</t>
  </si>
  <si>
    <t>NF</t>
  </si>
  <si>
    <t>Norwegen</t>
  </si>
  <si>
    <t>NO</t>
  </si>
  <si>
    <t>Oman</t>
  </si>
  <si>
    <t>OM</t>
  </si>
  <si>
    <t>Pakistan</t>
  </si>
  <si>
    <t>PK</t>
  </si>
  <si>
    <t>Palästina</t>
  </si>
  <si>
    <t>PS</t>
  </si>
  <si>
    <t>Palau</t>
  </si>
  <si>
    <t>PW</t>
  </si>
  <si>
    <t>Panama</t>
  </si>
  <si>
    <t>PA</t>
  </si>
  <si>
    <t>Papua Neuguinea</t>
  </si>
  <si>
    <t>PG</t>
  </si>
  <si>
    <t>Paraguay</t>
  </si>
  <si>
    <t>PY</t>
  </si>
  <si>
    <t>Peru</t>
  </si>
  <si>
    <t>PE</t>
  </si>
  <si>
    <t>Philippinen</t>
  </si>
  <si>
    <t>PH</t>
  </si>
  <si>
    <t>Pitcairn</t>
  </si>
  <si>
    <t>PN</t>
  </si>
  <si>
    <t>Portugal</t>
  </si>
  <si>
    <t>PT</t>
  </si>
  <si>
    <t>Puerto Rico</t>
  </si>
  <si>
    <t>PR</t>
  </si>
  <si>
    <t>Qatar</t>
  </si>
  <si>
    <t>QA</t>
  </si>
  <si>
    <t>Reunion</t>
  </si>
  <si>
    <t>RE</t>
  </si>
  <si>
    <t>Ruanda</t>
  </si>
  <si>
    <t>RW</t>
  </si>
  <si>
    <t>Rußland</t>
  </si>
  <si>
    <t>RU</t>
  </si>
  <si>
    <t>Saint Lucia</t>
  </si>
  <si>
    <t>LC</t>
  </si>
  <si>
    <t>Sambia</t>
  </si>
  <si>
    <t>ZM</t>
  </si>
  <si>
    <t>Samoa</t>
  </si>
  <si>
    <t>AS</t>
  </si>
  <si>
    <t>WS</t>
  </si>
  <si>
    <t>San Marino</t>
  </si>
  <si>
    <t>SM</t>
  </si>
  <si>
    <t>Sao Tome</t>
  </si>
  <si>
    <t>ST</t>
  </si>
  <si>
    <t>Saudi Arabien</t>
  </si>
  <si>
    <t>SA</t>
  </si>
  <si>
    <t>Schweden</t>
  </si>
  <si>
    <t>SE</t>
  </si>
  <si>
    <t>Schweiz</t>
  </si>
  <si>
    <t>CH</t>
  </si>
  <si>
    <t>Senegal</t>
  </si>
  <si>
    <t>SN</t>
  </si>
  <si>
    <t>Serbien</t>
  </si>
  <si>
    <t>SRB</t>
  </si>
  <si>
    <t>Seychellen</t>
  </si>
  <si>
    <t>SC</t>
  </si>
  <si>
    <t>Sierra Leone</t>
  </si>
  <si>
    <t>SL</t>
  </si>
  <si>
    <t>Singapur</t>
  </si>
  <si>
    <t>SG</t>
  </si>
  <si>
    <t>Slowenien</t>
  </si>
  <si>
    <t>SI</t>
  </si>
  <si>
    <t>Solomon Inseln</t>
  </si>
  <si>
    <t>SB</t>
  </si>
  <si>
    <t>Somalia</t>
  </si>
  <si>
    <t>SO</t>
  </si>
  <si>
    <t>South Georgia, South Sandwich Isl.</t>
  </si>
  <si>
    <t>GS</t>
  </si>
  <si>
    <t>Sri Lanka</t>
  </si>
  <si>
    <t>LK</t>
  </si>
  <si>
    <t>St. Helena</t>
  </si>
  <si>
    <t>SH</t>
  </si>
  <si>
    <t>St. Kitts Nevis Anguilla</t>
  </si>
  <si>
    <t>KN</t>
  </si>
  <si>
    <t>St. Pierre und Miquelon</t>
  </si>
  <si>
    <t>PM</t>
  </si>
  <si>
    <t>St. Vincent</t>
  </si>
  <si>
    <t>VC</t>
  </si>
  <si>
    <t>Süd Korea</t>
  </si>
  <si>
    <t>KR</t>
  </si>
  <si>
    <t>Südafrika</t>
  </si>
  <si>
    <t>ZA</t>
  </si>
  <si>
    <t>Sudan</t>
  </si>
  <si>
    <t>SD</t>
  </si>
  <si>
    <t>Surinam</t>
  </si>
  <si>
    <t>SR</t>
  </si>
  <si>
    <t>Svalbard und Jan Mayen Islands</t>
  </si>
  <si>
    <t>SJ</t>
  </si>
  <si>
    <t>Swasiland</t>
  </si>
  <si>
    <t>SZ</t>
  </si>
  <si>
    <t>Syrien</t>
  </si>
  <si>
    <t>SY</t>
  </si>
  <si>
    <t>Tadschikistan</t>
  </si>
  <si>
    <t>TJ</t>
  </si>
  <si>
    <t>Taiwan</t>
  </si>
  <si>
    <t>TW</t>
  </si>
  <si>
    <t>Tansania</t>
  </si>
  <si>
    <t>TZ</t>
  </si>
  <si>
    <t>Thailand</t>
  </si>
  <si>
    <t>TH</t>
  </si>
  <si>
    <t>Timor</t>
  </si>
  <si>
    <t>TP</t>
  </si>
  <si>
    <t>Togo</t>
  </si>
  <si>
    <t>TG</t>
  </si>
  <si>
    <t>Tokelau</t>
  </si>
  <si>
    <t>TK</t>
  </si>
  <si>
    <t>Tonga</t>
  </si>
  <si>
    <t>TO</t>
  </si>
  <si>
    <t>Trinidad Tobago</t>
  </si>
  <si>
    <t>TT</t>
  </si>
  <si>
    <t>Tschad</t>
  </si>
  <si>
    <t>TD</t>
  </si>
  <si>
    <t>Tunesien</t>
  </si>
  <si>
    <t>TN</t>
  </si>
  <si>
    <t>Türkei</t>
  </si>
  <si>
    <t>TR</t>
  </si>
  <si>
    <t>Turkmenistan</t>
  </si>
  <si>
    <t>TM</t>
  </si>
  <si>
    <t>Turks und Kaikos Inseln</t>
  </si>
  <si>
    <t>TC</t>
  </si>
  <si>
    <t>Tuvalu</t>
  </si>
  <si>
    <t>TV</t>
  </si>
  <si>
    <t>Uganda</t>
  </si>
  <si>
    <t>UG</t>
  </si>
  <si>
    <t>Ukraine</t>
  </si>
  <si>
    <t>UA</t>
  </si>
  <si>
    <t>Uruguay</t>
  </si>
  <si>
    <t>UY</t>
  </si>
  <si>
    <t>Usbekistan</t>
  </si>
  <si>
    <t>UZ</t>
  </si>
  <si>
    <t>Vanuatu</t>
  </si>
  <si>
    <t>VU</t>
  </si>
  <si>
    <t>Vatikan</t>
  </si>
  <si>
    <t>VA</t>
  </si>
  <si>
    <t>Venezuela</t>
  </si>
  <si>
    <t>VE</t>
  </si>
  <si>
    <t>Vereinigte Arabische Emirate</t>
  </si>
  <si>
    <t>AE</t>
  </si>
  <si>
    <t>Vereinigte Staaten von Amerika</t>
  </si>
  <si>
    <t>US</t>
  </si>
  <si>
    <t>Vietnam</t>
  </si>
  <si>
    <t>VN</t>
  </si>
  <si>
    <t>Virgin Island (Brit.)</t>
  </si>
  <si>
    <t>VG</t>
  </si>
  <si>
    <t>Virgin Island (USA)</t>
  </si>
  <si>
    <t>VI</t>
  </si>
  <si>
    <t>Wallis et Futuna</t>
  </si>
  <si>
    <t>WF</t>
  </si>
  <si>
    <t>Weißrußland</t>
  </si>
  <si>
    <t>BY</t>
  </si>
  <si>
    <t>Westsahara</t>
  </si>
  <si>
    <t>EH</t>
  </si>
  <si>
    <t>Zentralafrikanische Republik</t>
  </si>
  <si>
    <t>CF</t>
  </si>
  <si>
    <t>Zimbabwe</t>
  </si>
  <si>
    <t>ZW</t>
  </si>
  <si>
    <t>Zypern</t>
  </si>
  <si>
    <t>CY</t>
  </si>
  <si>
    <t>Module 1 - Project Management</t>
  </si>
  <si>
    <t>Maximum %</t>
  </si>
  <si>
    <t>No.</t>
  </si>
  <si>
    <t>Criteria</t>
  </si>
  <si>
    <t>Rating</t>
  </si>
  <si>
    <t>Reached %</t>
  </si>
  <si>
    <t>Resource planning in the project</t>
  </si>
  <si>
    <t>Organisational chart of the project team including representatives is available, capacity and allocation of the employees is transparent displayable, planned set up to (IT-) infrastructure, space and staff, critical path is known</t>
  </si>
  <si>
    <t>»</t>
  </si>
  <si>
    <t>Drop Down 14</t>
  </si>
  <si>
    <t xml:space="preserve">0=Resources in the project are not planned or monitored up to
10=Resources in the project are transparently planned and monitored </t>
  </si>
  <si>
    <t>Organised project management</t>
  </si>
  <si>
    <t>Regular project meetings, efficient project organisation (project leader), responsibilities and authorities are clearly defined, tracking of milestones, interface agreements known, IT support, lessons learned, handover process to serial production, structured process for relocations</t>
  </si>
  <si>
    <t>Drop Down 16</t>
  </si>
  <si>
    <t>0= project management lacking up to
10= project management capable and efficient</t>
  </si>
  <si>
    <t>Crisis management in projects</t>
  </si>
  <si>
    <t>Backup planning in response to project emergencies; documented procedures; escalation matrix available, clear responsibilities and authorities, information obligation to customer, willingness to solve problems in cooperation with the OEM.</t>
  </si>
  <si>
    <t>Drop Down 19</t>
  </si>
  <si>
    <t>0= lack of willingness to solve problems; no backup planning up to 
10= high degree of willingness to solve problems; backup planning in place</t>
  </si>
  <si>
    <t>Qualification level of employees</t>
  </si>
  <si>
    <t>Up-to-date qualification level; training &amp; further training; Planning of training measures, headcount planning considers new projects
Documents: e.g. qualification matrix, training schedule, etc.</t>
  </si>
  <si>
    <t>Drop Down 20</t>
  </si>
  <si>
    <t>10=Good qualification level of staff to
0=Inadequate qualification level of staff</t>
  </si>
  <si>
    <t>Technical change management</t>
  </si>
  <si>
    <t>Structured change management available, process is defined, checklist available, secured workflow (e.g.. by system), part history known, documentation and archiving, generation status is monitored</t>
  </si>
  <si>
    <t>Drop Down 21</t>
  </si>
  <si>
    <t>0=change management is not implemented up to
10=structured and transparent change management available</t>
  </si>
  <si>
    <t>Supplementary specifications for pre-series phase</t>
  </si>
  <si>
    <t>Supplementary specifications are known and practiced for supplies during the pre-series phase (generation status / part history, quality verification, unloading point, part labelling incl. generation status, yellow point)
Documents: e.g. product life report</t>
  </si>
  <si>
    <t>Drop Down 22</t>
  </si>
  <si>
    <t>10=Specifications are known to all employees and are consistently practiced to 0=Specifications are not known and are not practiced</t>
  </si>
  <si>
    <t>Technical installed capacity (Nomination Letter)</t>
  </si>
  <si>
    <t>Nomination is known (eNA ist available), shift model and capacity planning according to nomination letter - nomination on weekly basis
(usually: capacity incl. 15% flex in 240 working days in 15 shifts).</t>
  </si>
  <si>
    <t>Drop Down 23</t>
  </si>
  <si>
    <t>10=Nomination is known and implemented to
0=Nomination is not known</t>
  </si>
  <si>
    <t>Assessment result for the module "Projektmanagement"</t>
  </si>
  <si>
    <t>Module 2 - Order administration, production- and shipment planning</t>
  </si>
  <si>
    <t>Order administration</t>
  </si>
  <si>
    <t>Computerised; customer orders are administered systematically and transparently with regard to delivery dates and quantities (supplier is able to import delivery schedules into his own system), demand changes are detected and analysed
EDI-standards are considered in system planning of the supplier: 
Transfer LAB: VDA 4984, ASN: 4987, Feinabrufe: VDA 4984/4986</t>
  </si>
  <si>
    <t>Drop Down 43</t>
  </si>
  <si>
    <t>0= order administration not transparent and systematic up to 
10= order administration transparent, systematic and computerised</t>
  </si>
  <si>
    <t>Delivery status and backlogs</t>
  </si>
  <si>
    <t>Current delivery status identifiable at any time; delivery backlogs identified promptly; customer information and implementation of remedial actions ensured; tracking of cumulative delivered quantity, shortage management</t>
  </si>
  <si>
    <t>Drop Down 41</t>
  </si>
  <si>
    <t>0= delivery status not identifiable up to                                       
10= delivery status identifiable and backlogs reported</t>
  </si>
  <si>
    <t xml:space="preserve">Production programme planning </t>
  </si>
  <si>
    <t>Transparent and comprehensive production planning system considering customer orders; computerised; considers variables like capacity, scrap rate, setup time, lead time</t>
  </si>
  <si>
    <t>Drop Down 44</t>
  </si>
  <si>
    <t>0= non-methodical PPP up to
10= systematic, computerised PPP</t>
  </si>
  <si>
    <t>shipment planning</t>
  </si>
  <si>
    <t>transparent and complete planning of outgoing shipments, computerised, considering of transport and lead time, in time completion of the shipment/ production orders, information flow to the shipping office</t>
  </si>
  <si>
    <t>Drop Down 45</t>
  </si>
  <si>
    <t>0=no structured shipment planning up to
10=structured and transparent shipment planning</t>
  </si>
  <si>
    <t>Transport packaging planning</t>
  </si>
  <si>
    <t>Requirements regarding packaging planning and -material according "Logistik Standard Lastenheft" are known (LSL, chapter 4), backup concept with respect to alternative packaging; planning for providing packaging regarding date and quantity is available, responsibilities are defined and communicates, pre-shipment packaging /internal packaging ist necessary / available
1st tier: LISON-access available
n-tier:     own packaging planning and -tracking</t>
  </si>
  <si>
    <t>Drop Down 46</t>
  </si>
  <si>
    <t>10=Transport packaging is aligned and alternative packaging is defined to 
0=Transport packaging not aligned</t>
  </si>
  <si>
    <t>Assessment result for the module "Behältermanagement"</t>
  </si>
  <si>
    <t>Module 3 - Basic material, supplier and capacity management</t>
  </si>
  <si>
    <t xml:space="preserve">Input materials procurement and scheduling </t>
  </si>
  <si>
    <t>Structured, systematic and IT-based procurement and scheduling;  demand determination; lead parameter (minimum stocking volume, buffer, re-procurement times, etc.); date tracking
Documents: e.g. understocking list, delivery date tracking; structured and continuous material procurement.</t>
  </si>
  <si>
    <t>Drop Down 1</t>
  </si>
  <si>
    <t>10=Very well structured procurement and scheduling to 
0=Inadequately structure procurement and scheduling</t>
  </si>
  <si>
    <t>Transmission of delivery call-offs to sub suppliers</t>
  </si>
  <si>
    <t>Automatic and regular forwarding of delivery call-offs to sub suppliers; prompt identification and forwarding of changes of delivery call-offs</t>
  </si>
  <si>
    <t>Drop Down 11</t>
  </si>
  <si>
    <t xml:space="preserve">10=Prompt, automated transmission of delivery call-offs from customer to supplier to 0=Heavily delayed, irregular transmission of delivery call-offs from customer to supplier </t>
  </si>
  <si>
    <t>Material range for raw, semi-fabricated and finished products</t>
  </si>
  <si>
    <t>Range of current stocks; range monitoring and tracing; tools / analysis options used.</t>
  </si>
  <si>
    <t>Drop Down 12</t>
  </si>
  <si>
    <t>10=Materials range is known and is taken into account to 
0=Materials range is not known</t>
  </si>
  <si>
    <t>Emergency strategies in input material procurement</t>
  </si>
  <si>
    <t>emergency strategies in input material procurement; escalation plan in case of understocking; decoupling mechanisms (safety stocks); shortage management.</t>
  </si>
  <si>
    <t>Drop Down 13</t>
  </si>
  <si>
    <t>10=Supply risks are known and safety precautions are taken to 
0=Supply risks are not known</t>
  </si>
  <si>
    <t>Supplier management</t>
  </si>
  <si>
    <t>Input materials are correctly ordered; max. and necessary capacities and production concepts of suppliers are known and have been approved (Run @ Rate);  delivery packaging has been agreed upon, regular supplier evaluations with defined criterias (log. KPIs), process for bad ratings
Documents: e.g. overview of purchased parts (incl. nomination &amp; capacity inspection); sub supplier auditing; packaging data sheet</t>
  </si>
  <si>
    <t>10=sehr gut organisiertes Lieferantenmanagement bis 
0=ungenügend organisiertes Lieferantenmanagement</t>
  </si>
  <si>
    <t>Short-/middle- and long-term capacity analysis (identification of bottlenecks)</t>
  </si>
  <si>
    <t>Monitoring of capacity utilization; Bottlenecks in production are systematically identified and eliminated as necessary; consideration of maintenance schedules, structured escalation process to customer</t>
  </si>
  <si>
    <t>Drop Down 15</t>
  </si>
  <si>
    <t>10= bottlenecks are identified and action taken to eliminate them to
0= no identification of bottlenecks</t>
  </si>
  <si>
    <t>Assessment result for the module "Vormaterialbeschaffung und Disposition"</t>
  </si>
  <si>
    <t>Module 4 - Goods receipt and warehouse</t>
  </si>
  <si>
    <t>Goods receipt</t>
  </si>
  <si>
    <t>Workflows; clearing areas; documented procedures;
stock-in-process, receiving time according production possible</t>
  </si>
  <si>
    <t>0= unsafe processes up to 10= assured processes</t>
  </si>
  <si>
    <t>Incoming goods inspection</t>
  </si>
  <si>
    <t>delivery note, quantity and identity; submission/provision/coordination for quality control; return of NOK goods</t>
  </si>
  <si>
    <t>0= no incoming goods inspection up to 10= detailed incoming goods inspection</t>
  </si>
  <si>
    <t>Warehouse infrastructure</t>
  </si>
  <si>
    <t>Transparency and hedging (regarding location, duration), storage locations and rack systems, labelling of the material and location, access to all storage locations possible, retrieval, layout, structure and organisation, usage of scanner</t>
  </si>
  <si>
    <t>Drop Down 8</t>
  </si>
  <si>
    <t xml:space="preserve">0= warehouse management lacking up to
10= efficient, computerised warehouse management </t>
  </si>
  <si>
    <t>System-based stock management (computerised, inventory record keeping), comprehensible stock, transparent and correct, inventory control, booking procedure, storing process, inventory,  know-how for storing etc.. according production schedule available</t>
  </si>
  <si>
    <t>Drop Down 9</t>
  </si>
  <si>
    <t>0= stocks not verifiable; no inventory management up to 
10= stocks verifiable at any times; continuous inventory management</t>
  </si>
  <si>
    <t xml:space="preserve">Capacity situation at the warehouse </t>
  </si>
  <si>
    <t>Balancing of current stocks with warehouse capacities (planning taken into account?), external warehouse needed/possible?</t>
  </si>
  <si>
    <t>0= overcrowded warehouses up to
10= adequate warehouse capacity available</t>
  </si>
  <si>
    <t>Part handling respecting quality and part protection</t>
  </si>
  <si>
    <t>Affecting of the part quality by packaging , storing or moving the parts, protection against contamination, storage according requirements for temperature, ventilation, humidity, ESD, tracking of expiry date, handling of dangerous goods</t>
  </si>
  <si>
    <t>Drop Down 10</t>
  </si>
  <si>
    <t>0=Quality can not be assured by processes up to 10=Quality is assured</t>
  </si>
  <si>
    <t>Handling of non-conforming production goods</t>
  </si>
  <si>
    <t>Unambiguous marking and separate storage (e.g. non-released purchased items or semi-finished goods) in warehouse area for blocked material; inventory management, marking directly on part itself or packaging, documented procedures, claim processing</t>
  </si>
  <si>
    <t>0= unsafe processes; no area for blocked material established up to
10= safe processes in handling non-conforming products</t>
  </si>
  <si>
    <t>Assessment result for the module "Wareneingang und Lagerwesen"</t>
  </si>
  <si>
    <t>Module 5 - Production</t>
  </si>
  <si>
    <t>Organization of production</t>
  </si>
  <si>
    <t>Transparency of workflows; visualization techniques; group working; separation of reject/rework and OK parts etc.; tracking of scrap parts; infrastructure (plant/machinery/facilities planning).</t>
  </si>
  <si>
    <t>10=very well organized production to
0=lacking production organization</t>
  </si>
  <si>
    <t>Production control</t>
  </si>
  <si>
    <t>Transparent and comprehensive production control: How is the production program controlled and implemented in the production? Organizing of the actual required resources, order authorization, sequencing, assignment to the workstations, plant data collection (production response), management of backlogs to the planning</t>
  </si>
  <si>
    <t>Drop Down 17</t>
  </si>
  <si>
    <t>10=transparent and comprehensive production control to
0=opaque production control</t>
  </si>
  <si>
    <t>Occupational safety and ergonomics</t>
  </si>
  <si>
    <t>Responsible person for occupational safety is defined, compliance with existing regulations by employees, keeping clear of footpath and escape routes, ergonomic workplaces incl. part handling, sufficient lighting, air conditioning</t>
  </si>
  <si>
    <t>Drop Down 18</t>
  </si>
  <si>
    <t>0=Occupational safety is not taken into consideration
10=Occupational safety and ergonomics are ensured</t>
  </si>
  <si>
    <t>Maintenance</t>
  </si>
  <si>
    <t>Maintenance and inspection planning available. responsibilities are defined, compliance with maintenance planning and regulations, critical spare parts available, service level agreement</t>
  </si>
  <si>
    <t>0=no maintenance and  monitoring
10=maintenance is monitored</t>
  </si>
  <si>
    <t>Material feed/sequencing</t>
  </si>
  <si>
    <t>Material feed for production, e.g. pull control (KANBAN, push, pull); handling of partially-used quantities/returns to stock</t>
  </si>
  <si>
    <t>0= unsafe up to 10= process safe</t>
  </si>
  <si>
    <t>Emergency concepts for interruptions of operations</t>
  </si>
  <si>
    <t>Backup concepts for emergencies in operation (outage of facilities/tooling, material shortages); escalation channels; documents: call and information registers; instructions for action; notices, etc.</t>
  </si>
  <si>
    <t>10=Detailed emergency concepts to 
0=No emergency concepts</t>
  </si>
  <si>
    <t>Assessment result for the module "Produktionsplanung und Fertigung"</t>
  </si>
  <si>
    <t>Module 6 - Shipment and transportation</t>
  </si>
  <si>
    <t>Coordination of shipments</t>
  </si>
  <si>
    <t>Transparent coordination and implementation of shipments plans, shipping documents and shipment correspond, allocation of time slots, truck coordination at supplier, ASN transfer after loading, special transport planning 24/7 incl. ASN possible</t>
  </si>
  <si>
    <t>Drop Down 31</t>
  </si>
  <si>
    <t>0=no coordination of shipments 10=transparent coordination of shipments available</t>
  </si>
  <si>
    <t>Notification</t>
  </si>
  <si>
    <t>As per agreement with production planning and scheduling: carriers informed in good time about exact shipping quantities and delivery locations</t>
  </si>
  <si>
    <t>Drop Down 33</t>
  </si>
  <si>
    <t xml:space="preserve">0= no timely, exact advance notice given up to
10= timely, exact advance notice given  </t>
  </si>
  <si>
    <t>Shipping preparation</t>
  </si>
  <si>
    <t>Preparation areas available, sequencing according time slots, labelling of shipment (excludes mix up) sequencing and loading scheme, IT support for error prevention (pick-by-X, cross-scan)</t>
  </si>
  <si>
    <t>Drop Down 83</t>
  </si>
  <si>
    <t>0=no shipment planning
10=transparent and structured shipment planning</t>
  </si>
  <si>
    <t>Container / packaging labelling</t>
  </si>
  <si>
    <t>Unambiguous labelling as per customer specification; machine-readable barcodes etc.   
1st tier: labelling according to Global Transport Label (GTL): VDA 4994
n-tier:    alligned with customer needs</t>
  </si>
  <si>
    <t xml:space="preserve">0= marking not possible to required standard up to
10= marking to required standard possible, machine-readable </t>
  </si>
  <si>
    <t>Empties management / handling</t>
  </si>
  <si>
    <t>Emergency concept in case of container shortage; roofed empties storage
1st tier: monitoring and maintenance of empties stock in LISON</t>
  </si>
  <si>
    <t>Drop Down 80</t>
  </si>
  <si>
    <t>10=Functional empties management, orderly empties handling to 
0=Empties management not possible, poor condition of empties</t>
  </si>
  <si>
    <t>Assessment result for the module "Auftragsverarbeitung und Versand"</t>
  </si>
  <si>
    <t>Module 7 - Logistics setup</t>
  </si>
  <si>
    <t>Material flow from GI to GO</t>
  </si>
  <si>
    <t>Clear layout (paths, parking areas, etc. marked); transparency of work processes; visualization techniques; separation of waste / reworking and OK parts, etc.
Documents: e.g. layout plan of production (incl. material flow and planned duty cycles)</t>
  </si>
  <si>
    <t>10=Very transparent work processes and very good visualization techniques to 
0=Inadequately transparent work processes and inadequate visualization techniques</t>
  </si>
  <si>
    <t>Traceability and dealing with generation statuses</t>
  </si>
  <si>
    <t>Incoming goods and semi-finished products are marked with respect to their generation status/batch etc.; traceable/findable in warehouse system (e.g. separate warehouse area and/or part number management); traceability; archiving of documents; duration: min 15 years.</t>
  </si>
  <si>
    <t>10=Different generation statuses stored and allocated separately; parts labelled to 0=Traceability and special handling of different generation statuses not guaranteed</t>
  </si>
  <si>
    <t>FIFO principle</t>
  </si>
  <si>
    <t>"First in, first out" principle practiced in all areas</t>
  </si>
  <si>
    <t xml:space="preserve">10=FIFO assured to be practiced to 
0=FIFO not assured to be practiced </t>
  </si>
  <si>
    <t>Tidiness, cleanliness</t>
  </si>
  <si>
    <t>Tidiness and cleanliness in all areas</t>
  </si>
  <si>
    <t>10=Premises tidy and clean; equipment in excellent condition to 
0=Inadequate tidiness and cleanliness; equipment in poor condition</t>
  </si>
  <si>
    <t>Roofed material handling</t>
  </si>
  <si>
    <t>Roofed parts and material handling (loading/unloading, paths,…) docks, staging area, driveways etc.</t>
  </si>
  <si>
    <t>10=Efficient loading and transport equipment in good condition to
0=Inadequate condition of loading and transport equipment</t>
  </si>
  <si>
    <t>Internal container labeling</t>
  </si>
  <si>
    <t>Continuous and unambiguous labeling; clearly understandable label (part no., incoming/production date), retractable by the system, adequately sticked label to the container</t>
  </si>
  <si>
    <t>Drop Down 24</t>
  </si>
  <si>
    <t>10=efficient and up to date containerlabeling
0=Inefficient container labeling</t>
  </si>
  <si>
    <t>Assessment result for the module "Logistikorganisation"</t>
  </si>
  <si>
    <t>Remarks and explanations</t>
  </si>
  <si>
    <t>Question</t>
  </si>
  <si>
    <t>Comment</t>
  </si>
  <si>
    <t>«</t>
  </si>
  <si>
    <t>The LOP can be filled automatically with all remarks of the previous sheet and questions rated less than "fully met" (old content will be deleted):</t>
  </si>
  <si>
    <t>Module</t>
  </si>
  <si>
    <t>Description/comment</t>
  </si>
  <si>
    <t>Action</t>
  </si>
  <si>
    <t>Responsible</t>
  </si>
  <si>
    <t>Date</t>
  </si>
  <si>
    <t>Status</t>
  </si>
  <si>
    <t>Verification</t>
  </si>
  <si>
    <t>Topic and deviation</t>
  </si>
  <si>
    <t>Precise wording of the action to correct the deviation</t>
  </si>
  <si>
    <t>Contact person at supplier</t>
  </si>
  <si>
    <t>Corrected until</t>
  </si>
  <si>
    <t>Proof of effectiveness (e.g. trainings certificate, working order,…)</t>
  </si>
  <si>
    <t>The supplier analyses the reasons for the deviations and defines countermeasures, immediate measures and corrective actions including responsibilities and planned dates of introduction. This information must be sent back to the assessor within 14 days.</t>
  </si>
  <si>
    <t>Chart
(max.)</t>
  </si>
  <si>
    <t>Chart
(real.)</t>
  </si>
  <si>
    <t>Module 1
Project management</t>
  </si>
  <si>
    <t>Module 2
Order administration, production-and shipment planning</t>
  </si>
  <si>
    <t>Module 3
Basic material, supplier- and capacity management</t>
  </si>
  <si>
    <t>Module 4
Goods receipt and warehouse</t>
  </si>
  <si>
    <t>Module 5
Production</t>
  </si>
  <si>
    <t>Module 6
Shipment and transportation</t>
  </si>
  <si>
    <t>Module 7
Logistic setup</t>
  </si>
  <si>
    <t>Chart
(Standard)</t>
  </si>
  <si>
    <t>Warehouse management</t>
  </si>
  <si>
    <t>42-112-5727</t>
  </si>
  <si>
    <t>Changchun Engley Automobile Industry</t>
  </si>
  <si>
    <t>No.2379, Zhuoyue Street, High-New District, Changchun City, Jilin Province</t>
  </si>
  <si>
    <t>Li, Jiajun (C/OP-5)</t>
  </si>
  <si>
    <t>2026/07/08~2026/07/09</t>
  </si>
  <si>
    <t>Li, Zhongxuan (P/BL)
Liu, Zhang (P/BL)
Cao, Qisheng (P/BL)</t>
  </si>
  <si>
    <t>Changchun Engley Automobile Industry Co.,Ltd</t>
  </si>
  <si>
    <t>Qingdao, Foshan, Tianjin, Chengdu, Ningbo</t>
  </si>
  <si>
    <t>FAW-VW(including Audi and VW models), SAIC, BMW, Volvo, BBAC, Chery, Geely, NIO,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</si>
</sst>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 &quot; - &quot;"/>
    <numFmt numFmtId="166" formatCode="&quot;gültig bis: &quot;\ dd/mm/yyyy"/>
    <numFmt numFmtId="167" formatCode="0\ &quot;Questions/module&quot;"/>
    <numFmt numFmtId="168" formatCode="[$-409]mmmm\ d\,\ yyyy;@"/>
  </numFmts>
  <fonts count="61" x14ac:knownFonts="1">
    <font>
      <sz val="11"/>
      <color theme="1"/>
      <name val="Arial"/>
      <family val="2"/>
      <scheme val="minor"/>
    </font>
    <font>
      <sz val="10"/>
      <color theme="1"/>
      <name val="Arial"/>
      <family val="2"/>
    </font>
    <font>
      <sz val="11"/>
      <color theme="1"/>
      <name val="Arial"/>
      <family val="2"/>
      <scheme val="minor"/>
    </font>
    <font>
      <sz val="10"/>
      <color theme="1"/>
      <name val="Audi Type"/>
      <family val="2"/>
    </font>
    <font>
      <b/>
      <sz val="10"/>
      <color theme="1"/>
      <name val="Audi Type"/>
      <family val="2"/>
    </font>
    <font>
      <b/>
      <sz val="11"/>
      <color theme="1"/>
      <name val="Audi Type"/>
      <family val="2"/>
    </font>
    <font>
      <b/>
      <sz val="14"/>
      <color theme="1"/>
      <name val="Audi Type"/>
      <family val="2"/>
    </font>
    <font>
      <b/>
      <sz val="16"/>
      <color theme="1"/>
      <name val="Audi Type"/>
      <family val="2"/>
    </font>
    <font>
      <sz val="10"/>
      <name val="Arial"/>
      <family val="2"/>
    </font>
    <font>
      <sz val="10"/>
      <name val="Audi Type"/>
      <family val="2"/>
    </font>
    <font>
      <b/>
      <sz val="10"/>
      <name val="Audi Type"/>
      <family val="2"/>
    </font>
    <font>
      <sz val="11"/>
      <color theme="1"/>
      <name val="Audi Type"/>
      <family val="2"/>
    </font>
    <font>
      <sz val="10"/>
      <color theme="0"/>
      <name val="Audi Type"/>
      <family val="2"/>
    </font>
    <font>
      <sz val="6"/>
      <color theme="1"/>
      <name val="Audi Type"/>
      <family val="2"/>
    </font>
    <font>
      <sz val="6"/>
      <color theme="0"/>
      <name val="Audi Type"/>
      <family val="2"/>
    </font>
    <font>
      <sz val="16"/>
      <color theme="1"/>
      <name val="Audi Type"/>
      <family val="2"/>
    </font>
    <font>
      <sz val="20"/>
      <color theme="1"/>
      <name val="Audi Type"/>
      <family val="2"/>
    </font>
    <font>
      <b/>
      <sz val="28"/>
      <color theme="1"/>
      <name val="Audi Type"/>
      <family val="2"/>
    </font>
    <font>
      <sz val="2"/>
      <color theme="1"/>
      <name val="Audi Type"/>
      <family val="2"/>
    </font>
    <font>
      <sz val="2"/>
      <color theme="0"/>
      <name val="Audi Type"/>
      <family val="2"/>
    </font>
    <font>
      <b/>
      <sz val="10"/>
      <color theme="0"/>
      <name val="Audi Type"/>
      <family val="2"/>
    </font>
    <font>
      <sz val="28"/>
      <color theme="1"/>
      <name val="Audi Type"/>
      <family val="2"/>
    </font>
    <font>
      <sz val="36"/>
      <color theme="1"/>
      <name val="Audi Type"/>
      <family val="2"/>
    </font>
    <font>
      <b/>
      <sz val="8"/>
      <color rgb="FFFF0000"/>
      <name val="Audi Type"/>
      <family val="2"/>
    </font>
    <font>
      <sz val="10"/>
      <color theme="1"/>
      <name val="Arial"/>
      <family val="2"/>
      <scheme val="minor"/>
    </font>
    <font>
      <b/>
      <sz val="12"/>
      <color theme="1"/>
      <name val="Audi Type"/>
      <family val="2"/>
    </font>
    <font>
      <sz val="18"/>
      <color theme="1"/>
      <name val="Audi Type"/>
      <family val="2"/>
    </font>
    <font>
      <sz val="22"/>
      <color theme="1"/>
      <name val="Audi Type"/>
      <family val="2"/>
    </font>
    <font>
      <i/>
      <sz val="8"/>
      <color theme="4"/>
      <name val="Audi Type"/>
      <family val="2"/>
    </font>
    <font>
      <b/>
      <sz val="6"/>
      <color theme="1"/>
      <name val="Audi Type"/>
      <family val="2"/>
    </font>
    <font>
      <b/>
      <sz val="12"/>
      <name val="Audi Type"/>
      <family val="2"/>
    </font>
    <font>
      <b/>
      <sz val="11"/>
      <color rgb="FFFF0000"/>
      <name val="Audi Type"/>
      <family val="2"/>
    </font>
    <font>
      <sz val="14"/>
      <color theme="1"/>
      <name val="Audi Type"/>
      <family val="2"/>
    </font>
    <font>
      <sz val="8"/>
      <color theme="1"/>
      <name val="Audi Type"/>
      <family val="2"/>
    </font>
    <font>
      <sz val="40"/>
      <color theme="1"/>
      <name val="Audi Type"/>
      <family val="2"/>
    </font>
    <font>
      <sz val="11"/>
      <color theme="0"/>
      <name val="Audi Type"/>
      <family val="2"/>
    </font>
    <font>
      <sz val="48"/>
      <color theme="1"/>
      <name val="Audi Type"/>
      <family val="2"/>
    </font>
    <font>
      <u/>
      <sz val="11"/>
      <color theme="10"/>
      <name val="Arial"/>
      <family val="2"/>
    </font>
    <font>
      <u/>
      <sz val="14"/>
      <color theme="10"/>
      <name val="Arial"/>
      <family val="2"/>
    </font>
    <font>
      <b/>
      <sz val="20"/>
      <color theme="1"/>
      <name val="Audi Type"/>
      <family val="2"/>
    </font>
    <font>
      <b/>
      <sz val="6"/>
      <color theme="0"/>
      <name val="Audi Type"/>
      <family val="2"/>
    </font>
    <font>
      <b/>
      <sz val="36"/>
      <color theme="0"/>
      <name val="Audi Type"/>
      <family val="2"/>
    </font>
    <font>
      <sz val="16"/>
      <color theme="0"/>
      <name val="Audi Type"/>
      <family val="2"/>
    </font>
    <font>
      <sz val="60"/>
      <color theme="1"/>
      <name val="Audi Type"/>
      <family val="2"/>
    </font>
    <font>
      <b/>
      <sz val="10"/>
      <color rgb="FFFF0000"/>
      <name val="Audi Type"/>
      <family val="2"/>
    </font>
    <font>
      <i/>
      <sz val="10"/>
      <color theme="1"/>
      <name val="Audi Type"/>
      <family val="2"/>
    </font>
    <font>
      <b/>
      <sz val="20"/>
      <name val="Audi Type"/>
      <family val="2"/>
    </font>
    <font>
      <i/>
      <sz val="10"/>
      <color theme="0" tint="-0.249977111117893"/>
      <name val="Audi Type"/>
      <family val="2"/>
    </font>
    <font>
      <sz val="1"/>
      <color theme="0"/>
      <name val="Audi Type"/>
      <family val="2"/>
    </font>
    <font>
      <sz val="1"/>
      <color theme="1"/>
      <name val="Audi Type"/>
      <family val="2"/>
    </font>
    <font>
      <sz val="1"/>
      <color rgb="FFFF0000"/>
      <name val="Audi Type"/>
      <family val="2"/>
    </font>
    <font>
      <sz val="9"/>
      <color theme="1"/>
      <name val="Audi Type"/>
      <family val="2"/>
    </font>
    <font>
      <b/>
      <sz val="9"/>
      <color theme="1"/>
      <name val="Audi Type"/>
      <family val="2"/>
    </font>
    <font>
      <sz val="9"/>
      <color theme="0"/>
      <name val="Audi Type"/>
      <family val="2"/>
    </font>
    <font>
      <sz val="3"/>
      <color theme="1"/>
      <name val="Audi Type"/>
      <family val="2"/>
    </font>
    <font>
      <sz val="3"/>
      <color theme="0"/>
      <name val="Audi Type"/>
      <family val="2"/>
    </font>
    <font>
      <sz val="72"/>
      <color theme="1"/>
      <name val="Audi Type"/>
      <family val="2"/>
    </font>
    <font>
      <b/>
      <sz val="16"/>
      <name val="Audi Type"/>
      <family val="2"/>
    </font>
    <font>
      <b/>
      <sz val="11"/>
      <name val="Audi Type"/>
      <family val="2"/>
    </font>
    <font>
      <sz val="90"/>
      <color theme="1"/>
      <name val="Audi Type"/>
      <family val="2"/>
    </font>
    <font>
      <sz val="10"/>
      <color rgb="FFFF0000"/>
      <name val="Audi Type"/>
      <family val="2"/>
    </font>
  </fonts>
  <fills count="10">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
      <patternFill patternType="solid">
        <fgColor theme="8" tint="0.79998168889431442"/>
        <bgColor indexed="64"/>
      </patternFill>
    </fill>
    <fill>
      <patternFill patternType="solid">
        <fgColor theme="2"/>
        <bgColor indexed="64"/>
      </patternFill>
    </fill>
    <fill>
      <patternFill patternType="solid">
        <fgColor theme="4"/>
        <bgColor indexed="64"/>
      </patternFill>
    </fill>
    <fill>
      <patternFill patternType="solid">
        <fgColor rgb="FFFFFF00"/>
        <bgColor indexed="64"/>
      </patternFill>
    </fill>
    <fill>
      <patternFill patternType="solid">
        <fgColor theme="0" tint="-4.9989318521683403E-2"/>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hair">
        <color auto="1"/>
      </top>
      <bottom style="hair">
        <color auto="1"/>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hair">
        <color auto="1"/>
      </right>
      <top/>
      <bottom style="hair">
        <color auto="1"/>
      </bottom>
      <diagonal/>
    </border>
    <border>
      <left/>
      <right style="hair">
        <color auto="1"/>
      </right>
      <top style="hair">
        <color auto="1"/>
      </top>
      <bottom style="hair">
        <color auto="1"/>
      </bottom>
      <diagonal/>
    </border>
    <border>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top/>
      <bottom style="medium">
        <color theme="0"/>
      </bottom>
      <diagonal/>
    </border>
    <border>
      <left/>
      <right/>
      <top/>
      <bottom style="medium">
        <color theme="0"/>
      </bottom>
      <diagonal/>
    </border>
    <border>
      <left/>
      <right style="medium">
        <color indexed="64"/>
      </right>
      <top/>
      <bottom style="medium">
        <color theme="0"/>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theme="0"/>
      </top>
      <bottom/>
      <diagonal/>
    </border>
    <border>
      <left/>
      <right/>
      <top style="medium">
        <color theme="0"/>
      </top>
      <bottom/>
      <diagonal/>
    </border>
    <border>
      <left/>
      <right style="medium">
        <color indexed="64"/>
      </right>
      <top style="medium">
        <color theme="0"/>
      </top>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s>
  <cellStyleXfs count="4">
    <xf numFmtId="0" fontId="0" fillId="0" borderId="0"/>
    <xf numFmtId="9" fontId="2" fillId="0" borderId="0" applyFont="0" applyFill="0" applyBorder="0" applyAlignment="0" applyProtection="0"/>
    <xf numFmtId="0" fontId="8" fillId="0" borderId="0"/>
    <xf numFmtId="0" fontId="37" fillId="0" borderId="0" applyNumberFormat="0" applyFill="0" applyBorder="0" applyAlignment="0" applyProtection="0">
      <alignment vertical="top"/>
      <protection locked="0"/>
    </xf>
  </cellStyleXfs>
  <cellXfs count="417">
    <xf numFmtId="0" fontId="0" fillId="0" borderId="0" xfId="0"/>
    <xf numFmtId="0" fontId="3" fillId="0" borderId="0" xfId="0" applyFont="1" applyBorder="1"/>
    <xf numFmtId="0" fontId="3" fillId="4" borderId="0" xfId="0" applyFont="1" applyFill="1"/>
    <xf numFmtId="0" fontId="3" fillId="4" borderId="4" xfId="0" applyFont="1" applyFill="1" applyBorder="1"/>
    <xf numFmtId="0" fontId="6" fillId="4" borderId="5" xfId="0" applyFont="1" applyFill="1" applyBorder="1"/>
    <xf numFmtId="0" fontId="3" fillId="4" borderId="5" xfId="0" applyFont="1" applyFill="1" applyBorder="1"/>
    <xf numFmtId="0" fontId="3" fillId="4" borderId="6" xfId="0" applyFont="1" applyFill="1" applyBorder="1"/>
    <xf numFmtId="0" fontId="3" fillId="4" borderId="7" xfId="0" applyFont="1" applyFill="1" applyBorder="1"/>
    <xf numFmtId="0" fontId="3" fillId="4" borderId="0" xfId="0" applyFont="1" applyFill="1" applyBorder="1"/>
    <xf numFmtId="0" fontId="3" fillId="4" borderId="8" xfId="0" applyFont="1" applyFill="1" applyBorder="1"/>
    <xf numFmtId="0" fontId="6" fillId="4" borderId="0" xfId="0" applyFont="1" applyFill="1" applyBorder="1"/>
    <xf numFmtId="49" fontId="10" fillId="0" borderId="0" xfId="2" applyNumberFormat="1" applyFont="1" applyBorder="1" applyProtection="1">
      <protection hidden="1"/>
    </xf>
    <xf numFmtId="49" fontId="9" fillId="0" borderId="0" xfId="2" applyNumberFormat="1" applyFont="1" applyBorder="1" applyProtection="1">
      <protection hidden="1"/>
    </xf>
    <xf numFmtId="49" fontId="9" fillId="0" borderId="0" xfId="2" applyNumberFormat="1" applyFont="1" applyBorder="1" applyAlignment="1">
      <alignment wrapText="1"/>
    </xf>
    <xf numFmtId="0" fontId="3" fillId="4" borderId="0" xfId="0" applyFont="1" applyFill="1" applyBorder="1" applyAlignment="1">
      <alignment vertical="top"/>
    </xf>
    <xf numFmtId="0" fontId="3" fillId="4" borderId="0" xfId="0" applyFont="1" applyFill="1" applyBorder="1" applyAlignment="1">
      <alignment vertical="center"/>
    </xf>
    <xf numFmtId="0" fontId="3" fillId="4" borderId="0" xfId="0" applyFont="1" applyFill="1" applyBorder="1" applyAlignment="1">
      <alignment vertical="top" wrapText="1"/>
    </xf>
    <xf numFmtId="49" fontId="12" fillId="4" borderId="0" xfId="0" applyNumberFormat="1" applyFont="1" applyFill="1"/>
    <xf numFmtId="49" fontId="12" fillId="4" borderId="0" xfId="0" applyNumberFormat="1" applyFont="1" applyFill="1" applyAlignment="1">
      <alignment wrapText="1"/>
    </xf>
    <xf numFmtId="0" fontId="7" fillId="4" borderId="0" xfId="0" applyFont="1" applyFill="1" applyBorder="1" applyAlignment="1">
      <alignment horizontal="center" vertical="center"/>
    </xf>
    <xf numFmtId="0" fontId="3" fillId="2" borderId="1" xfId="0" applyFont="1" applyFill="1" applyBorder="1" applyAlignment="1" applyProtection="1">
      <alignment horizontal="left" vertical="center"/>
      <protection locked="0"/>
    </xf>
    <xf numFmtId="0" fontId="13" fillId="4" borderId="7" xfId="0" applyFont="1" applyFill="1" applyBorder="1"/>
    <xf numFmtId="0" fontId="13" fillId="4" borderId="0" xfId="0" applyFont="1" applyFill="1" applyBorder="1"/>
    <xf numFmtId="0" fontId="13" fillId="4" borderId="8" xfId="0" applyFont="1" applyFill="1" applyBorder="1"/>
    <xf numFmtId="49" fontId="14" fillId="4" borderId="0" xfId="0" applyNumberFormat="1" applyFont="1" applyFill="1"/>
    <xf numFmtId="0" fontId="13" fillId="4" borderId="0" xfId="0" applyFont="1" applyFill="1"/>
    <xf numFmtId="0" fontId="13" fillId="4" borderId="0" xfId="0" applyFont="1" applyFill="1" applyBorder="1" applyAlignment="1">
      <alignment vertical="top"/>
    </xf>
    <xf numFmtId="0" fontId="13" fillId="4" borderId="0" xfId="0" applyFont="1" applyFill="1" applyBorder="1" applyAlignment="1">
      <alignment horizontal="left" vertical="center"/>
    </xf>
    <xf numFmtId="49" fontId="14" fillId="4" borderId="0" xfId="0" applyNumberFormat="1" applyFont="1" applyFill="1" applyAlignment="1">
      <alignment wrapText="1"/>
    </xf>
    <xf numFmtId="0" fontId="13" fillId="4" borderId="9" xfId="0" applyFont="1" applyFill="1" applyBorder="1"/>
    <xf numFmtId="0" fontId="13" fillId="4" borderId="10" xfId="0" applyFont="1" applyFill="1" applyBorder="1"/>
    <xf numFmtId="0" fontId="13" fillId="4" borderId="10" xfId="0" applyFont="1" applyFill="1" applyBorder="1" applyAlignment="1">
      <alignment horizontal="left" vertical="center"/>
    </xf>
    <xf numFmtId="0" fontId="13" fillId="4" borderId="11" xfId="0" applyFont="1" applyFill="1" applyBorder="1"/>
    <xf numFmtId="0" fontId="13" fillId="4" borderId="0" xfId="0" applyFont="1" applyFill="1" applyBorder="1" applyAlignment="1">
      <alignment vertical="center"/>
    </xf>
    <xf numFmtId="0" fontId="16" fillId="4" borderId="5" xfId="0" applyFont="1" applyFill="1" applyBorder="1"/>
    <xf numFmtId="0" fontId="16" fillId="4" borderId="0" xfId="0" applyFont="1" applyFill="1" applyBorder="1" applyAlignment="1">
      <alignment horizontal="left" vertical="center"/>
    </xf>
    <xf numFmtId="0" fontId="17" fillId="4" borderId="0" xfId="0" applyFont="1" applyFill="1" applyBorder="1" applyAlignment="1">
      <alignment horizontal="center" vertical="center"/>
    </xf>
    <xf numFmtId="0" fontId="15" fillId="4" borderId="8" xfId="0" applyFont="1" applyFill="1" applyBorder="1"/>
    <xf numFmtId="0" fontId="16" fillId="4" borderId="8" xfId="0" applyFont="1" applyFill="1" applyBorder="1"/>
    <xf numFmtId="0" fontId="4" fillId="4" borderId="0" xfId="0" applyFont="1" applyFill="1" applyBorder="1" applyAlignment="1">
      <alignment vertical="top"/>
    </xf>
    <xf numFmtId="0" fontId="18" fillId="4" borderId="7" xfId="0" applyFont="1" applyFill="1" applyBorder="1"/>
    <xf numFmtId="0" fontId="18" fillId="4" borderId="8" xfId="0" applyFont="1" applyFill="1" applyBorder="1"/>
    <xf numFmtId="0" fontId="18" fillId="4" borderId="0" xfId="0" applyFont="1" applyFill="1" applyBorder="1"/>
    <xf numFmtId="49" fontId="19" fillId="4" borderId="0" xfId="0" applyNumberFormat="1" applyFont="1" applyFill="1"/>
    <xf numFmtId="0" fontId="18" fillId="4" borderId="0" xfId="0" applyFont="1" applyFill="1"/>
    <xf numFmtId="0" fontId="21" fillId="4" borderId="0" xfId="0" applyFont="1" applyFill="1" applyBorder="1"/>
    <xf numFmtId="0" fontId="3" fillId="4" borderId="0" xfId="0" applyFont="1" applyFill="1" applyAlignment="1">
      <alignment wrapText="1"/>
    </xf>
    <xf numFmtId="165" fontId="3" fillId="4" borderId="0" xfId="1" applyNumberFormat="1" applyFont="1" applyFill="1" applyBorder="1"/>
    <xf numFmtId="9" fontId="3" fillId="4" borderId="0" xfId="1" applyFont="1" applyFill="1" applyBorder="1" applyAlignment="1">
      <alignment horizontal="left"/>
    </xf>
    <xf numFmtId="164" fontId="3" fillId="4" borderId="0" xfId="1" applyNumberFormat="1" applyFont="1" applyFill="1" applyBorder="1" applyAlignment="1">
      <alignment horizontal="left"/>
    </xf>
    <xf numFmtId="0" fontId="13" fillId="4" borderId="4" xfId="0" applyFont="1" applyFill="1" applyBorder="1"/>
    <xf numFmtId="0" fontId="13" fillId="4" borderId="5" xfId="0" applyFont="1" applyFill="1" applyBorder="1"/>
    <xf numFmtId="0" fontId="13" fillId="4" borderId="6" xfId="0" applyFont="1" applyFill="1" applyBorder="1"/>
    <xf numFmtId="0" fontId="13" fillId="4" borderId="10" xfId="0" applyFont="1" applyFill="1" applyBorder="1" applyAlignment="1">
      <alignment horizontal="left" vertical="top"/>
    </xf>
    <xf numFmtId="0" fontId="16" fillId="4" borderId="6" xfId="0" applyFont="1" applyFill="1" applyBorder="1"/>
    <xf numFmtId="0" fontId="23" fillId="4" borderId="10" xfId="0" applyFont="1" applyFill="1" applyBorder="1" applyAlignment="1">
      <alignment horizontal="center"/>
    </xf>
    <xf numFmtId="0" fontId="4" fillId="0" borderId="0" xfId="0" applyFont="1" applyBorder="1" applyAlignment="1">
      <alignment wrapText="1"/>
    </xf>
    <xf numFmtId="49" fontId="24" fillId="0" borderId="0" xfId="0" applyNumberFormat="1" applyFont="1" applyAlignment="1">
      <alignment vertical="top"/>
    </xf>
    <xf numFmtId="0" fontId="4" fillId="0" borderId="0" xfId="0" applyFont="1" applyBorder="1"/>
    <xf numFmtId="0" fontId="3" fillId="0" borderId="0" xfId="0" applyFont="1" applyBorder="1" applyAlignment="1">
      <alignment horizontal="right"/>
    </xf>
    <xf numFmtId="0" fontId="4" fillId="4" borderId="0" xfId="0" applyFont="1" applyFill="1" applyBorder="1" applyAlignment="1">
      <alignment horizontal="right"/>
    </xf>
    <xf numFmtId="0" fontId="3" fillId="4" borderId="0" xfId="0" applyFont="1" applyFill="1" applyBorder="1" applyAlignment="1">
      <alignment horizontal="left" vertical="center" indent="1"/>
    </xf>
    <xf numFmtId="0" fontId="24" fillId="0" borderId="0" xfId="0" applyNumberFormat="1" applyFont="1" applyAlignment="1">
      <alignment vertical="top"/>
    </xf>
    <xf numFmtId="10" fontId="24" fillId="0" borderId="0" xfId="1" applyNumberFormat="1" applyFont="1" applyAlignment="1">
      <alignment vertical="top"/>
    </xf>
    <xf numFmtId="10" fontId="3" fillId="0" borderId="0" xfId="1" applyNumberFormat="1" applyFont="1" applyBorder="1" applyAlignment="1">
      <alignment horizontal="right"/>
    </xf>
    <xf numFmtId="0" fontId="21" fillId="4" borderId="0" xfId="0" applyFont="1" applyFill="1"/>
    <xf numFmtId="0" fontId="16" fillId="4" borderId="0" xfId="0" applyFont="1" applyFill="1"/>
    <xf numFmtId="0" fontId="26" fillId="4" borderId="0" xfId="0" applyFont="1" applyFill="1"/>
    <xf numFmtId="0" fontId="29" fillId="4" borderId="4" xfId="0" applyFont="1" applyFill="1" applyBorder="1" applyAlignment="1">
      <alignment horizontal="center" vertical="center"/>
    </xf>
    <xf numFmtId="0" fontId="29" fillId="4" borderId="5" xfId="0" applyFont="1" applyFill="1" applyBorder="1" applyAlignment="1">
      <alignment horizontal="center" vertical="center"/>
    </xf>
    <xf numFmtId="166" fontId="3" fillId="4" borderId="0" xfId="0" applyNumberFormat="1" applyFont="1" applyFill="1" applyBorder="1" applyAlignment="1">
      <alignment horizontal="left" vertical="top" wrapText="1"/>
    </xf>
    <xf numFmtId="49" fontId="3" fillId="4" borderId="0" xfId="0" applyNumberFormat="1" applyFont="1" applyFill="1" applyBorder="1" applyAlignment="1">
      <alignment vertical="center"/>
    </xf>
    <xf numFmtId="0" fontId="27" fillId="4" borderId="0" xfId="0" applyFont="1" applyFill="1"/>
    <xf numFmtId="0" fontId="3" fillId="2" borderId="7" xfId="0" applyFont="1" applyFill="1" applyBorder="1"/>
    <xf numFmtId="0" fontId="3" fillId="2" borderId="0" xfId="0" applyFont="1" applyFill="1" applyBorder="1"/>
    <xf numFmtId="10" fontId="6" fillId="2" borderId="0" xfId="1" applyNumberFormat="1" applyFont="1" applyFill="1" applyBorder="1" applyAlignment="1">
      <alignment wrapText="1"/>
    </xf>
    <xf numFmtId="0" fontId="3" fillId="2" borderId="8" xfId="0" applyFont="1" applyFill="1" applyBorder="1"/>
    <xf numFmtId="0" fontId="5" fillId="2" borderId="0" xfId="0" applyFont="1" applyFill="1" applyBorder="1" applyAlignment="1">
      <alignment wrapText="1"/>
    </xf>
    <xf numFmtId="0" fontId="3" fillId="2" borderId="9" xfId="0" applyFont="1" applyFill="1" applyBorder="1"/>
    <xf numFmtId="0" fontId="3" fillId="2" borderId="10" xfId="0" applyFont="1" applyFill="1" applyBorder="1"/>
    <xf numFmtId="0" fontId="3" fillId="2" borderId="10" xfId="0" applyFont="1" applyFill="1" applyBorder="1" applyAlignment="1">
      <alignment wrapText="1"/>
    </xf>
    <xf numFmtId="0" fontId="3" fillId="2" borderId="11" xfId="0" applyFont="1" applyFill="1" applyBorder="1"/>
    <xf numFmtId="49" fontId="3" fillId="4" borderId="28" xfId="0" applyNumberFormat="1" applyFont="1" applyFill="1" applyBorder="1" applyAlignment="1"/>
    <xf numFmtId="0" fontId="25" fillId="4" borderId="28" xfId="0" applyFont="1" applyFill="1" applyBorder="1" applyAlignment="1">
      <alignment wrapText="1"/>
    </xf>
    <xf numFmtId="0" fontId="3" fillId="4" borderId="28" xfId="0" applyFont="1" applyFill="1" applyBorder="1" applyAlignment="1">
      <alignment vertical="center"/>
    </xf>
    <xf numFmtId="49" fontId="3" fillId="4" borderId="12" xfId="0" applyNumberFormat="1" applyFont="1" applyFill="1" applyBorder="1" applyAlignment="1">
      <alignment vertical="center"/>
    </xf>
    <xf numFmtId="0" fontId="28" fillId="4" borderId="12" xfId="0" applyFont="1" applyFill="1" applyBorder="1" applyAlignment="1">
      <alignment vertical="top" wrapText="1"/>
    </xf>
    <xf numFmtId="0" fontId="3" fillId="4" borderId="12" xfId="0" applyFont="1" applyFill="1" applyBorder="1" applyAlignment="1">
      <alignment vertical="center"/>
    </xf>
    <xf numFmtId="0" fontId="3" fillId="4" borderId="29" xfId="0" applyFont="1" applyFill="1" applyBorder="1"/>
    <xf numFmtId="0" fontId="3" fillId="4" borderId="30" xfId="0" applyFont="1" applyFill="1" applyBorder="1"/>
    <xf numFmtId="0" fontId="3" fillId="4" borderId="31" xfId="0" applyFont="1" applyFill="1" applyBorder="1"/>
    <xf numFmtId="0" fontId="3" fillId="4" borderId="32" xfId="0" applyFont="1" applyFill="1" applyBorder="1"/>
    <xf numFmtId="49" fontId="3" fillId="4" borderId="5" xfId="0" applyNumberFormat="1" applyFont="1" applyFill="1" applyBorder="1" applyAlignment="1"/>
    <xf numFmtId="0" fontId="3" fillId="4" borderId="5" xfId="0" applyFont="1" applyFill="1" applyBorder="1" applyAlignment="1">
      <alignment vertical="center"/>
    </xf>
    <xf numFmtId="0" fontId="3" fillId="0" borderId="0" xfId="0" quotePrefix="1" applyFont="1" applyBorder="1"/>
    <xf numFmtId="10" fontId="9" fillId="4" borderId="33" xfId="0" applyNumberFormat="1" applyFont="1" applyFill="1" applyBorder="1" applyAlignment="1">
      <alignment horizontal="center"/>
    </xf>
    <xf numFmtId="10" fontId="9" fillId="4" borderId="34" xfId="0" applyNumberFormat="1" applyFont="1" applyFill="1" applyBorder="1" applyAlignment="1">
      <alignment horizontal="center"/>
    </xf>
    <xf numFmtId="10" fontId="30" fillId="4" borderId="25" xfId="0" applyNumberFormat="1" applyFont="1" applyFill="1" applyBorder="1" applyAlignment="1">
      <alignment horizontal="center" vertical="center"/>
    </xf>
    <xf numFmtId="10" fontId="25" fillId="4" borderId="25" xfId="0" applyNumberFormat="1" applyFont="1" applyFill="1" applyBorder="1" applyAlignment="1">
      <alignment horizontal="center" vertical="center"/>
    </xf>
    <xf numFmtId="49" fontId="3" fillId="4" borderId="0" xfId="0" applyNumberFormat="1" applyFont="1" applyFill="1" applyBorder="1" applyAlignment="1">
      <alignment horizontal="left" vertical="top" wrapText="1"/>
    </xf>
    <xf numFmtId="10" fontId="30" fillId="4" borderId="25" xfId="1" applyNumberFormat="1" applyFont="1" applyFill="1" applyBorder="1" applyAlignment="1">
      <alignment horizontal="center" vertical="center"/>
    </xf>
    <xf numFmtId="0" fontId="11" fillId="4" borderId="0" xfId="0" applyFont="1" applyFill="1"/>
    <xf numFmtId="0" fontId="11" fillId="4" borderId="4" xfId="0" applyFont="1" applyFill="1" applyBorder="1"/>
    <xf numFmtId="0" fontId="11" fillId="4" borderId="6" xfId="0" applyFont="1" applyFill="1" applyBorder="1"/>
    <xf numFmtId="0" fontId="11" fillId="4" borderId="7" xfId="0" applyFont="1" applyFill="1" applyBorder="1"/>
    <xf numFmtId="0" fontId="11" fillId="4" borderId="0" xfId="0" applyFont="1" applyFill="1" applyBorder="1"/>
    <xf numFmtId="0" fontId="11" fillId="4" borderId="8" xfId="0" applyFont="1" applyFill="1" applyBorder="1"/>
    <xf numFmtId="0" fontId="32" fillId="4" borderId="0" xfId="0" applyFont="1" applyFill="1"/>
    <xf numFmtId="0" fontId="5" fillId="4" borderId="0" xfId="0" applyFont="1" applyFill="1" applyBorder="1"/>
    <xf numFmtId="0" fontId="33" fillId="4" borderId="0" xfId="0" applyFont="1" applyFill="1" applyAlignment="1">
      <alignment vertical="top"/>
    </xf>
    <xf numFmtId="10" fontId="11" fillId="4" borderId="36" xfId="0" applyNumberFormat="1" applyFont="1" applyFill="1" applyBorder="1" applyAlignment="1">
      <alignment vertical="top"/>
    </xf>
    <xf numFmtId="0" fontId="11" fillId="4" borderId="16" xfId="0" applyFont="1" applyFill="1" applyBorder="1" applyAlignment="1">
      <alignment vertical="top"/>
    </xf>
    <xf numFmtId="10" fontId="11" fillId="4" borderId="37" xfId="0" applyNumberFormat="1" applyFont="1" applyFill="1" applyBorder="1" applyAlignment="1">
      <alignment vertical="top"/>
    </xf>
    <xf numFmtId="0" fontId="11" fillId="4" borderId="15" xfId="0" applyFont="1" applyFill="1" applyBorder="1" applyAlignment="1">
      <alignment vertical="top" wrapText="1"/>
    </xf>
    <xf numFmtId="0" fontId="11" fillId="4" borderId="16" xfId="0" applyFont="1" applyFill="1" applyBorder="1" applyAlignment="1">
      <alignment vertical="top" wrapText="1"/>
    </xf>
    <xf numFmtId="0" fontId="11" fillId="2" borderId="5" xfId="0" applyFont="1" applyFill="1" applyBorder="1" applyAlignment="1">
      <alignment horizontal="center"/>
    </xf>
    <xf numFmtId="0" fontId="11" fillId="2" borderId="0" xfId="0" applyFont="1" applyFill="1" applyBorder="1" applyAlignment="1">
      <alignment horizontal="center"/>
    </xf>
    <xf numFmtId="0" fontId="5" fillId="2" borderId="5" xfId="0" applyFont="1" applyFill="1" applyBorder="1" applyAlignment="1"/>
    <xf numFmtId="0" fontId="5" fillId="2" borderId="28" xfId="0" applyFont="1" applyFill="1" applyBorder="1" applyAlignment="1"/>
    <xf numFmtId="0" fontId="11" fillId="4" borderId="2" xfId="0" applyFont="1" applyFill="1" applyBorder="1"/>
    <xf numFmtId="0" fontId="34" fillId="4" borderId="3" xfId="0" applyFont="1" applyFill="1" applyBorder="1"/>
    <xf numFmtId="0" fontId="13" fillId="4" borderId="31" xfId="0" applyFont="1" applyFill="1" applyBorder="1"/>
    <xf numFmtId="0" fontId="13" fillId="4" borderId="12" xfId="0" applyFont="1" applyFill="1" applyBorder="1"/>
    <xf numFmtId="0" fontId="13" fillId="4" borderId="32" xfId="0" applyFont="1" applyFill="1" applyBorder="1"/>
    <xf numFmtId="10" fontId="13" fillId="4" borderId="12" xfId="0" applyNumberFormat="1" applyFont="1" applyFill="1" applyBorder="1"/>
    <xf numFmtId="14" fontId="13" fillId="4" borderId="5" xfId="0" applyNumberFormat="1" applyFont="1" applyFill="1" applyBorder="1"/>
    <xf numFmtId="14" fontId="13" fillId="4" borderId="5" xfId="0" applyNumberFormat="1" applyFont="1" applyFill="1" applyBorder="1" applyAlignment="1">
      <alignment horizontal="left"/>
    </xf>
    <xf numFmtId="0" fontId="11" fillId="4" borderId="38" xfId="0" applyFont="1" applyFill="1" applyBorder="1" applyAlignment="1">
      <alignment vertical="top"/>
    </xf>
    <xf numFmtId="49" fontId="11" fillId="4" borderId="16" xfId="0" applyNumberFormat="1" applyFont="1" applyFill="1" applyBorder="1" applyAlignment="1">
      <alignment vertical="top"/>
    </xf>
    <xf numFmtId="0" fontId="6" fillId="4" borderId="27" xfId="0" applyFont="1" applyFill="1" applyBorder="1"/>
    <xf numFmtId="0" fontId="16" fillId="4" borderId="3" xfId="0" applyFont="1" applyFill="1" applyBorder="1"/>
    <xf numFmtId="0" fontId="3" fillId="6" borderId="0" xfId="0" applyFont="1" applyFill="1" applyBorder="1"/>
    <xf numFmtId="0" fontId="22" fillId="4" borderId="8" xfId="0" applyFont="1" applyFill="1" applyBorder="1"/>
    <xf numFmtId="0" fontId="12" fillId="7" borderId="7" xfId="0" applyFont="1" applyFill="1" applyBorder="1"/>
    <xf numFmtId="0" fontId="12" fillId="7" borderId="8" xfId="0" applyFont="1" applyFill="1" applyBorder="1"/>
    <xf numFmtId="0" fontId="14" fillId="7" borderId="7" xfId="0" applyFont="1" applyFill="1" applyBorder="1"/>
    <xf numFmtId="0" fontId="14" fillId="7" borderId="8" xfId="0" applyFont="1" applyFill="1" applyBorder="1"/>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3" fillId="4" borderId="39" xfId="0" applyFont="1" applyFill="1" applyBorder="1" applyAlignment="1">
      <alignment vertical="center"/>
    </xf>
    <xf numFmtId="0" fontId="3" fillId="4" borderId="40" xfId="0" applyFont="1" applyFill="1" applyBorder="1" applyAlignment="1">
      <alignment vertical="center"/>
    </xf>
    <xf numFmtId="0" fontId="32" fillId="4" borderId="8" xfId="0" applyFont="1" applyFill="1" applyBorder="1"/>
    <xf numFmtId="0" fontId="38" fillId="4" borderId="15" xfId="3" applyFont="1" applyFill="1" applyBorder="1" applyAlignment="1" applyProtection="1">
      <alignment horizontal="center" vertical="top"/>
    </xf>
    <xf numFmtId="0" fontId="38" fillId="4" borderId="17" xfId="3" applyFont="1" applyFill="1" applyBorder="1" applyAlignment="1" applyProtection="1">
      <alignment horizontal="center" vertical="top"/>
    </xf>
    <xf numFmtId="0" fontId="38" fillId="4" borderId="0" xfId="3" applyFont="1" applyFill="1" applyBorder="1" applyAlignment="1" applyProtection="1">
      <alignment horizontal="left" vertical="center"/>
    </xf>
    <xf numFmtId="9" fontId="3" fillId="0" borderId="0" xfId="0" applyNumberFormat="1" applyFont="1" applyBorder="1" applyAlignment="1">
      <alignment horizontal="left"/>
    </xf>
    <xf numFmtId="0" fontId="39" fillId="4" borderId="0" xfId="0" applyFont="1" applyFill="1" applyBorder="1" applyAlignment="1">
      <alignment horizontal="center" vertical="center"/>
    </xf>
    <xf numFmtId="0" fontId="4" fillId="4" borderId="0" xfId="0" applyFont="1" applyFill="1" applyBorder="1" applyAlignment="1">
      <alignment horizontal="center" vertical="center"/>
    </xf>
    <xf numFmtId="0" fontId="29" fillId="4" borderId="0" xfId="0" applyFont="1" applyFill="1" applyBorder="1" applyAlignment="1">
      <alignment horizontal="center" vertical="center"/>
    </xf>
    <xf numFmtId="0" fontId="29" fillId="4" borderId="7" xfId="0" applyFont="1" applyFill="1" applyBorder="1" applyAlignment="1">
      <alignment horizontal="center" vertical="center"/>
    </xf>
    <xf numFmtId="0" fontId="29" fillId="4" borderId="8"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3" fillId="4" borderId="44" xfId="0" applyFont="1" applyFill="1" applyBorder="1"/>
    <xf numFmtId="0" fontId="3" fillId="4" borderId="44" xfId="0" applyFont="1" applyFill="1" applyBorder="1" applyAlignment="1">
      <alignment horizontal="left" vertical="center"/>
    </xf>
    <xf numFmtId="0" fontId="12" fillId="4" borderId="0" xfId="0" applyFont="1" applyFill="1" applyBorder="1" applyAlignment="1">
      <alignment horizontal="left" vertical="top" wrapText="1"/>
    </xf>
    <xf numFmtId="0" fontId="12" fillId="4" borderId="0" xfId="0" applyFont="1" applyFill="1" applyBorder="1"/>
    <xf numFmtId="0" fontId="14" fillId="4" borderId="0" xfId="0" applyFont="1" applyFill="1" applyBorder="1"/>
    <xf numFmtId="0" fontId="14" fillId="4" borderId="0" xfId="0" applyFont="1" applyFill="1" applyBorder="1" applyAlignment="1">
      <alignment horizontal="left" vertical="top" wrapText="1"/>
    </xf>
    <xf numFmtId="0" fontId="3" fillId="4" borderId="7" xfId="0" applyFont="1" applyFill="1" applyBorder="1" applyAlignment="1"/>
    <xf numFmtId="0" fontId="3" fillId="4" borderId="0" xfId="0" applyFont="1" applyFill="1" applyBorder="1" applyAlignment="1"/>
    <xf numFmtId="0" fontId="13" fillId="4" borderId="0" xfId="0" applyFont="1" applyFill="1" applyBorder="1" applyAlignment="1" applyProtection="1">
      <alignment horizontal="left" vertical="center" wrapText="1"/>
      <protection locked="0"/>
    </xf>
    <xf numFmtId="10" fontId="40" fillId="4" borderId="0" xfId="1" applyNumberFormat="1" applyFont="1" applyFill="1" applyBorder="1" applyAlignment="1">
      <alignment horizontal="center" vertical="center"/>
    </xf>
    <xf numFmtId="10" fontId="3" fillId="0" borderId="0" xfId="1" applyNumberFormat="1" applyFont="1" applyBorder="1"/>
    <xf numFmtId="0" fontId="4" fillId="0" borderId="0" xfId="0" applyFont="1" applyBorder="1" applyAlignment="1">
      <alignment horizontal="left"/>
    </xf>
    <xf numFmtId="0" fontId="42" fillId="4" borderId="8" xfId="0" applyFont="1" applyFill="1" applyBorder="1"/>
    <xf numFmtId="0" fontId="33" fillId="0" borderId="0" xfId="0" applyFont="1" applyBorder="1" applyAlignment="1">
      <alignment horizontal="center" vertical="center"/>
    </xf>
    <xf numFmtId="0" fontId="33" fillId="0" borderId="0" xfId="0" applyFont="1" applyBorder="1" applyAlignment="1">
      <alignment horizontal="center"/>
    </xf>
    <xf numFmtId="0" fontId="12" fillId="4" borderId="7" xfId="0" applyFont="1" applyFill="1" applyBorder="1"/>
    <xf numFmtId="0" fontId="14" fillId="4" borderId="0" xfId="0" applyFont="1" applyFill="1"/>
    <xf numFmtId="0" fontId="12" fillId="4" borderId="0" xfId="0" applyFont="1" applyFill="1"/>
    <xf numFmtId="0" fontId="9" fillId="0" borderId="0" xfId="0" applyFont="1" applyBorder="1"/>
    <xf numFmtId="49" fontId="11" fillId="4" borderId="15" xfId="0" applyNumberFormat="1" applyFont="1" applyFill="1" applyBorder="1" applyAlignment="1">
      <alignment vertical="top"/>
    </xf>
    <xf numFmtId="49" fontId="11" fillId="4" borderId="17" xfId="0" applyNumberFormat="1" applyFont="1" applyFill="1" applyBorder="1" applyAlignment="1">
      <alignment vertical="top"/>
    </xf>
    <xf numFmtId="0" fontId="27" fillId="4" borderId="30" xfId="0" applyFont="1" applyFill="1" applyBorder="1" applyAlignment="1"/>
    <xf numFmtId="0" fontId="25" fillId="4" borderId="28" xfId="0" applyFont="1" applyFill="1" applyBorder="1" applyAlignment="1">
      <alignment vertical="center" wrapText="1"/>
    </xf>
    <xf numFmtId="0" fontId="36" fillId="4" borderId="8" xfId="0" applyFont="1" applyFill="1" applyBorder="1"/>
    <xf numFmtId="0" fontId="3" fillId="4" borderId="0" xfId="0" applyNumberFormat="1" applyFont="1" applyFill="1"/>
    <xf numFmtId="0" fontId="3" fillId="4" borderId="0" xfId="0" applyNumberFormat="1" applyFont="1" applyFill="1" applyBorder="1" applyAlignment="1">
      <alignment horizontal="left" vertical="top" wrapText="1"/>
    </xf>
    <xf numFmtId="0" fontId="25" fillId="4" borderId="5" xfId="0" applyFont="1" applyFill="1" applyBorder="1" applyAlignment="1">
      <alignment vertical="center" wrapText="1"/>
    </xf>
    <xf numFmtId="0" fontId="43" fillId="4" borderId="8" xfId="0" applyFont="1" applyFill="1" applyBorder="1"/>
    <xf numFmtId="0" fontId="22" fillId="2" borderId="8" xfId="0" applyFont="1" applyFill="1" applyBorder="1"/>
    <xf numFmtId="0" fontId="40" fillId="4" borderId="46" xfId="0" applyFont="1" applyFill="1" applyBorder="1" applyAlignment="1">
      <alignment horizontal="center" vertical="center"/>
    </xf>
    <xf numFmtId="0" fontId="40" fillId="4" borderId="47" xfId="0" applyFont="1" applyFill="1" applyBorder="1" applyAlignment="1">
      <alignment horizontal="center" vertical="center"/>
    </xf>
    <xf numFmtId="0" fontId="25" fillId="4" borderId="26" xfId="0" applyFont="1" applyFill="1" applyBorder="1" applyAlignment="1">
      <alignment horizontal="center" vertical="center"/>
    </xf>
    <xf numFmtId="10" fontId="9" fillId="0" borderId="0" xfId="0" applyNumberFormat="1" applyFont="1" applyBorder="1"/>
    <xf numFmtId="0" fontId="12" fillId="4" borderId="0" xfId="0" applyFont="1" applyFill="1" applyAlignment="1">
      <alignment wrapText="1"/>
    </xf>
    <xf numFmtId="0" fontId="11" fillId="4" borderId="15" xfId="0" applyFont="1" applyFill="1" applyBorder="1" applyAlignment="1">
      <alignment horizontal="left" vertical="top" wrapText="1"/>
    </xf>
    <xf numFmtId="0" fontId="11" fillId="4" borderId="16" xfId="0" applyFont="1" applyFill="1" applyBorder="1" applyAlignment="1">
      <alignment horizontal="left" vertical="top" wrapText="1"/>
    </xf>
    <xf numFmtId="0" fontId="11" fillId="4" borderId="17" xfId="0" applyFont="1" applyFill="1" applyBorder="1" applyAlignment="1">
      <alignment horizontal="left" vertical="top" wrapText="1"/>
    </xf>
    <xf numFmtId="0" fontId="13" fillId="4" borderId="12" xfId="0" applyFont="1" applyFill="1" applyBorder="1" applyAlignment="1">
      <alignment horizontal="left" vertical="top"/>
    </xf>
    <xf numFmtId="0" fontId="5" fillId="2" borderId="28" xfId="0" applyFont="1" applyFill="1" applyBorder="1" applyAlignment="1">
      <alignment horizontal="left" vertical="top"/>
    </xf>
    <xf numFmtId="10" fontId="4" fillId="2" borderId="0" xfId="1" applyNumberFormat="1" applyFont="1" applyFill="1" applyBorder="1"/>
    <xf numFmtId="0" fontId="9" fillId="2" borderId="0" xfId="0" applyFont="1" applyFill="1" applyBorder="1"/>
    <xf numFmtId="0" fontId="3" fillId="7" borderId="7" xfId="0" applyFont="1" applyFill="1" applyBorder="1" applyAlignment="1"/>
    <xf numFmtId="0" fontId="3" fillId="7" borderId="8" xfId="0" applyFont="1" applyFill="1" applyBorder="1" applyAlignment="1"/>
    <xf numFmtId="0" fontId="19" fillId="7" borderId="7" xfId="0" applyFont="1" applyFill="1" applyBorder="1"/>
    <xf numFmtId="0" fontId="19" fillId="7" borderId="8" xfId="0" applyFont="1" applyFill="1" applyBorder="1"/>
    <xf numFmtId="0" fontId="38" fillId="4" borderId="0" xfId="3" applyFont="1" applyFill="1" applyAlignment="1" applyProtection="1"/>
    <xf numFmtId="0" fontId="3" fillId="4" borderId="30" xfId="0" applyFont="1" applyFill="1" applyBorder="1" applyAlignment="1">
      <alignment vertical="center"/>
    </xf>
    <xf numFmtId="0" fontId="3" fillId="4" borderId="48" xfId="0" applyFont="1" applyFill="1" applyBorder="1" applyAlignment="1">
      <alignment vertical="center"/>
    </xf>
    <xf numFmtId="0" fontId="1" fillId="0" borderId="0" xfId="0" applyFont="1" applyBorder="1" applyAlignment="1">
      <alignment horizontal="left"/>
    </xf>
    <xf numFmtId="0" fontId="4" fillId="0" borderId="0" xfId="0" applyFont="1" applyBorder="1" applyAlignment="1">
      <alignment horizontal="center" textRotation="90" wrapText="1"/>
    </xf>
    <xf numFmtId="0" fontId="3" fillId="0" borderId="0" xfId="0" applyFont="1" applyBorder="1" applyAlignment="1">
      <alignment horizontal="center" textRotation="90"/>
    </xf>
    <xf numFmtId="49" fontId="24" fillId="0" borderId="0" xfId="0" applyNumberFormat="1" applyFont="1" applyFill="1" applyAlignment="1">
      <alignment vertical="top"/>
    </xf>
    <xf numFmtId="10" fontId="24" fillId="0" borderId="0" xfId="1" applyNumberFormat="1" applyFont="1" applyFill="1" applyAlignment="1">
      <alignment vertical="top"/>
    </xf>
    <xf numFmtId="0" fontId="24" fillId="0" borderId="0" xfId="0" applyNumberFormat="1" applyFont="1" applyFill="1" applyAlignment="1">
      <alignment vertical="top"/>
    </xf>
    <xf numFmtId="10" fontId="3" fillId="0" borderId="0" xfId="1" applyNumberFormat="1" applyFont="1" applyFill="1" applyBorder="1" applyAlignment="1">
      <alignment horizontal="right"/>
    </xf>
    <xf numFmtId="0" fontId="3" fillId="0" borderId="0" xfId="0" applyFont="1" applyFill="1" applyBorder="1"/>
    <xf numFmtId="0" fontId="45" fillId="0" borderId="0" xfId="0" applyFont="1" applyBorder="1"/>
    <xf numFmtId="0" fontId="47" fillId="0" borderId="0" xfId="0" applyFont="1" applyBorder="1"/>
    <xf numFmtId="49" fontId="13" fillId="4" borderId="5" xfId="0" applyNumberFormat="1" applyFont="1" applyFill="1" applyBorder="1"/>
    <xf numFmtId="49" fontId="5" fillId="4" borderId="0" xfId="0" applyNumberFormat="1" applyFont="1" applyFill="1" applyBorder="1"/>
    <xf numFmtId="49" fontId="13" fillId="4" borderId="10" xfId="0" applyNumberFormat="1" applyFont="1" applyFill="1" applyBorder="1"/>
    <xf numFmtId="49" fontId="13" fillId="4" borderId="12" xfId="0" applyNumberFormat="1" applyFont="1" applyFill="1" applyBorder="1"/>
    <xf numFmtId="49" fontId="11" fillId="4" borderId="0" xfId="0" applyNumberFormat="1" applyFont="1" applyFill="1"/>
    <xf numFmtId="0" fontId="5" fillId="2" borderId="0" xfId="0" applyFont="1" applyFill="1" applyBorder="1" applyAlignment="1"/>
    <xf numFmtId="0" fontId="5" fillId="2" borderId="0" xfId="0" applyFont="1" applyFill="1" applyBorder="1" applyAlignment="1">
      <alignment horizontal="left" vertical="top"/>
    </xf>
    <xf numFmtId="0" fontId="11" fillId="4" borderId="15" xfId="0" applyNumberFormat="1" applyFont="1" applyFill="1" applyBorder="1" applyAlignment="1">
      <alignment vertical="top" wrapText="1"/>
    </xf>
    <xf numFmtId="0" fontId="44" fillId="4" borderId="0" xfId="0" applyFont="1" applyFill="1" applyBorder="1" applyAlignment="1">
      <alignment horizontal="center" vertical="center"/>
    </xf>
    <xf numFmtId="0" fontId="22" fillId="4" borderId="7" xfId="0" applyFont="1" applyFill="1" applyBorder="1"/>
    <xf numFmtId="0" fontId="3" fillId="4" borderId="4" xfId="0" applyFont="1" applyFill="1" applyBorder="1" applyAlignment="1"/>
    <xf numFmtId="0" fontId="3" fillId="4" borderId="31" xfId="0" applyFont="1" applyFill="1" applyBorder="1" applyAlignment="1"/>
    <xf numFmtId="0" fontId="22" fillId="4" borderId="7" xfId="0" applyFont="1" applyFill="1" applyBorder="1" applyAlignment="1"/>
    <xf numFmtId="0" fontId="48" fillId="7" borderId="0" xfId="0" applyFont="1" applyFill="1" applyBorder="1"/>
    <xf numFmtId="0" fontId="49" fillId="7" borderId="0" xfId="0" applyFont="1" applyFill="1" applyBorder="1" applyAlignment="1"/>
    <xf numFmtId="0" fontId="50" fillId="7" borderId="0" xfId="0" applyFont="1" applyFill="1" applyBorder="1"/>
    <xf numFmtId="0" fontId="14" fillId="7" borderId="0" xfId="0" applyFont="1" applyFill="1" applyBorder="1"/>
    <xf numFmtId="0" fontId="32" fillId="2" borderId="8" xfId="0" applyFont="1" applyFill="1" applyBorder="1"/>
    <xf numFmtId="0" fontId="40" fillId="4" borderId="0" xfId="0" applyFont="1" applyFill="1" applyBorder="1" applyAlignment="1">
      <alignment vertical="center"/>
    </xf>
    <xf numFmtId="0" fontId="11" fillId="4" borderId="9" xfId="0" applyFont="1" applyFill="1" applyBorder="1"/>
    <xf numFmtId="0" fontId="11" fillId="4" borderId="10" xfId="0" applyFont="1" applyFill="1" applyBorder="1"/>
    <xf numFmtId="0" fontId="11" fillId="4" borderId="11" xfId="0" applyFont="1" applyFill="1" applyBorder="1"/>
    <xf numFmtId="0" fontId="5" fillId="4" borderId="0" xfId="0" applyFont="1" applyFill="1" applyBorder="1" applyAlignment="1">
      <alignment vertical="top"/>
    </xf>
    <xf numFmtId="0" fontId="45" fillId="4" borderId="7" xfId="0" applyFont="1" applyFill="1" applyBorder="1" applyAlignment="1">
      <alignment wrapText="1"/>
    </xf>
    <xf numFmtId="0" fontId="45" fillId="4" borderId="0" xfId="0" applyFont="1" applyFill="1" applyBorder="1" applyAlignment="1">
      <alignment vertical="top" wrapText="1"/>
    </xf>
    <xf numFmtId="0" fontId="45" fillId="4" borderId="8" xfId="0" applyFont="1" applyFill="1" applyBorder="1" applyAlignment="1">
      <alignment wrapText="1"/>
    </xf>
    <xf numFmtId="0" fontId="13" fillId="4" borderId="10" xfId="0" applyFont="1" applyFill="1" applyBorder="1" applyAlignment="1">
      <alignment wrapText="1"/>
    </xf>
    <xf numFmtId="0" fontId="11" fillId="4" borderId="38" xfId="0" applyFont="1" applyFill="1" applyBorder="1" applyAlignment="1">
      <alignment vertical="top" wrapText="1"/>
    </xf>
    <xf numFmtId="0" fontId="11" fillId="4" borderId="38" xfId="0" applyNumberFormat="1" applyFont="1" applyFill="1" applyBorder="1" applyAlignment="1">
      <alignment vertical="top" wrapText="1"/>
    </xf>
    <xf numFmtId="49" fontId="11" fillId="4" borderId="38" xfId="0" applyNumberFormat="1" applyFont="1" applyFill="1" applyBorder="1" applyAlignment="1">
      <alignment vertical="top" wrapText="1"/>
    </xf>
    <xf numFmtId="49" fontId="11" fillId="4" borderId="38" xfId="0" applyNumberFormat="1" applyFont="1" applyFill="1" applyBorder="1" applyAlignment="1">
      <alignment vertical="top"/>
    </xf>
    <xf numFmtId="14" fontId="11" fillId="4" borderId="38" xfId="0" applyNumberFormat="1" applyFont="1" applyFill="1" applyBorder="1" applyAlignment="1">
      <alignment vertical="top"/>
    </xf>
    <xf numFmtId="0" fontId="11" fillId="4" borderId="16" xfId="0" quotePrefix="1" applyFont="1" applyFill="1" applyBorder="1" applyAlignment="1">
      <alignment vertical="top" wrapText="1"/>
    </xf>
    <xf numFmtId="0" fontId="11" fillId="4" borderId="16" xfId="0" applyNumberFormat="1" applyFont="1" applyFill="1" applyBorder="1" applyAlignment="1">
      <alignment vertical="top" wrapText="1"/>
    </xf>
    <xf numFmtId="49" fontId="11" fillId="4" borderId="16" xfId="0" applyNumberFormat="1" applyFont="1" applyFill="1" applyBorder="1" applyAlignment="1">
      <alignment vertical="top" wrapText="1"/>
    </xf>
    <xf numFmtId="14" fontId="11" fillId="4" borderId="16" xfId="0" applyNumberFormat="1" applyFont="1" applyFill="1" applyBorder="1" applyAlignment="1">
      <alignment vertical="top"/>
    </xf>
    <xf numFmtId="0" fontId="12" fillId="7" borderId="53" xfId="0" applyFont="1" applyFill="1" applyBorder="1"/>
    <xf numFmtId="0" fontId="48" fillId="7" borderId="54" xfId="0" applyFont="1" applyFill="1" applyBorder="1"/>
    <xf numFmtId="0" fontId="12" fillId="7" borderId="55" xfId="0" applyFont="1" applyFill="1" applyBorder="1"/>
    <xf numFmtId="0" fontId="48" fillId="4" borderId="0" xfId="0" applyFont="1" applyFill="1" applyBorder="1"/>
    <xf numFmtId="0" fontId="14" fillId="7" borderId="9" xfId="0" applyFont="1" applyFill="1" applyBorder="1"/>
    <xf numFmtId="0" fontId="48" fillId="7" borderId="10" xfId="0" applyFont="1" applyFill="1" applyBorder="1"/>
    <xf numFmtId="0" fontId="14" fillId="7" borderId="11" xfId="0" applyFont="1" applyFill="1" applyBorder="1"/>
    <xf numFmtId="0" fontId="51" fillId="4" borderId="7" xfId="0" applyFont="1" applyFill="1" applyBorder="1"/>
    <xf numFmtId="0" fontId="52" fillId="4" borderId="12" xfId="0" applyFont="1" applyFill="1" applyBorder="1"/>
    <xf numFmtId="0" fontId="51" fillId="4" borderId="12" xfId="0" applyFont="1" applyFill="1" applyBorder="1"/>
    <xf numFmtId="0" fontId="51" fillId="4" borderId="8" xfId="0" applyFont="1" applyFill="1" applyBorder="1"/>
    <xf numFmtId="0" fontId="51" fillId="4" borderId="0" xfId="0" applyFont="1" applyFill="1"/>
    <xf numFmtId="49" fontId="53" fillId="4" borderId="0" xfId="0" applyNumberFormat="1" applyFont="1" applyFill="1"/>
    <xf numFmtId="0" fontId="54" fillId="4" borderId="7" xfId="0" applyFont="1" applyFill="1" applyBorder="1"/>
    <xf numFmtId="0" fontId="54" fillId="4" borderId="0" xfId="0" applyFont="1" applyFill="1" applyBorder="1"/>
    <xf numFmtId="0" fontId="54" fillId="4" borderId="8" xfId="0" applyFont="1" applyFill="1" applyBorder="1"/>
    <xf numFmtId="0" fontId="54" fillId="4" borderId="0" xfId="0" applyFont="1" applyFill="1"/>
    <xf numFmtId="49" fontId="55" fillId="4" borderId="0" xfId="0" applyNumberFormat="1" applyFont="1" applyFill="1"/>
    <xf numFmtId="0" fontId="51" fillId="4" borderId="0" xfId="0" applyFont="1" applyFill="1" applyBorder="1"/>
    <xf numFmtId="0" fontId="25" fillId="4" borderId="0" xfId="0" applyFont="1" applyFill="1" applyBorder="1" applyAlignment="1">
      <alignment vertical="center" wrapText="1"/>
    </xf>
    <xf numFmtId="0" fontId="4" fillId="0" borderId="0" xfId="0" applyFont="1" applyBorder="1" applyAlignment="1">
      <alignment horizontal="center"/>
    </xf>
    <xf numFmtId="0" fontId="4" fillId="2" borderId="0" xfId="0" applyFont="1" applyFill="1" applyBorder="1" applyAlignment="1">
      <alignment horizontal="left"/>
    </xf>
    <xf numFmtId="49" fontId="3" fillId="4" borderId="28" xfId="0" applyNumberFormat="1" applyFont="1" applyFill="1" applyBorder="1" applyAlignment="1">
      <alignment vertical="center"/>
    </xf>
    <xf numFmtId="0" fontId="56" fillId="4" borderId="8" xfId="0" applyFont="1" applyFill="1" applyBorder="1"/>
    <xf numFmtId="49" fontId="3" fillId="4" borderId="5" xfId="0" applyNumberFormat="1" applyFont="1" applyFill="1" applyBorder="1" applyAlignment="1">
      <alignment vertical="center"/>
    </xf>
    <xf numFmtId="0" fontId="16" fillId="4" borderId="29" xfId="0" applyFont="1" applyFill="1" applyBorder="1" applyAlignment="1">
      <alignment vertical="center"/>
    </xf>
    <xf numFmtId="0" fontId="16" fillId="4" borderId="28" xfId="0" applyFont="1" applyFill="1" applyBorder="1" applyAlignment="1">
      <alignment vertical="center"/>
    </xf>
    <xf numFmtId="0" fontId="16" fillId="4" borderId="7" xfId="0" applyFont="1" applyFill="1" applyBorder="1" applyAlignment="1">
      <alignment vertical="center"/>
    </xf>
    <xf numFmtId="0" fontId="16" fillId="4" borderId="8" xfId="0" applyFont="1" applyFill="1" applyBorder="1" applyAlignment="1">
      <alignment vertical="center"/>
    </xf>
    <xf numFmtId="0" fontId="47" fillId="0" borderId="0" xfId="0" applyFont="1" applyFill="1" applyBorder="1"/>
    <xf numFmtId="0" fontId="3" fillId="4" borderId="40" xfId="0" applyFont="1" applyFill="1" applyBorder="1" applyAlignment="1">
      <alignment vertical="center" wrapText="1"/>
    </xf>
    <xf numFmtId="0" fontId="27" fillId="4" borderId="8" xfId="0" applyFont="1" applyFill="1" applyBorder="1"/>
    <xf numFmtId="9" fontId="3" fillId="4" borderId="18" xfId="1" applyNumberFormat="1" applyFont="1" applyFill="1" applyBorder="1" applyAlignment="1">
      <alignment horizontal="right" vertical="center"/>
    </xf>
    <xf numFmtId="9" fontId="3" fillId="4" borderId="19" xfId="1" applyNumberFormat="1" applyFont="1" applyFill="1" applyBorder="1" applyAlignment="1">
      <alignment horizontal="right" vertical="center"/>
    </xf>
    <xf numFmtId="9" fontId="3" fillId="4" borderId="20" xfId="1" applyNumberFormat="1" applyFont="1" applyFill="1" applyBorder="1" applyAlignment="1">
      <alignment horizontal="right" vertical="center"/>
    </xf>
    <xf numFmtId="9" fontId="3" fillId="4" borderId="21" xfId="1" applyNumberFormat="1" applyFont="1" applyFill="1" applyBorder="1" applyAlignment="1">
      <alignment horizontal="right" vertical="center"/>
    </xf>
    <xf numFmtId="9" fontId="3" fillId="4" borderId="49" xfId="1" applyNumberFormat="1" applyFont="1" applyFill="1" applyBorder="1" applyAlignment="1">
      <alignment horizontal="right" vertical="center"/>
    </xf>
    <xf numFmtId="9" fontId="3" fillId="4" borderId="50" xfId="1" applyNumberFormat="1" applyFont="1" applyFill="1" applyBorder="1" applyAlignment="1">
      <alignment horizontal="right" vertical="center"/>
    </xf>
    <xf numFmtId="0" fontId="38" fillId="4" borderId="16" xfId="3" applyFont="1" applyFill="1" applyBorder="1" applyAlignment="1" applyProtection="1">
      <alignment horizontal="center" vertical="top"/>
    </xf>
    <xf numFmtId="0" fontId="3" fillId="4" borderId="44" xfId="0" applyFont="1" applyFill="1" applyBorder="1" applyAlignment="1">
      <alignment vertical="top"/>
    </xf>
    <xf numFmtId="168" fontId="3" fillId="2" borderId="0" xfId="0" applyNumberFormat="1" applyFont="1" applyFill="1" applyBorder="1" applyAlignment="1" applyProtection="1">
      <alignment horizontal="left" vertical="top"/>
      <protection locked="0"/>
    </xf>
    <xf numFmtId="0" fontId="59" fillId="4" borderId="8" xfId="0" applyFont="1" applyFill="1" applyBorder="1"/>
    <xf numFmtId="0" fontId="21" fillId="4" borderId="28" xfId="0" applyFont="1" applyFill="1" applyBorder="1" applyAlignment="1">
      <alignment vertical="center"/>
    </xf>
    <xf numFmtId="0" fontId="25" fillId="4" borderId="0" xfId="0" applyFont="1" applyFill="1" applyBorder="1" applyAlignment="1">
      <alignment wrapText="1"/>
    </xf>
    <xf numFmtId="0" fontId="60" fillId="4" borderId="0" xfId="0" applyFont="1" applyFill="1"/>
    <xf numFmtId="0" fontId="3" fillId="4" borderId="0" xfId="0" applyFont="1" applyFill="1" applyBorder="1" applyAlignment="1">
      <alignment horizontal="left" vertical="center"/>
    </xf>
    <xf numFmtId="0" fontId="3" fillId="0" borderId="0" xfId="0" applyFont="1" applyBorder="1" applyAlignment="1">
      <alignment horizontal="left"/>
    </xf>
    <xf numFmtId="0" fontId="0" fillId="0" borderId="0" xfId="0" applyAlignment="1" applyProtection="1">
      <alignment vertical="center"/>
    </xf>
    <xf numFmtId="0" fontId="0" fillId="0" borderId="0" xfId="0" applyAlignment="1" applyProtection="1">
      <alignment vertical="center"/>
      <protection locked="0"/>
    </xf>
    <xf numFmtId="0" fontId="44" fillId="4" borderId="0" xfId="0" applyFont="1" applyFill="1" applyBorder="1" applyAlignment="1" applyProtection="1">
      <alignment horizontal="center" vertical="center"/>
    </xf>
    <xf numFmtId="0" fontId="3" fillId="4" borderId="22" xfId="0" applyFont="1" applyFill="1" applyBorder="1" applyAlignment="1" applyProtection="1">
      <alignment horizontal="center" vertical="center" wrapText="1"/>
    </xf>
    <xf numFmtId="0" fontId="3" fillId="4" borderId="23" xfId="0" applyFont="1" applyFill="1" applyBorder="1" applyAlignment="1" applyProtection="1">
      <alignment horizontal="center" vertical="center" wrapText="1"/>
    </xf>
    <xf numFmtId="0" fontId="3" fillId="4" borderId="56" xfId="0" applyFont="1" applyFill="1" applyBorder="1" applyAlignment="1" applyProtection="1">
      <alignment vertical="center" wrapText="1"/>
    </xf>
    <xf numFmtId="164" fontId="3" fillId="9" borderId="19" xfId="1" applyNumberFormat="1" applyFont="1" applyFill="1" applyBorder="1" applyAlignment="1" applyProtection="1">
      <alignment vertical="center"/>
      <protection locked="0"/>
    </xf>
    <xf numFmtId="9" fontId="3" fillId="4" borderId="39" xfId="1" applyNumberFormat="1" applyFont="1" applyFill="1" applyBorder="1" applyAlignment="1" applyProtection="1">
      <alignment vertical="center"/>
    </xf>
    <xf numFmtId="164" fontId="3" fillId="4" borderId="19" xfId="1" applyNumberFormat="1" applyFont="1" applyFill="1" applyBorder="1" applyAlignment="1" applyProtection="1">
      <alignment vertical="center"/>
    </xf>
    <xf numFmtId="0" fontId="0" fillId="0" borderId="0" xfId="0" applyProtection="1">
      <protection locked="0"/>
    </xf>
    <xf numFmtId="0" fontId="0" fillId="0" borderId="0" xfId="0" applyProtection="1"/>
    <xf numFmtId="0" fontId="3" fillId="4" borderId="57" xfId="0" applyFont="1" applyFill="1" applyBorder="1" applyAlignment="1" applyProtection="1">
      <alignment vertical="center" wrapText="1"/>
    </xf>
    <xf numFmtId="164" fontId="3" fillId="9" borderId="21" xfId="1" applyNumberFormat="1" applyFont="1" applyFill="1" applyBorder="1" applyAlignment="1" applyProtection="1">
      <alignment vertical="center"/>
      <protection locked="0"/>
    </xf>
    <xf numFmtId="9" fontId="3" fillId="4" borderId="40" xfId="1" applyNumberFormat="1" applyFont="1" applyFill="1" applyBorder="1" applyAlignment="1" applyProtection="1">
      <alignment vertical="center"/>
    </xf>
    <xf numFmtId="164" fontId="3" fillId="4" borderId="21" xfId="1" applyNumberFormat="1" applyFont="1" applyFill="1" applyBorder="1" applyAlignment="1" applyProtection="1">
      <alignment vertical="center"/>
    </xf>
    <xf numFmtId="0" fontId="3" fillId="4" borderId="57" xfId="0" applyFont="1" applyFill="1" applyBorder="1" applyAlignment="1" applyProtection="1">
      <alignment horizontal="left" vertical="center" wrapText="1"/>
    </xf>
    <xf numFmtId="164" fontId="3" fillId="9" borderId="21" xfId="1" applyNumberFormat="1" applyFont="1" applyFill="1" applyBorder="1" applyAlignment="1" applyProtection="1">
      <alignment vertical="top"/>
      <protection locked="0"/>
    </xf>
    <xf numFmtId="9" fontId="3" fillId="4" borderId="40" xfId="1" applyNumberFormat="1" applyFont="1" applyFill="1" applyBorder="1" applyAlignment="1" applyProtection="1">
      <alignment vertical="top"/>
    </xf>
    <xf numFmtId="164" fontId="3" fillId="4" borderId="21" xfId="1" applyNumberFormat="1" applyFont="1" applyFill="1" applyBorder="1" applyAlignment="1" applyProtection="1">
      <alignment vertical="top"/>
    </xf>
    <xf numFmtId="0" fontId="3" fillId="4" borderId="58" xfId="0" applyFont="1" applyFill="1" applyBorder="1" applyAlignment="1" applyProtection="1">
      <alignment vertical="center" wrapText="1"/>
    </xf>
    <xf numFmtId="164" fontId="3" fillId="9" borderId="50" xfId="1" applyNumberFormat="1" applyFont="1" applyFill="1" applyBorder="1" applyAlignment="1" applyProtection="1">
      <alignment vertical="center"/>
      <protection locked="0"/>
    </xf>
    <xf numFmtId="9" fontId="3" fillId="4" borderId="48" xfId="1" applyNumberFormat="1" applyFont="1" applyFill="1" applyBorder="1" applyAlignment="1" applyProtection="1">
      <alignment vertical="center"/>
    </xf>
    <xf numFmtId="164" fontId="3" fillId="4" borderId="50" xfId="1" applyNumberFormat="1" applyFont="1" applyFill="1" applyBorder="1" applyAlignment="1" applyProtection="1">
      <alignment vertical="center"/>
    </xf>
    <xf numFmtId="0" fontId="0" fillId="0" borderId="0" xfId="0" applyAlignment="1" applyProtection="1">
      <alignment wrapText="1"/>
    </xf>
    <xf numFmtId="0" fontId="3" fillId="4" borderId="27" xfId="0" applyFont="1" applyFill="1" applyBorder="1" applyAlignment="1" applyProtection="1">
      <alignment horizontal="center" vertical="center" wrapText="1"/>
    </xf>
    <xf numFmtId="9" fontId="3" fillId="4" borderId="38" xfId="1" applyNumberFormat="1" applyFont="1" applyFill="1" applyBorder="1" applyAlignment="1" applyProtection="1">
      <alignment vertical="center"/>
    </xf>
    <xf numFmtId="9" fontId="3" fillId="4" borderId="16" xfId="1" applyNumberFormat="1" applyFont="1" applyFill="1" applyBorder="1" applyAlignment="1" applyProtection="1">
      <alignment vertical="center"/>
    </xf>
    <xf numFmtId="9" fontId="3" fillId="4" borderId="16" xfId="1" applyNumberFormat="1" applyFont="1" applyFill="1" applyBorder="1" applyAlignment="1" applyProtection="1">
      <alignment vertical="top"/>
    </xf>
    <xf numFmtId="9" fontId="3" fillId="4" borderId="59" xfId="1" applyNumberFormat="1" applyFont="1" applyFill="1" applyBorder="1" applyAlignment="1" applyProtection="1">
      <alignment vertical="center"/>
    </xf>
    <xf numFmtId="9" fontId="20" fillId="7" borderId="9" xfId="1" applyFont="1" applyFill="1" applyBorder="1" applyAlignment="1" applyProtection="1">
      <alignment horizontal="left" vertical="top"/>
      <protection locked="0"/>
    </xf>
    <xf numFmtId="9" fontId="20" fillId="7" borderId="10" xfId="1" applyFont="1" applyFill="1" applyBorder="1" applyAlignment="1" applyProtection="1">
      <alignment horizontal="left" vertical="top"/>
      <protection locked="0"/>
    </xf>
    <xf numFmtId="9" fontId="20" fillId="7" borderId="11" xfId="1" applyFont="1" applyFill="1" applyBorder="1" applyAlignment="1" applyProtection="1">
      <alignment horizontal="left" vertical="top"/>
      <protection locked="0"/>
    </xf>
    <xf numFmtId="9" fontId="57" fillId="8" borderId="13" xfId="1" applyNumberFormat="1" applyFont="1" applyFill="1" applyBorder="1" applyAlignment="1" applyProtection="1">
      <alignment horizontal="center" vertical="center" wrapText="1"/>
    </xf>
    <xf numFmtId="9" fontId="57" fillId="8" borderId="14" xfId="1" applyNumberFormat="1" applyFont="1" applyFill="1" applyBorder="1" applyAlignment="1" applyProtection="1">
      <alignment horizontal="center" vertical="center" wrapText="1"/>
    </xf>
    <xf numFmtId="0" fontId="3" fillId="4" borderId="0" xfId="0" applyFont="1" applyFill="1" applyBorder="1" applyAlignment="1">
      <alignment horizontal="left" vertical="center"/>
    </xf>
    <xf numFmtId="0" fontId="12" fillId="7" borderId="53" xfId="0" applyFont="1" applyFill="1" applyBorder="1" applyAlignment="1">
      <alignment horizontal="left" vertical="top" wrapText="1"/>
    </xf>
    <xf numFmtId="0" fontId="12" fillId="7" borderId="54" xfId="0" applyFont="1" applyFill="1" applyBorder="1" applyAlignment="1">
      <alignment horizontal="left" vertical="top" wrapText="1"/>
    </xf>
    <xf numFmtId="0" fontId="12" fillId="7" borderId="55" xfId="0" applyFont="1" applyFill="1" applyBorder="1" applyAlignment="1">
      <alignment horizontal="left" vertical="top" wrapText="1"/>
    </xf>
    <xf numFmtId="0" fontId="12" fillId="7" borderId="7" xfId="0" applyFont="1" applyFill="1" applyBorder="1" applyAlignment="1">
      <alignment horizontal="left" vertical="top" wrapText="1"/>
    </xf>
    <xf numFmtId="0" fontId="12" fillId="7" borderId="0" xfId="0" applyFont="1" applyFill="1" applyBorder="1" applyAlignment="1">
      <alignment horizontal="left" vertical="top" wrapText="1"/>
    </xf>
    <xf numFmtId="0" fontId="12" fillId="7" borderId="8" xfId="0" applyFont="1" applyFill="1" applyBorder="1" applyAlignment="1">
      <alignment horizontal="left" vertical="top" wrapText="1"/>
    </xf>
    <xf numFmtId="167" fontId="20" fillId="7" borderId="7" xfId="0" applyNumberFormat="1" applyFont="1" applyFill="1" applyBorder="1" applyAlignment="1" applyProtection="1">
      <alignment horizontal="left" vertical="top" wrapText="1"/>
      <protection locked="0"/>
    </xf>
    <xf numFmtId="167" fontId="20" fillId="7" borderId="0" xfId="0" applyNumberFormat="1" applyFont="1" applyFill="1" applyBorder="1" applyAlignment="1" applyProtection="1">
      <alignment horizontal="left" vertical="top" wrapText="1"/>
      <protection locked="0"/>
    </xf>
    <xf numFmtId="167" fontId="20" fillId="7" borderId="8" xfId="0" applyNumberFormat="1" applyFont="1" applyFill="1" applyBorder="1" applyAlignment="1" applyProtection="1">
      <alignment horizontal="left" vertical="top" wrapText="1"/>
      <protection locked="0"/>
    </xf>
    <xf numFmtId="167" fontId="20" fillId="7" borderId="41" xfId="0" applyNumberFormat="1" applyFont="1" applyFill="1" applyBorder="1" applyAlignment="1" applyProtection="1">
      <alignment horizontal="left" vertical="top" wrapText="1"/>
      <protection locked="0"/>
    </xf>
    <xf numFmtId="167" fontId="20" fillId="7" borderId="42" xfId="0" applyNumberFormat="1" applyFont="1" applyFill="1" applyBorder="1" applyAlignment="1" applyProtection="1">
      <alignment horizontal="left" vertical="top" wrapText="1"/>
      <protection locked="0"/>
    </xf>
    <xf numFmtId="167" fontId="20" fillId="7" borderId="43" xfId="0" applyNumberFormat="1" applyFont="1" applyFill="1" applyBorder="1" applyAlignment="1" applyProtection="1">
      <alignment horizontal="left" vertical="top" wrapText="1"/>
      <protection locked="0"/>
    </xf>
    <xf numFmtId="0" fontId="12" fillId="7" borderId="53" xfId="0" applyFont="1" applyFill="1" applyBorder="1" applyAlignment="1">
      <alignment vertical="center" wrapText="1"/>
    </xf>
    <xf numFmtId="0" fontId="12" fillId="7" borderId="54" xfId="0" applyFont="1" applyFill="1" applyBorder="1" applyAlignment="1">
      <alignment vertical="center" wrapText="1"/>
    </xf>
    <xf numFmtId="0" fontId="12" fillId="7" borderId="55" xfId="0" applyFont="1" applyFill="1" applyBorder="1" applyAlignment="1">
      <alignment vertical="center" wrapText="1"/>
    </xf>
    <xf numFmtId="0" fontId="12" fillId="7" borderId="7" xfId="0" applyFont="1" applyFill="1" applyBorder="1" applyAlignment="1">
      <alignment vertical="center" wrapText="1"/>
    </xf>
    <xf numFmtId="0" fontId="12" fillId="7" borderId="0" xfId="0" applyFont="1" applyFill="1" applyBorder="1" applyAlignment="1">
      <alignment vertical="center" wrapText="1"/>
    </xf>
    <xf numFmtId="0" fontId="12" fillId="7" borderId="8" xfId="0" applyFont="1" applyFill="1" applyBorder="1" applyAlignment="1">
      <alignment vertical="center" wrapText="1"/>
    </xf>
    <xf numFmtId="0" fontId="12" fillId="7" borderId="4" xfId="0" applyFont="1" applyFill="1" applyBorder="1" applyAlignment="1">
      <alignment horizontal="left" vertical="top" wrapText="1"/>
    </xf>
    <xf numFmtId="0" fontId="12" fillId="7" borderId="5" xfId="0" applyFont="1" applyFill="1" applyBorder="1" applyAlignment="1">
      <alignment horizontal="left" vertical="top" wrapText="1"/>
    </xf>
    <xf numFmtId="0" fontId="12" fillId="7" borderId="6" xfId="0" applyFont="1" applyFill="1" applyBorder="1" applyAlignment="1">
      <alignment horizontal="left" vertical="top" wrapText="1"/>
    </xf>
    <xf numFmtId="0" fontId="20" fillId="7" borderId="4" xfId="0" applyFont="1" applyFill="1" applyBorder="1" applyAlignment="1">
      <alignment horizontal="left" vertical="top"/>
    </xf>
    <xf numFmtId="0" fontId="20" fillId="7" borderId="5" xfId="0" applyFont="1" applyFill="1" applyBorder="1" applyAlignment="1">
      <alignment horizontal="left" vertical="top"/>
    </xf>
    <xf numFmtId="0" fontId="20" fillId="7" borderId="6" xfId="0" applyFont="1" applyFill="1" applyBorder="1" applyAlignment="1">
      <alignment horizontal="left" vertical="top"/>
    </xf>
    <xf numFmtId="0" fontId="20" fillId="7" borderId="41" xfId="0" applyFont="1" applyFill="1" applyBorder="1" applyAlignment="1">
      <alignment horizontal="left" vertical="top"/>
    </xf>
    <xf numFmtId="0" fontId="20" fillId="7" borderId="42" xfId="0" applyFont="1" applyFill="1" applyBorder="1" applyAlignment="1">
      <alignment horizontal="left" vertical="top"/>
    </xf>
    <xf numFmtId="0" fontId="20" fillId="7" borderId="43" xfId="0" applyFont="1" applyFill="1" applyBorder="1" applyAlignment="1">
      <alignment horizontal="left" vertical="top"/>
    </xf>
    <xf numFmtId="0" fontId="3" fillId="2" borderId="0" xfId="0" applyFont="1" applyFill="1" applyBorder="1" applyAlignment="1" applyProtection="1">
      <alignment horizontal="left" vertical="top" wrapText="1"/>
      <protection locked="0"/>
    </xf>
    <xf numFmtId="0" fontId="5" fillId="2" borderId="0" xfId="0" applyFont="1" applyFill="1" applyBorder="1" applyAlignment="1" applyProtection="1">
      <alignment horizontal="left" vertical="center"/>
      <protection locked="0"/>
    </xf>
    <xf numFmtId="0" fontId="3" fillId="2" borderId="15" xfId="0" applyFont="1" applyFill="1" applyBorder="1" applyAlignment="1" applyProtection="1">
      <alignment horizontal="left" vertical="top"/>
      <protection locked="0"/>
    </xf>
    <xf numFmtId="0" fontId="3" fillId="2" borderId="17" xfId="0" applyFont="1" applyFill="1" applyBorder="1" applyAlignment="1" applyProtection="1">
      <alignment horizontal="left" vertical="top"/>
      <protection locked="0"/>
    </xf>
    <xf numFmtId="0" fontId="3" fillId="2" borderId="16" xfId="0" applyFont="1" applyFill="1" applyBorder="1" applyAlignment="1" applyProtection="1">
      <alignment horizontal="left" vertical="top" wrapText="1"/>
      <protection locked="0"/>
    </xf>
    <xf numFmtId="0" fontId="7" fillId="5" borderId="10" xfId="0" applyFont="1" applyFill="1" applyBorder="1" applyAlignment="1">
      <alignment horizontal="center" vertical="center"/>
    </xf>
    <xf numFmtId="0" fontId="3" fillId="2" borderId="15" xfId="0" applyFont="1" applyFill="1" applyBorder="1" applyAlignment="1" applyProtection="1">
      <alignment horizontal="left" vertical="top" wrapText="1"/>
      <protection locked="0"/>
    </xf>
    <xf numFmtId="0" fontId="41" fillId="3" borderId="13" xfId="0" applyFont="1" applyFill="1" applyBorder="1" applyAlignment="1" applyProtection="1">
      <alignment horizontal="center" vertical="center"/>
    </xf>
    <xf numFmtId="0" fontId="41" fillId="3" borderId="45" xfId="0" applyFont="1" applyFill="1" applyBorder="1" applyAlignment="1" applyProtection="1">
      <alignment horizontal="center" vertical="center"/>
    </xf>
    <xf numFmtId="0" fontId="41" fillId="3" borderId="14" xfId="0" applyFont="1" applyFill="1" applyBorder="1" applyAlignment="1" applyProtection="1">
      <alignment horizontal="center" vertical="center"/>
    </xf>
    <xf numFmtId="0" fontId="3" fillId="2" borderId="16" xfId="0" applyFont="1" applyFill="1" applyBorder="1" applyAlignment="1" applyProtection="1">
      <alignment horizontal="left" vertical="top"/>
      <protection locked="0"/>
    </xf>
    <xf numFmtId="0" fontId="6" fillId="0" borderId="0" xfId="0" applyFont="1" applyBorder="1" applyAlignment="1">
      <alignment horizontal="left"/>
    </xf>
    <xf numFmtId="0" fontId="3" fillId="0" borderId="0" xfId="0" applyFont="1" applyBorder="1" applyAlignment="1">
      <alignment horizontal="left"/>
    </xf>
    <xf numFmtId="10" fontId="4" fillId="0" borderId="0" xfId="0" applyNumberFormat="1" applyFont="1" applyBorder="1" applyAlignment="1">
      <alignment horizontal="center"/>
    </xf>
    <xf numFmtId="0" fontId="3" fillId="2" borderId="0" xfId="0" applyFont="1" applyFill="1" applyBorder="1" applyAlignment="1">
      <alignment horizontal="left"/>
    </xf>
    <xf numFmtId="0" fontId="7" fillId="5" borderId="0" xfId="0" applyFont="1" applyFill="1" applyBorder="1" applyAlignment="1">
      <alignment horizontal="center" vertical="center"/>
    </xf>
    <xf numFmtId="0" fontId="3" fillId="2" borderId="0" xfId="0" applyFont="1" applyFill="1" applyBorder="1" applyAlignment="1" applyProtection="1">
      <alignment horizontal="left" vertical="top"/>
      <protection locked="0"/>
    </xf>
    <xf numFmtId="9" fontId="46" fillId="8" borderId="4" xfId="1" applyNumberFormat="1" applyFont="1" applyFill="1" applyBorder="1" applyAlignment="1">
      <alignment horizontal="center" vertical="center"/>
    </xf>
    <xf numFmtId="9" fontId="46" fillId="8" borderId="6" xfId="1" applyNumberFormat="1" applyFont="1" applyFill="1" applyBorder="1" applyAlignment="1">
      <alignment horizontal="center" vertical="center"/>
    </xf>
    <xf numFmtId="9" fontId="46" fillId="8" borderId="9" xfId="1" applyNumberFormat="1" applyFont="1" applyFill="1" applyBorder="1" applyAlignment="1">
      <alignment horizontal="center" vertical="center"/>
    </xf>
    <xf numFmtId="9" fontId="46" fillId="8" borderId="11" xfId="1" applyNumberFormat="1" applyFont="1" applyFill="1" applyBorder="1" applyAlignment="1">
      <alignment horizontal="center" vertical="center"/>
    </xf>
    <xf numFmtId="0" fontId="7" fillId="4" borderId="8" xfId="0" applyFont="1" applyFill="1" applyBorder="1" applyAlignment="1">
      <alignment horizontal="left" vertical="center"/>
    </xf>
    <xf numFmtId="0" fontId="6" fillId="2" borderId="5" xfId="0" applyFont="1" applyFill="1" applyBorder="1" applyAlignment="1">
      <alignment horizontal="left" wrapText="1"/>
    </xf>
    <xf numFmtId="0" fontId="7" fillId="5" borderId="0" xfId="0" applyFont="1" applyFill="1" applyAlignment="1">
      <alignment horizontal="center" vertical="center"/>
    </xf>
    <xf numFmtId="0" fontId="58" fillId="4" borderId="0" xfId="0" applyFont="1" applyFill="1" applyBorder="1" applyAlignment="1">
      <alignment horizontal="left" vertical="center"/>
    </xf>
    <xf numFmtId="0" fontId="5" fillId="4" borderId="0" xfId="0" applyFont="1" applyFill="1" applyBorder="1" applyAlignment="1">
      <alignment horizontal="left" vertical="center" wrapText="1"/>
    </xf>
    <xf numFmtId="0" fontId="5" fillId="4" borderId="0" xfId="0" applyFont="1" applyFill="1" applyBorder="1" applyAlignment="1">
      <alignment horizontal="left" vertical="center"/>
    </xf>
    <xf numFmtId="0" fontId="31" fillId="4" borderId="2" xfId="0" applyFont="1" applyFill="1" applyBorder="1" applyAlignment="1">
      <alignment horizontal="center" vertical="center" wrapText="1"/>
    </xf>
    <xf numFmtId="0" fontId="31" fillId="4" borderId="27"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 fillId="4" borderId="33" xfId="0" applyFont="1" applyFill="1" applyBorder="1" applyAlignment="1">
      <alignment horizontal="center"/>
    </xf>
    <xf numFmtId="0" fontId="3" fillId="4" borderId="24" xfId="0" applyFont="1" applyFill="1" applyBorder="1" applyAlignment="1">
      <alignment horizontal="center"/>
    </xf>
    <xf numFmtId="0" fontId="5" fillId="4" borderId="25" xfId="0" applyFont="1" applyFill="1" applyBorder="1" applyAlignment="1">
      <alignment horizontal="center" vertical="center"/>
    </xf>
    <xf numFmtId="0" fontId="5" fillId="4" borderId="35" xfId="0" applyFont="1" applyFill="1" applyBorder="1" applyAlignment="1">
      <alignment horizontal="center" vertical="center"/>
    </xf>
    <xf numFmtId="0" fontId="6" fillId="2" borderId="5" xfId="0" applyFont="1" applyFill="1" applyBorder="1" applyAlignment="1">
      <alignment horizontal="left" vertical="center" wrapText="1"/>
    </xf>
    <xf numFmtId="0" fontId="25" fillId="4" borderId="28" xfId="0" applyFont="1" applyFill="1" applyBorder="1" applyAlignment="1">
      <alignment horizontal="left" wrapText="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9" xfId="0" applyFont="1" applyFill="1" applyBorder="1" applyAlignment="1">
      <alignment horizontal="center"/>
    </xf>
    <xf numFmtId="0" fontId="3" fillId="4" borderId="52" xfId="0" applyFont="1" applyFill="1" applyBorder="1" applyAlignment="1">
      <alignment horizontal="center"/>
    </xf>
    <xf numFmtId="0" fontId="3" fillId="4" borderId="47" xfId="0" applyFont="1" applyFill="1" applyBorder="1" applyAlignment="1">
      <alignment horizontal="center"/>
    </xf>
    <xf numFmtId="0" fontId="3" fillId="4" borderId="51" xfId="0" applyFont="1" applyFill="1" applyBorder="1" applyAlignment="1">
      <alignment horizontal="center"/>
    </xf>
    <xf numFmtId="0" fontId="3" fillId="4" borderId="29" xfId="0" applyFont="1" applyFill="1" applyBorder="1" applyAlignment="1">
      <alignment horizontal="center"/>
    </xf>
    <xf numFmtId="0" fontId="3" fillId="4" borderId="7" xfId="0" applyFont="1" applyFill="1" applyBorder="1" applyAlignment="1">
      <alignment horizontal="center"/>
    </xf>
    <xf numFmtId="0" fontId="3" fillId="4" borderId="31" xfId="0" applyFont="1" applyFill="1" applyBorder="1" applyAlignment="1">
      <alignment horizontal="center"/>
    </xf>
    <xf numFmtId="0" fontId="3" fillId="4" borderId="46" xfId="0" applyFont="1" applyFill="1" applyBorder="1" applyAlignment="1">
      <alignment horizontal="center"/>
    </xf>
    <xf numFmtId="0" fontId="6" fillId="2" borderId="5" xfId="0" applyFont="1" applyFill="1" applyBorder="1" applyAlignment="1">
      <alignment vertical="center"/>
    </xf>
    <xf numFmtId="0" fontId="5" fillId="2" borderId="0" xfId="0" applyFont="1" applyFill="1" applyBorder="1" applyAlignment="1">
      <alignment horizontal="left"/>
    </xf>
    <xf numFmtId="0" fontId="5" fillId="2" borderId="28" xfId="0" applyFont="1" applyFill="1" applyBorder="1" applyAlignment="1">
      <alignment horizontal="left"/>
    </xf>
    <xf numFmtId="0" fontId="5" fillId="2" borderId="5" xfId="0" applyFont="1" applyFill="1" applyBorder="1" applyAlignment="1">
      <alignment horizontal="left"/>
    </xf>
    <xf numFmtId="14" fontId="6" fillId="4" borderId="27" xfId="0" applyNumberFormat="1" applyFont="1" applyFill="1" applyBorder="1" applyAlignment="1">
      <alignment horizontal="left" vertical="center"/>
    </xf>
    <xf numFmtId="0" fontId="3" fillId="4" borderId="27" xfId="0" applyNumberFormat="1" applyFont="1" applyFill="1" applyBorder="1" applyAlignment="1">
      <alignment horizontal="left" vertical="center" wrapText="1"/>
    </xf>
    <xf numFmtId="0" fontId="35" fillId="7" borderId="4" xfId="0" applyFont="1" applyFill="1" applyBorder="1" applyAlignment="1">
      <alignment horizontal="left" vertical="top" wrapText="1"/>
    </xf>
    <xf numFmtId="0" fontId="35" fillId="7" borderId="5" xfId="0" applyFont="1" applyFill="1" applyBorder="1" applyAlignment="1">
      <alignment horizontal="left" vertical="top" wrapText="1"/>
    </xf>
    <xf numFmtId="0" fontId="35" fillId="7" borderId="6" xfId="0" applyFont="1" applyFill="1" applyBorder="1" applyAlignment="1">
      <alignment horizontal="left" vertical="top" wrapText="1"/>
    </xf>
    <xf numFmtId="0" fontId="35" fillId="7" borderId="7" xfId="0" applyFont="1" applyFill="1" applyBorder="1" applyAlignment="1">
      <alignment horizontal="left" vertical="top" wrapText="1"/>
    </xf>
    <xf numFmtId="0" fontId="35" fillId="7" borderId="0" xfId="0" applyFont="1" applyFill="1" applyBorder="1" applyAlignment="1">
      <alignment horizontal="left" vertical="top" wrapText="1"/>
    </xf>
    <xf numFmtId="0" fontId="35" fillId="7" borderId="8" xfId="0" applyFont="1" applyFill="1" applyBorder="1" applyAlignment="1">
      <alignment horizontal="left" vertical="top" wrapText="1"/>
    </xf>
    <xf numFmtId="0" fontId="35" fillId="7" borderId="9" xfId="0" applyFont="1" applyFill="1" applyBorder="1" applyAlignment="1">
      <alignment horizontal="left" vertical="top" wrapText="1"/>
    </xf>
    <xf numFmtId="0" fontId="35" fillId="7" borderId="10" xfId="0" applyFont="1" applyFill="1" applyBorder="1" applyAlignment="1">
      <alignment horizontal="left" vertical="top" wrapText="1"/>
    </xf>
    <xf numFmtId="0" fontId="35" fillId="7" borderId="11" xfId="0" applyFont="1" applyFill="1" applyBorder="1" applyAlignment="1">
      <alignment horizontal="left" vertical="top" wrapText="1"/>
    </xf>
  </cellXfs>
  <cellStyles count="4">
    <cellStyle name="Standard 2" xfId="2" xr:uid="{00000000-0005-0000-0000-000000000000}"/>
    <cellStyle name="常规" xfId="0" builtinId="0"/>
    <cellStyle name="百分比" xfId="1" builtinId="5"/>
    <cellStyle name="超链接" xfId="3" builtinId="8"/>
  </cellStyles>
  <dxfs count="148">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bgColor theme="9" tint="0.79998168889431442"/>
        </patternFill>
      </fill>
    </dxf>
    <dxf>
      <font>
        <color theme="0"/>
      </font>
      <fill>
        <patternFill>
          <bgColor rgb="FFFF0000"/>
        </patternFill>
      </fill>
    </dxf>
    <dxf>
      <font>
        <color theme="0"/>
      </font>
      <fill>
        <patternFill>
          <bgColor rgb="FF008000"/>
        </patternFill>
      </fill>
    </dxf>
    <dxf>
      <font>
        <color theme="0"/>
      </font>
      <fill>
        <patternFill>
          <bgColor rgb="FFFF0000"/>
        </patternFill>
      </fill>
    </dxf>
    <dxf>
      <font>
        <color theme="0"/>
      </font>
      <fill>
        <patternFill>
          <bgColor rgb="FF008000"/>
        </patternFill>
      </fill>
    </dxf>
    <dxf>
      <font>
        <color theme="0"/>
      </font>
      <fill>
        <patternFill>
          <bgColor theme="0"/>
        </patternFill>
      </fill>
    </dxf>
    <dxf>
      <fill>
        <patternFill>
          <bgColor rgb="FFFF0000"/>
        </patternFill>
      </fill>
    </dxf>
    <dxf>
      <font>
        <color theme="1"/>
      </font>
      <fill>
        <patternFill>
          <bgColor rgb="FFFFFF00"/>
        </patternFill>
      </fill>
    </dxf>
    <dxf>
      <fill>
        <patternFill>
          <bgColor rgb="FF008000"/>
        </patternFill>
      </fill>
    </dxf>
  </dxfs>
  <tableStyles count="0" defaultTableStyle="TableStyleMedium9" defaultPivotStyle="PivotStyleLight16"/>
  <colors>
    <mruColors>
      <color rgb="FFD39700"/>
      <color rgb="FF00B050"/>
      <color rgb="FF008000"/>
      <color rgb="FFFED100"/>
      <color rgb="FFFF9900"/>
      <color rgb="FFE75D12"/>
      <color rgb="FFFC5B00"/>
      <color rgb="FFE0BD00"/>
      <color rgb="FF9CAD14"/>
      <color rgb="FF1989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387277840293574"/>
          <c:y val="9.4020601284681149E-2"/>
          <c:w val="0.40279536746397093"/>
          <c:h val="0.78876118693598141"/>
        </c:manualLayout>
      </c:layout>
      <c:radarChart>
        <c:radarStyle val="marker"/>
        <c:varyColors val="0"/>
        <c:ser>
          <c:idx val="0"/>
          <c:order val="0"/>
          <c:tx>
            <c:strRef>
              <c:f>'Radar chart'!$E$2:$G$2</c:f>
              <c:strCache>
                <c:ptCount val="1"/>
                <c:pt idx="0">
                  <c:v>Chart
(max.) Chart
(Standard) Chart
(real.)</c:v>
                </c:pt>
              </c:strCache>
            </c:strRef>
          </c:tx>
          <c:spPr>
            <a:ln w="63500" cap="rnd">
              <a:solidFill>
                <a:srgbClr val="7F7F7F"/>
              </a:solidFill>
              <a:round/>
            </a:ln>
            <a:effectLst/>
          </c:spPr>
          <c:marker>
            <c:symbol val="circle"/>
            <c:size val="5"/>
            <c:spPr>
              <a:solidFill>
                <a:schemeClr val="tx1"/>
              </a:solidFill>
              <a:ln w="63500">
                <a:solidFill>
                  <a:schemeClr val="tx1"/>
                </a:solidFill>
              </a:ln>
              <a:effectLst/>
            </c:spPr>
          </c:marker>
          <c:cat>
            <c:strRef>
              <c:f>'Radar chart'!$B$3:$B$9</c:f>
              <c:strCache>
                <c:ptCount val="7"/>
                <c:pt idx="0">
                  <c:v>Module 1
Project management</c:v>
                </c:pt>
                <c:pt idx="1">
                  <c:v>Module 2
Order administration, production-and shipment planning</c:v>
                </c:pt>
                <c:pt idx="2">
                  <c:v>Module 3
Basic material, supplier- and capacity management</c:v>
                </c:pt>
                <c:pt idx="3">
                  <c:v>Module 4
Goods receipt and warehouse</c:v>
                </c:pt>
                <c:pt idx="4">
                  <c:v>Module 5
Production</c:v>
                </c:pt>
                <c:pt idx="5">
                  <c:v>Module 6
Shipment and transportation</c:v>
                </c:pt>
                <c:pt idx="6">
                  <c:v>Module 7
Logistic setup</c:v>
                </c:pt>
              </c:strCache>
            </c:strRef>
          </c:cat>
          <c:val>
            <c:numRef>
              <c:f>'Radar chart'!$G$3:$G$9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BC9-489E-9942-33DF048150CC}"/>
            </c:ext>
          </c:extLst>
        </c:ser>
        <c:ser>
          <c:idx val="2"/>
          <c:order val="2"/>
          <c:spPr>
            <a:ln w="63500" cap="rnd">
              <a:solidFill>
                <a:srgbClr val="FFBECE">
                  <a:alpha val="45000"/>
                </a:srgbClr>
              </a:solidFill>
              <a:round/>
            </a:ln>
            <a:effectLst/>
          </c:spPr>
          <c:marker>
            <c:symbol val="circle"/>
            <c:size val="5"/>
            <c:spPr>
              <a:solidFill>
                <a:schemeClr val="accent3"/>
              </a:solidFill>
              <a:ln w="9525">
                <a:solidFill>
                  <a:schemeClr val="accent3"/>
                </a:solidFill>
              </a:ln>
              <a:effectLst/>
            </c:spPr>
          </c:marker>
          <c:val>
            <c:numRef>
              <c:f>'Radar chart'!$F$3:$F$9</c:f>
              <c:numCache>
                <c:formatCode>0%</c:formatCode>
                <c:ptCount val="7"/>
                <c:pt idx="0">
                  <c:v>0.8</c:v>
                </c:pt>
                <c:pt idx="1">
                  <c:v>0.8</c:v>
                </c:pt>
                <c:pt idx="2">
                  <c:v>0.8</c:v>
                </c:pt>
                <c:pt idx="3">
                  <c:v>0.8</c:v>
                </c:pt>
                <c:pt idx="4">
                  <c:v>0.8</c:v>
                </c:pt>
                <c:pt idx="5">
                  <c:v>0.8</c:v>
                </c:pt>
                <c:pt idx="6">
                  <c:v>0.8</c:v>
                </c:pt>
              </c:numCache>
            </c:numRef>
          </c:val>
          <c:extLst>
            <c:ext xmlns:c16="http://schemas.microsoft.com/office/drawing/2014/chart" uri="{C3380CC4-5D6E-409C-BE32-E72D297353CC}">
              <c16:uniqueId val="{00000001-8BC9-489E-9942-33DF048150CC}"/>
            </c:ext>
          </c:extLst>
        </c:ser>
        <c:dLbls>
          <c:showLegendKey val="0"/>
          <c:showVal val="0"/>
          <c:showCatName val="0"/>
          <c:showSerName val="0"/>
          <c:showPercent val="0"/>
          <c:showBubbleSize val="0"/>
        </c:dLbls>
        <c:axId val="736339216"/>
        <c:axId val="736335280"/>
        <c:extLst>
          <c:ext xmlns:c15="http://schemas.microsoft.com/office/drawing/2012/chart" uri="{02D57815-91ED-43cb-92C2-25804820EDAC}">
            <c15:filteredRadarSeries>
              <c15:ser>
                <c:idx val="1"/>
                <c:order val="1"/>
                <c:tx>
                  <c:strRef>
                    <c:extLst>
                      <c:ext uri="{02D57815-91ED-43cb-92C2-25804820EDAC}">
                        <c15:formulaRef>
                          <c15:sqref>'Radar chart'!$E$3:$E$9</c15:sqref>
                        </c15:formulaRef>
                      </c:ext>
                    </c:extLst>
                    <c:strCache>
                      <c:ptCount val="7"/>
                      <c:pt idx="0">
                        <c:v>100%</c:v>
                      </c:pt>
                      <c:pt idx="1">
                        <c:v>100%</c:v>
                      </c:pt>
                      <c:pt idx="2">
                        <c:v>100%</c:v>
                      </c:pt>
                      <c:pt idx="3">
                        <c:v>100%</c:v>
                      </c:pt>
                      <c:pt idx="4">
                        <c:v>100%</c:v>
                      </c:pt>
                      <c:pt idx="5">
                        <c:v>100%</c:v>
                      </c:pt>
                      <c:pt idx="6">
                        <c:v>100%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extLst>
                      <c:ext uri="{02D57815-91ED-43cb-92C2-25804820EDAC}">
                        <c15:formulaRef>
                          <c15:sqref>'Radar chart'!$E$3:$E$9</c15:sqref>
                        </c15:formulaRef>
                      </c:ext>
                    </c:extLst>
                    <c:numCache>
                      <c:formatCode>0%</c:formatCode>
                      <c:ptCount val="7"/>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2-8BC9-489E-9942-33DF048150CC}"/>
                  </c:ext>
                </c:extLst>
              </c15:ser>
            </c15:filteredRadarSeries>
          </c:ext>
        </c:extLst>
      </c:radarChart>
      <c:catAx>
        <c:axId val="73633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Audi Type" panose="020B0503040202060203" pitchFamily="34" charset="0"/>
                <a:ea typeface="+mn-ea"/>
                <a:cs typeface="Audi Type" panose="020B0503040202060203" pitchFamily="34" charset="0"/>
              </a:defRPr>
            </a:pPr>
            <a:endParaRPr lang="en-US"/>
          </a:p>
        </c:txPr>
        <c:crossAx val="736335280"/>
        <c:crosses val="autoZero"/>
        <c:auto val="1"/>
        <c:lblAlgn val="ctr"/>
        <c:lblOffset val="100"/>
        <c:noMultiLvlLbl val="0"/>
      </c:catAx>
      <c:valAx>
        <c:axId val="736335280"/>
        <c:scaling>
          <c:orientation val="minMax"/>
          <c:max val="1"/>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736339216"/>
        <c:crosses val="autoZero"/>
        <c:crossBetween val="between"/>
        <c:majorUnit val="0.2"/>
      </c:valAx>
      <c:spPr>
        <a:noFill/>
        <a:ln>
          <a:noFill/>
        </a:ln>
        <a:effectLst/>
      </c:spPr>
    </c:plotArea>
    <c:plotVisOnly val="1"/>
    <c:dispBlanksAs val="gap"/>
    <c:showDLblsOverMax val="0"/>
  </c:chart>
  <c:spPr>
    <a:solidFill>
      <a:schemeClr val="bg1"/>
    </a:solidFill>
    <a:ln w="25400" cap="flat" cmpd="sng" algn="ctr">
      <a:solidFill>
        <a:schemeClr val="tx1"/>
      </a:solidFill>
      <a:round/>
    </a:ln>
    <a:effectLst/>
  </c:spPr>
  <c:txPr>
    <a:bodyPr/>
    <a:lstStyle/>
    <a:p>
      <a:pPr>
        <a:defRPr>
          <a:latin typeface="Audi Type" panose="020B0503040202060203" pitchFamily="34" charset="0"/>
          <a:cs typeface="Audi Type" panose="020B0503040202060203" pitchFamily="34" charset="0"/>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Link="Datenquelle!$F$7" fmlaRange="Datenquelle!$AM$5:$AM$10" sel="6" val="0"/>
</file>

<file path=xl/ctrlProps/ctrlProp2.xml><?xml version="1.0" encoding="utf-8"?>
<formControlPr xmlns="http://schemas.microsoft.com/office/spreadsheetml/2009/9/main" objectType="Drop" dropStyle="combo" dx="16" fmlaLink="Datenquelle!$F$8" fmlaRange="Datenquelle!$AM$5:$AM$10" sel="6" val="0"/>
</file>

<file path=xl/ctrlProps/ctrlProp3.xml><?xml version="1.0" encoding="utf-8"?>
<formControlPr xmlns="http://schemas.microsoft.com/office/spreadsheetml/2009/9/main" objectType="Drop" dropStyle="combo" dx="16" fmlaLink="Datenquelle!$F$9" fmlaRange="Datenquelle!$AM$5:$AM$10" sel="6" val="0"/>
</file>

<file path=xl/ctrlProps/ctrlProp4.xml><?xml version="1.0" encoding="utf-8"?>
<formControlPr xmlns="http://schemas.microsoft.com/office/spreadsheetml/2009/9/main" objectType="Drop" dropStyle="combo" dx="16" fmlaLink="Datenquelle!$F$10" fmlaRange="Datenquelle!$AM$5:$AM$10" sel="6" val="0"/>
</file>

<file path=xl/ctrlProps/ctrlProp5.xml><?xml version="1.0" encoding="utf-8"?>
<formControlPr xmlns="http://schemas.microsoft.com/office/spreadsheetml/2009/9/main" objectType="Drop" dropStyle="combo" dx="16" fmlaLink="Datenquelle!$F$11" fmlaRange="Datenquelle!$AM$5:$AM$10" sel="6" val="0"/>
</file>

<file path=xl/ctrlProps/ctrlProp6.xml><?xml version="1.0" encoding="utf-8"?>
<formControlPr xmlns="http://schemas.microsoft.com/office/spreadsheetml/2009/9/main" objectType="Drop" dropStyle="combo" dx="16" fmlaLink="Datenquelle!$F$12" fmlaRange="Datenquelle!$AM$5:$AM$10" sel="6" val="0"/>
</file>

<file path=xl/ctrlProps/ctrlProp7.xml><?xml version="1.0" encoding="utf-8"?>
<formControlPr xmlns="http://schemas.microsoft.com/office/spreadsheetml/2009/9/main" objectType="Drop" dropStyle="combo" dx="16" fmlaLink="Datenquelle!$F$13" fmlaRange="Datenquelle!$AM$5:$AM$10" sel="6" val="0"/>
</file>

<file path=xl/ctrlProps/ctrlProp8.xml><?xml version="1.0" encoding="utf-8"?>
<formControlPr xmlns="http://schemas.microsoft.com/office/spreadsheetml/2009/9/main" objectType="Drop" dropStyle="combo" dx="16" fmlaLink="Datenquelle!$K$8" fmlaRange="Datenquelle!$AM$5:$AM$10" sel="6" val="0"/>
</file>

<file path=xl/ctrlProps/ctrlProp9.xml><?xml version="1.0" encoding="utf-8"?>
<formControlPr xmlns="http://schemas.microsoft.com/office/spreadsheetml/2009/9/main" objectType="Drop" dropStyle="combo" dx="16" fmlaLink="Datenquelle!$K$7" fmlaRange="Datenquelle!$AM$5:$AM$10" sel="6" val="0"/>
</file>

<file path=xl/ctrlProps/ctrlProp10.xml><?xml version="1.0" encoding="utf-8"?>
<formControlPr xmlns="http://schemas.microsoft.com/office/spreadsheetml/2009/9/main" objectType="Drop" dropStyle="combo" dx="16" fmlaLink="Datenquelle!$K$9" fmlaRange="Datenquelle!$AM$5:$AM$10" sel="6" val="0"/>
</file>

<file path=xl/ctrlProps/ctrlProp11.xml><?xml version="1.0" encoding="utf-8"?>
<formControlPr xmlns="http://schemas.microsoft.com/office/spreadsheetml/2009/9/main" objectType="Drop" dropStyle="combo" dx="16" fmlaLink="Datenquelle!$K$10" fmlaRange="Datenquelle!$AM$5:$AM$10" sel="6" val="0"/>
</file>

<file path=xl/ctrlProps/ctrlProp12.xml><?xml version="1.0" encoding="utf-8"?>
<formControlPr xmlns="http://schemas.microsoft.com/office/spreadsheetml/2009/9/main" objectType="Drop" dropStyle="combo" dx="16" fmlaLink="Datenquelle!$K$11" fmlaRange="Datenquelle!$AM$5:$AM$10" sel="6" val="0"/>
</file>

<file path=xl/ctrlProps/ctrlProp13.xml><?xml version="1.0" encoding="utf-8"?>
<formControlPr xmlns="http://schemas.microsoft.com/office/spreadsheetml/2009/9/main" objectType="Drop" dropStyle="combo" dx="16" fmlaLink="Datenquelle!$P$7" fmlaRange="Datenquelle!$AM$5:$AM$10" sel="6" val="0"/>
</file>

<file path=xl/ctrlProps/ctrlProp14.xml><?xml version="1.0" encoding="utf-8"?>
<formControlPr xmlns="http://schemas.microsoft.com/office/spreadsheetml/2009/9/main" objectType="Drop" dropStyle="combo" dx="16" fmlaLink="Datenquelle!$P$8" fmlaRange="Datenquelle!$AM$5:$AM$10" sel="6" val="0"/>
</file>

<file path=xl/ctrlProps/ctrlProp15.xml><?xml version="1.0" encoding="utf-8"?>
<formControlPr xmlns="http://schemas.microsoft.com/office/spreadsheetml/2009/9/main" objectType="Drop" dropStyle="combo" dx="16" fmlaLink="Datenquelle!$P$9" fmlaRange="Datenquelle!$AM$5:$AM$10" sel="6" val="0"/>
</file>

<file path=xl/ctrlProps/ctrlProp16.xml><?xml version="1.0" encoding="utf-8"?>
<formControlPr xmlns="http://schemas.microsoft.com/office/spreadsheetml/2009/9/main" objectType="Drop" dropStyle="combo" dx="16" fmlaLink="Datenquelle!$P$10" fmlaRange="Datenquelle!$AM$5:$AM$10" sel="6" val="0"/>
</file>

<file path=xl/ctrlProps/ctrlProp17.xml><?xml version="1.0" encoding="utf-8"?>
<formControlPr xmlns="http://schemas.microsoft.com/office/spreadsheetml/2009/9/main" objectType="Drop" dropStyle="combo" dx="16" fmlaLink="Datenquelle!$P$11" fmlaRange="Datenquelle!$AM$5:$AM$10" sel="6" val="0"/>
</file>

<file path=xl/ctrlProps/ctrlProp18.xml><?xml version="1.0" encoding="utf-8"?>
<formControlPr xmlns="http://schemas.microsoft.com/office/spreadsheetml/2009/9/main" objectType="Drop" dropStyle="combo" dx="16" fmlaLink="Datenquelle!$P$12" fmlaRange="Datenquelle!$AM$5:$AM$10" sel="6" val="0"/>
</file>

<file path=xl/ctrlProps/ctrlProp19.xml><?xml version="1.0" encoding="utf-8"?>
<formControlPr xmlns="http://schemas.microsoft.com/office/spreadsheetml/2009/9/main" objectType="Drop" dropStyle="combo" dx="16" fmlaLink="Datenquelle!$U$7" fmlaRange="Datenquelle!$AM$5:$AM$10" sel="6" val="0"/>
</file>

<file path=xl/ctrlProps/ctrlProp20.xml><?xml version="1.0" encoding="utf-8"?>
<formControlPr xmlns="http://schemas.microsoft.com/office/spreadsheetml/2009/9/main" objectType="Drop" dropStyle="combo" dx="16" fmlaLink="Datenquelle!$U$9" fmlaRange="Datenquelle!$AM$5:$AM$10" sel="6" val="0"/>
</file>

<file path=xl/ctrlProps/ctrlProp21.xml><?xml version="1.0" encoding="utf-8"?>
<formControlPr xmlns="http://schemas.microsoft.com/office/spreadsheetml/2009/9/main" objectType="Drop" dropStyle="combo" dx="16" fmlaLink="Datenquelle!$U$10" fmlaRange="Datenquelle!$AM$5:$AM$10" sel="6" val="0"/>
</file>

<file path=xl/ctrlProps/ctrlProp22.xml><?xml version="1.0" encoding="utf-8"?>
<formControlPr xmlns="http://schemas.microsoft.com/office/spreadsheetml/2009/9/main" objectType="Drop" dropStyle="combo" dx="16" fmlaLink="Datenquelle!$U$12" fmlaRange="Datenquelle!$AM$5:$AM$10" sel="6" val="0"/>
</file>

<file path=xl/ctrlProps/ctrlProp23.xml><?xml version="1.0" encoding="utf-8"?>
<formControlPr xmlns="http://schemas.microsoft.com/office/spreadsheetml/2009/9/main" objectType="Drop" dropStyle="combo" dx="16" fmlaLink="Datenquelle!$U$13" fmlaRange="Datenquelle!$AM$5:$AM$10" sel="6" val="0"/>
</file>

<file path=xl/ctrlProps/ctrlProp24.xml><?xml version="1.0" encoding="utf-8"?>
<formControlPr xmlns="http://schemas.microsoft.com/office/spreadsheetml/2009/9/main" objectType="Drop" dropStyle="combo" dx="16" fmlaLink="Datenquelle!$U$8" fmlaRange="Datenquelle!$AM$5:$AM$10" sel="6" val="0"/>
</file>

<file path=xl/ctrlProps/ctrlProp25.xml><?xml version="1.0" encoding="utf-8"?>
<formControlPr xmlns="http://schemas.microsoft.com/office/spreadsheetml/2009/9/main" objectType="Drop" dropStyle="combo" dx="16" fmlaLink="Datenquelle!$U$11" fmlaRange="Datenquelle!$AM$5:$AM$10" sel="6" val="0"/>
</file>

<file path=xl/ctrlProps/ctrlProp26.xml><?xml version="1.0" encoding="utf-8"?>
<formControlPr xmlns="http://schemas.microsoft.com/office/spreadsheetml/2009/9/main" objectType="Drop" dropStyle="combo" dx="16" fmlaLink="Datenquelle!$Z$7" fmlaRange="Datenquelle!$AM$5:$AM$10" sel="6" val="0"/>
</file>

<file path=xl/ctrlProps/ctrlProp27.xml><?xml version="1.0" encoding="utf-8"?>
<formControlPr xmlns="http://schemas.microsoft.com/office/spreadsheetml/2009/9/main" objectType="Drop" dropStyle="combo" dx="16" fmlaLink="Datenquelle!$Z$8" fmlaRange="Datenquelle!$AM$5:$AM$10" sel="6" val="0"/>
</file>

<file path=xl/ctrlProps/ctrlProp28.xml><?xml version="1.0" encoding="utf-8"?>
<formControlPr xmlns="http://schemas.microsoft.com/office/spreadsheetml/2009/9/main" objectType="Drop" dropStyle="combo" dx="16" fmlaLink="Datenquelle!$Z$9" fmlaRange="Datenquelle!$AM$5:$AM$10" sel="6" val="0"/>
</file>

<file path=xl/ctrlProps/ctrlProp29.xml><?xml version="1.0" encoding="utf-8"?>
<formControlPr xmlns="http://schemas.microsoft.com/office/spreadsheetml/2009/9/main" objectType="Drop" dropStyle="combo" dx="16" fmlaLink="Datenquelle!$Z$11" fmlaRange="Datenquelle!$AM$5:$AM$10" sel="6" val="0"/>
</file>

<file path=xl/ctrlProps/ctrlProp30.xml><?xml version="1.0" encoding="utf-8"?>
<formControlPr xmlns="http://schemas.microsoft.com/office/spreadsheetml/2009/9/main" objectType="Drop" dropStyle="combo" dx="16" fmlaLink="Datenquelle!$Z$12" fmlaRange="Datenquelle!$AM$5:$AM$10" sel="6" val="0"/>
</file>

<file path=xl/ctrlProps/ctrlProp31.xml><?xml version="1.0" encoding="utf-8"?>
<formControlPr xmlns="http://schemas.microsoft.com/office/spreadsheetml/2009/9/main" objectType="Drop" dropStyle="combo" dx="16" fmlaLink="Datenquelle!$Z$10" fmlaRange="Datenquelle!$AM$5:$AM$10" sel="6" val="0"/>
</file>

<file path=xl/ctrlProps/ctrlProp32.xml><?xml version="1.0" encoding="utf-8"?>
<formControlPr xmlns="http://schemas.microsoft.com/office/spreadsheetml/2009/9/main" objectType="Drop" dropStyle="combo" dx="16" fmlaLink="Datenquelle!$AE$7" fmlaRange="Datenquelle!$AM$5:$AM$10" sel="6" val="0"/>
</file>

<file path=xl/ctrlProps/ctrlProp33.xml><?xml version="1.0" encoding="utf-8"?>
<formControlPr xmlns="http://schemas.microsoft.com/office/spreadsheetml/2009/9/main" objectType="Drop" dropStyle="combo" dx="16" fmlaLink="Datenquelle!$AE$8" fmlaRange="Datenquelle!$AM$5:$AM$10" sel="6" val="0"/>
</file>

<file path=xl/ctrlProps/ctrlProp34.xml><?xml version="1.0" encoding="utf-8"?>
<formControlPr xmlns="http://schemas.microsoft.com/office/spreadsheetml/2009/9/main" objectType="Drop" dropStyle="combo" dx="16" fmlaLink="Datenquelle!$AE$10" fmlaRange="Datenquelle!$AM$5:$AM$10" sel="6" val="0"/>
</file>

<file path=xl/ctrlProps/ctrlProp35.xml><?xml version="1.0" encoding="utf-8"?>
<formControlPr xmlns="http://schemas.microsoft.com/office/spreadsheetml/2009/9/main" objectType="Drop" dropStyle="combo" dx="16" fmlaLink="Datenquelle!$AE$11" fmlaRange="Datenquelle!$AM$5:$AM$10" sel="6" val="0"/>
</file>

<file path=xl/ctrlProps/ctrlProp36.xml><?xml version="1.0" encoding="utf-8"?>
<formControlPr xmlns="http://schemas.microsoft.com/office/spreadsheetml/2009/9/main" objectType="Drop" dropStyle="combo" dx="16" fmlaLink="Datenquelle!$AE$9" fmlaRange="Datenquelle!$AM$5:$AM$10" sel="6" val="0"/>
</file>

<file path=xl/ctrlProps/ctrlProp37.xml><?xml version="1.0" encoding="utf-8"?>
<formControlPr xmlns="http://schemas.microsoft.com/office/spreadsheetml/2009/9/main" objectType="Drop" dropStyle="combo" dx="16" fmlaLink="Datenquelle!$AJ$7" fmlaRange="Datenquelle!$AM$5:$AM$10" sel="6" val="0"/>
</file>

<file path=xl/ctrlProps/ctrlProp38.xml><?xml version="1.0" encoding="utf-8"?>
<formControlPr xmlns="http://schemas.microsoft.com/office/spreadsheetml/2009/9/main" objectType="Drop" dropStyle="combo" dx="16" fmlaLink="Datenquelle!$AJ$8" fmlaRange="Datenquelle!$AM$5:$AM$10" sel="6" val="0"/>
</file>

<file path=xl/ctrlProps/ctrlProp39.xml><?xml version="1.0" encoding="utf-8"?>
<formControlPr xmlns="http://schemas.microsoft.com/office/spreadsheetml/2009/9/main" objectType="Drop" dropStyle="combo" dx="16" fmlaLink="Datenquelle!$AJ$9" fmlaRange="Datenquelle!$AM$5:$AM$10" sel="6" val="0"/>
</file>

<file path=xl/ctrlProps/ctrlProp40.xml><?xml version="1.0" encoding="utf-8"?>
<formControlPr xmlns="http://schemas.microsoft.com/office/spreadsheetml/2009/9/main" objectType="Drop" dropStyle="combo" dx="16" fmlaLink="Datenquelle!$AJ$10" fmlaRange="Datenquelle!$AM$5:$AM$10" sel="6" val="0"/>
</file>

<file path=xl/ctrlProps/ctrlProp41.xml><?xml version="1.0" encoding="utf-8"?>
<formControlPr xmlns="http://schemas.microsoft.com/office/spreadsheetml/2009/9/main" objectType="Drop" dropStyle="combo" dx="16" fmlaLink="Datenquelle!$AJ$11" fmlaRange="Datenquelle!$AM$5:$AM$10" sel="6" val="0"/>
</file>

<file path=xl/ctrlProps/ctrlProp42.xml><?xml version="1.0" encoding="utf-8"?>
<formControlPr xmlns="http://schemas.microsoft.com/office/spreadsheetml/2009/9/main" objectType="Drop" dropStyle="combo" dx="16" fmlaLink="Datenquelle!$AJ$12" fmlaRange="Datenquelle!$AM$5:$AM$10" sel="6" val="0"/>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260350</xdr:colOff>
          <xdr:row>5</xdr:row>
          <xdr:rowOff>342900</xdr:rowOff>
        </xdr:from>
        <xdr:to>
          <xdr:col>9</xdr:col>
          <xdr:colOff>615950</xdr:colOff>
          <xdr:row>7</xdr:row>
          <xdr:rowOff>177800</xdr:rowOff>
        </xdr:to>
        <xdr:sp macro="" textlink="">
          <xdr:nvSpPr>
            <xdr:cNvPr id="12289" name="Moduluebersicht_speichern"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260350</xdr:colOff>
          <xdr:row>8</xdr:row>
          <xdr:rowOff>0</xdr:rowOff>
        </xdr:from>
        <xdr:to>
          <xdr:col>9</xdr:col>
          <xdr:colOff>615950</xdr:colOff>
          <xdr:row>11</xdr:row>
          <xdr:rowOff>19050</xdr:rowOff>
        </xdr:to>
        <xdr:sp macro="" textlink="">
          <xdr:nvSpPr>
            <xdr:cNvPr id="12290" name="Ergebnis_speichern_Prozess"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260350</xdr:colOff>
          <xdr:row>12</xdr:row>
          <xdr:rowOff>0</xdr:rowOff>
        </xdr:from>
        <xdr:to>
          <xdr:col>9</xdr:col>
          <xdr:colOff>615950</xdr:colOff>
          <xdr:row>15</xdr:row>
          <xdr:rowOff>0</xdr:rowOff>
        </xdr:to>
        <xdr:sp macro="" textlink="">
          <xdr:nvSpPr>
            <xdr:cNvPr id="12291" name="Alles_speichern"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5</xdr:row>
          <xdr:rowOff>50800</xdr:rowOff>
        </xdr:from>
        <xdr:to>
          <xdr:col>2</xdr:col>
          <xdr:colOff>1517650</xdr:colOff>
          <xdr:row>5</xdr:row>
          <xdr:rowOff>298450</xdr:rowOff>
        </xdr:to>
        <xdr:sp macro="" textlink="">
          <xdr:nvSpPr>
            <xdr:cNvPr id="12297" name="CheckBox_ALK" hidden="1">
              <a:extLst>
                <a:ext uri="{63B3BB69-23CF-44E3-9099-C40C66FF867C}">
                  <a14:compatExt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5</xdr:row>
          <xdr:rowOff>50800</xdr:rowOff>
        </xdr:from>
        <xdr:to>
          <xdr:col>4</xdr:col>
          <xdr:colOff>704850</xdr:colOff>
          <xdr:row>5</xdr:row>
          <xdr:rowOff>298450</xdr:rowOff>
        </xdr:to>
        <xdr:sp macro="" textlink="">
          <xdr:nvSpPr>
            <xdr:cNvPr id="12300" name="CheckBox_VL"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260350</xdr:colOff>
          <xdr:row>17</xdr:row>
          <xdr:rowOff>0</xdr:rowOff>
        </xdr:from>
        <xdr:to>
          <xdr:col>9</xdr:col>
          <xdr:colOff>615950</xdr:colOff>
          <xdr:row>20</xdr:row>
          <xdr:rowOff>12700</xdr:rowOff>
        </xdr:to>
        <xdr:sp macro="" textlink="">
          <xdr:nvSpPr>
            <xdr:cNvPr id="12307" name="ButtonFormat" hidden="1">
              <a:extLst>
                <a:ext uri="{63B3BB69-23CF-44E3-9099-C40C66FF867C}">
                  <a14:compatExt spid="_x0000_s12307"/>
                </a:ext>
                <a:ext uri="{FF2B5EF4-FFF2-40B4-BE49-F238E27FC236}">
                  <a16:creationId xmlns:a16="http://schemas.microsoft.com/office/drawing/2014/main" id="{00000000-0008-0000-0000-00001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5</xdr:row>
          <xdr:rowOff>317500</xdr:rowOff>
        </xdr:from>
        <xdr:to>
          <xdr:col>2</xdr:col>
          <xdr:colOff>1517650</xdr:colOff>
          <xdr:row>5</xdr:row>
          <xdr:rowOff>565150</xdr:rowOff>
        </xdr:to>
        <xdr:sp macro="" textlink="">
          <xdr:nvSpPr>
            <xdr:cNvPr id="12308" name="CheckBox_JIS" hidden="1">
              <a:extLst>
                <a:ext uri="{63B3BB69-23CF-44E3-9099-C40C66FF867C}">
                  <a14:compatExt spid="_x0000_s12308"/>
                </a:ext>
                <a:ext uri="{FF2B5EF4-FFF2-40B4-BE49-F238E27FC236}">
                  <a16:creationId xmlns:a16="http://schemas.microsoft.com/office/drawing/2014/main" id="{00000000-0008-0000-0000-00001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257175</xdr:colOff>
      <xdr:row>24</xdr:row>
      <xdr:rowOff>19050</xdr:rowOff>
    </xdr:from>
    <xdr:to>
      <xdr:col>17</xdr:col>
      <xdr:colOff>28576</xdr:colOff>
      <xdr:row>36</xdr:row>
      <xdr:rowOff>85725</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2857500" y="4610100"/>
          <a:ext cx="6791326" cy="2009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e-DE" sz="1400" b="1" u="sng"/>
            <a:t>Berechnung:</a:t>
          </a:r>
        </a:p>
        <a:p>
          <a:endParaRPr lang="de-DE" sz="1100"/>
        </a:p>
        <a:p>
          <a:r>
            <a:rPr lang="de-DE" sz="1100" b="1" baseline="0"/>
            <a:t>	            Summe (aktuelle Bewertung)                   </a:t>
          </a:r>
          <a:endParaRPr lang="de-DE" sz="1100" b="1"/>
        </a:p>
        <a:p>
          <a:r>
            <a:rPr lang="de-DE" sz="1100" b="1"/>
            <a:t>Modulergebnis</a:t>
          </a:r>
          <a:r>
            <a:rPr lang="de-DE" sz="1100" b="1" baseline="0"/>
            <a:t> = ----------------------------------------------------   X   </a:t>
          </a:r>
          <a:r>
            <a:rPr lang="de-DE" sz="1100" b="1" baseline="0">
              <a:solidFill>
                <a:schemeClr val="dk1"/>
              </a:solidFill>
              <a:latin typeface="+mn-lt"/>
              <a:ea typeface="+mn-ea"/>
              <a:cs typeface="+mn-cs"/>
            </a:rPr>
            <a:t>Maximale Modulbewertung</a:t>
          </a:r>
          <a:endParaRPr lang="de-DE" sz="1100" b="1" baseline="0"/>
        </a:p>
        <a:p>
          <a:r>
            <a:rPr lang="de-DE" sz="1100" b="1" baseline="0"/>
            <a:t>                               Summe (Max. ausgewählter Fragen)</a:t>
          </a:r>
          <a:endParaRPr lang="de-DE" sz="1100" b="1" baseline="0">
            <a:solidFill>
              <a:schemeClr val="dk1"/>
            </a:solidFill>
            <a:latin typeface="+mn-lt"/>
            <a:ea typeface="+mn-ea"/>
            <a:cs typeface="+mn-cs"/>
          </a:endParaRPr>
        </a:p>
        <a:p>
          <a:endParaRPr lang="de-DE" sz="1100" baseline="0">
            <a:solidFill>
              <a:schemeClr val="dk1"/>
            </a:solidFill>
            <a:latin typeface="+mn-lt"/>
            <a:ea typeface="+mn-ea"/>
            <a:cs typeface="+mn-cs"/>
          </a:endParaRPr>
        </a:p>
        <a:p>
          <a:r>
            <a:rPr lang="de-DE" sz="1100" baseline="0">
              <a:solidFill>
                <a:schemeClr val="dk1"/>
              </a:solidFill>
              <a:latin typeface="+mn-lt"/>
              <a:ea typeface="+mn-ea"/>
              <a:cs typeface="+mn-cs"/>
            </a:rPr>
            <a:t>Die Bewertung ist nicht von %-Bewertungen der einzelnen Fragen abhängig - hier können z.B. auch Punkte vergeben werden. die Maximale Modulbewertung muss dagegen in % angegeben sein.</a:t>
          </a:r>
        </a:p>
        <a:p>
          <a:r>
            <a:rPr lang="de-DE" sz="1100" baseline="0">
              <a:solidFill>
                <a:schemeClr val="dk1"/>
              </a:solidFill>
              <a:latin typeface="+mn-lt"/>
              <a:ea typeface="+mn-ea"/>
              <a:cs typeface="+mn-cs"/>
            </a:rPr>
            <a:t>Normiert wird dabei nur innerhalb eines Moduls, gewichtet mit der eingetragenen Bewertung der Frage.</a:t>
          </a:r>
        </a:p>
        <a:p>
          <a:r>
            <a:rPr lang="de-DE" sz="1100" baseline="0">
              <a:solidFill>
                <a:schemeClr val="dk1"/>
              </a:solidFill>
              <a:latin typeface="+mn-lt"/>
              <a:ea typeface="+mn-ea"/>
              <a:cs typeface="+mn-cs"/>
            </a:rPr>
            <a:t>Die Gewichtung der einzelnen Module bleibt immer gleich - eine 100% Bewertung kann also nur mit einem sehr guten Abschneiden in allen Modulen erreicht werden.</a:t>
          </a:r>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69850</xdr:rowOff>
        </xdr:from>
        <xdr:to>
          <xdr:col>3</xdr:col>
          <xdr:colOff>1371600</xdr:colOff>
          <xdr:row>9</xdr:row>
          <xdr:rowOff>285750</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63500</xdr:rowOff>
        </xdr:from>
        <xdr:to>
          <xdr:col>3</xdr:col>
          <xdr:colOff>1371600</xdr:colOff>
          <xdr:row>12</xdr:row>
          <xdr:rowOff>279400</xdr:rowOff>
        </xdr:to>
        <xdr:sp macro="" textlink="">
          <xdr:nvSpPr>
            <xdr:cNvPr id="1043" name="Drop Dow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57150</xdr:rowOff>
        </xdr:from>
        <xdr:to>
          <xdr:col>3</xdr:col>
          <xdr:colOff>1371600</xdr:colOff>
          <xdr:row>15</xdr:row>
          <xdr:rowOff>273050</xdr:rowOff>
        </xdr:to>
        <xdr:sp macro="" textlink="">
          <xdr:nvSpPr>
            <xdr:cNvPr id="1044" name="Drop Dow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63500</xdr:rowOff>
        </xdr:from>
        <xdr:to>
          <xdr:col>3</xdr:col>
          <xdr:colOff>1371600</xdr:colOff>
          <xdr:row>18</xdr:row>
          <xdr:rowOff>279400</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21</xdr:row>
          <xdr:rowOff>69850</xdr:rowOff>
        </xdr:from>
        <xdr:to>
          <xdr:col>3</xdr:col>
          <xdr:colOff>1371600</xdr:colOff>
          <xdr:row>21</xdr:row>
          <xdr:rowOff>285750</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24</xdr:row>
          <xdr:rowOff>63500</xdr:rowOff>
        </xdr:from>
        <xdr:to>
          <xdr:col>3</xdr:col>
          <xdr:colOff>1371600</xdr:colOff>
          <xdr:row>24</xdr:row>
          <xdr:rowOff>279400</xdr:rowOff>
        </xdr:to>
        <xdr:sp macro="" textlink="">
          <xdr:nvSpPr>
            <xdr:cNvPr id="1047" name="Drop Dow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9</xdr:row>
          <xdr:rowOff>63500</xdr:rowOff>
        </xdr:from>
        <xdr:to>
          <xdr:col>3</xdr:col>
          <xdr:colOff>1371600</xdr:colOff>
          <xdr:row>9</xdr:row>
          <xdr:rowOff>279400</xdr:rowOff>
        </xdr:to>
        <xdr:sp macro="" textlink="">
          <xdr:nvSpPr>
            <xdr:cNvPr id="45097" name="Drop Down 41"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45099" name="Drop Down 43"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69850</xdr:rowOff>
        </xdr:from>
        <xdr:to>
          <xdr:col>3</xdr:col>
          <xdr:colOff>1371600</xdr:colOff>
          <xdr:row>12</xdr:row>
          <xdr:rowOff>285750</xdr:rowOff>
        </xdr:to>
        <xdr:sp macro="" textlink="">
          <xdr:nvSpPr>
            <xdr:cNvPr id="45100" name="Drop Down 44"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76200</xdr:rowOff>
        </xdr:from>
        <xdr:to>
          <xdr:col>3</xdr:col>
          <xdr:colOff>1371600</xdr:colOff>
          <xdr:row>15</xdr:row>
          <xdr:rowOff>292100</xdr:rowOff>
        </xdr:to>
        <xdr:sp macro="" textlink="">
          <xdr:nvSpPr>
            <xdr:cNvPr id="45101" name="Drop Down 45" hidden="1">
              <a:extLst>
                <a:ext uri="{63B3BB69-23CF-44E3-9099-C40C66FF867C}">
                  <a14:compatExt spid="_x0000_s45101"/>
                </a:ext>
                <a:ext uri="{FF2B5EF4-FFF2-40B4-BE49-F238E27FC236}">
                  <a16:creationId xmlns:a16="http://schemas.microsoft.com/office/drawing/2014/main" id="{00000000-0008-0000-0400-00002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82550</xdr:rowOff>
        </xdr:from>
        <xdr:to>
          <xdr:col>3</xdr:col>
          <xdr:colOff>1371600</xdr:colOff>
          <xdr:row>18</xdr:row>
          <xdr:rowOff>298450</xdr:rowOff>
        </xdr:to>
        <xdr:sp macro="" textlink="">
          <xdr:nvSpPr>
            <xdr:cNvPr id="45102" name="Drop Down 46" hidden="1">
              <a:extLst>
                <a:ext uri="{63B3BB69-23CF-44E3-9099-C40C66FF867C}">
                  <a14:compatExt spid="_x0000_s45102"/>
                </a:ext>
                <a:ext uri="{FF2B5EF4-FFF2-40B4-BE49-F238E27FC236}">
                  <a16:creationId xmlns:a16="http://schemas.microsoft.com/office/drawing/2014/main" id="{00000000-0008-0000-0400-00002E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76200</xdr:rowOff>
        </xdr:from>
        <xdr:to>
          <xdr:col>3</xdr:col>
          <xdr:colOff>1371600</xdr:colOff>
          <xdr:row>9</xdr:row>
          <xdr:rowOff>292100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82550</xdr:rowOff>
        </xdr:from>
        <xdr:to>
          <xdr:col>3</xdr:col>
          <xdr:colOff>1371600</xdr:colOff>
          <xdr:row>12</xdr:row>
          <xdr:rowOff>298450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88900</xdr:rowOff>
        </xdr:from>
        <xdr:to>
          <xdr:col>3</xdr:col>
          <xdr:colOff>1371600</xdr:colOff>
          <xdr:row>15</xdr:row>
          <xdr:rowOff>304800</xdr:rowOff>
        </xdr:to>
        <xdr:sp macro="" textlink="">
          <xdr:nvSpPr>
            <xdr:cNvPr id="3085" name="Drop Down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95250</xdr:rowOff>
        </xdr:from>
        <xdr:to>
          <xdr:col>3</xdr:col>
          <xdr:colOff>1371600</xdr:colOff>
          <xdr:row>18</xdr:row>
          <xdr:rowOff>311150</xdr:rowOff>
        </xdr:to>
        <xdr:sp macro="" textlink="">
          <xdr:nvSpPr>
            <xdr:cNvPr id="3086" name="Drop Down 14"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21</xdr:row>
          <xdr:rowOff>95250</xdr:rowOff>
        </xdr:from>
        <xdr:to>
          <xdr:col>3</xdr:col>
          <xdr:colOff>1371600</xdr:colOff>
          <xdr:row>21</xdr:row>
          <xdr:rowOff>311150</xdr:rowOff>
        </xdr:to>
        <xdr:sp macro="" textlink="">
          <xdr:nvSpPr>
            <xdr:cNvPr id="3087" name="Drop Down 15"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69850</xdr:rowOff>
        </xdr:from>
        <xdr:to>
          <xdr:col>3</xdr:col>
          <xdr:colOff>1371600</xdr:colOff>
          <xdr:row>12</xdr:row>
          <xdr:rowOff>285750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63500</xdr:rowOff>
        </xdr:from>
        <xdr:to>
          <xdr:col>3</xdr:col>
          <xdr:colOff>1371600</xdr:colOff>
          <xdr:row>15</xdr:row>
          <xdr:rowOff>279400</xdr:rowOff>
        </xdr:to>
        <xdr:sp macro="" textlink="">
          <xdr:nvSpPr>
            <xdr:cNvPr id="6153" name="Drop Dow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21</xdr:row>
          <xdr:rowOff>63500</xdr:rowOff>
        </xdr:from>
        <xdr:to>
          <xdr:col>3</xdr:col>
          <xdr:colOff>1371600</xdr:colOff>
          <xdr:row>21</xdr:row>
          <xdr:rowOff>279400</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24</xdr:row>
          <xdr:rowOff>76200</xdr:rowOff>
        </xdr:from>
        <xdr:to>
          <xdr:col>3</xdr:col>
          <xdr:colOff>1371600</xdr:colOff>
          <xdr:row>24</xdr:row>
          <xdr:rowOff>292100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69850</xdr:rowOff>
        </xdr:from>
        <xdr:to>
          <xdr:col>3</xdr:col>
          <xdr:colOff>1371600</xdr:colOff>
          <xdr:row>9</xdr:row>
          <xdr:rowOff>285750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57150</xdr:rowOff>
        </xdr:from>
        <xdr:to>
          <xdr:col>3</xdr:col>
          <xdr:colOff>1371600</xdr:colOff>
          <xdr:row>18</xdr:row>
          <xdr:rowOff>273050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63500</xdr:rowOff>
        </xdr:from>
        <xdr:to>
          <xdr:col>3</xdr:col>
          <xdr:colOff>1371600</xdr:colOff>
          <xdr:row>9</xdr:row>
          <xdr:rowOff>279400</xdr:rowOff>
        </xdr:to>
        <xdr:sp macro="" textlink="">
          <xdr:nvSpPr>
            <xdr:cNvPr id="7185" name="Drop Down 17" hidden="1">
              <a:extLst>
                <a:ext uri="{63B3BB69-23CF-44E3-9099-C40C66FF867C}">
                  <a14:compatExt spid="_x0000_s7185"/>
                </a:ext>
                <a:ext uri="{FF2B5EF4-FFF2-40B4-BE49-F238E27FC236}">
                  <a16:creationId xmlns:a16="http://schemas.microsoft.com/office/drawing/2014/main" id="{00000000-0008-0000-07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69850</xdr:rowOff>
        </xdr:from>
        <xdr:to>
          <xdr:col>3</xdr:col>
          <xdr:colOff>1371600</xdr:colOff>
          <xdr:row>12</xdr:row>
          <xdr:rowOff>285750</xdr:rowOff>
        </xdr:to>
        <xdr:sp macro="" textlink="">
          <xdr:nvSpPr>
            <xdr:cNvPr id="7186" name="Drop Down 18" hidden="1">
              <a:extLst>
                <a:ext uri="{63B3BB69-23CF-44E3-9099-C40C66FF867C}">
                  <a14:compatExt spid="_x0000_s7186"/>
                </a:ext>
                <a:ext uri="{FF2B5EF4-FFF2-40B4-BE49-F238E27FC236}">
                  <a16:creationId xmlns:a16="http://schemas.microsoft.com/office/drawing/2014/main" id="{00000000-0008-0000-07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69850</xdr:rowOff>
        </xdr:from>
        <xdr:to>
          <xdr:col>3</xdr:col>
          <xdr:colOff>1371600</xdr:colOff>
          <xdr:row>18</xdr:row>
          <xdr:rowOff>285750</xdr:rowOff>
        </xdr:to>
        <xdr:sp macro="" textlink="">
          <xdr:nvSpPr>
            <xdr:cNvPr id="7187" name="Drop Down 19" hidden="1">
              <a:extLst>
                <a:ext uri="{63B3BB69-23CF-44E3-9099-C40C66FF867C}">
                  <a14:compatExt spid="_x0000_s7187"/>
                </a:ext>
                <a:ext uri="{FF2B5EF4-FFF2-40B4-BE49-F238E27FC236}">
                  <a16:creationId xmlns:a16="http://schemas.microsoft.com/office/drawing/2014/main" id="{00000000-0008-0000-07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21</xdr:row>
          <xdr:rowOff>69850</xdr:rowOff>
        </xdr:from>
        <xdr:to>
          <xdr:col>3</xdr:col>
          <xdr:colOff>1371600</xdr:colOff>
          <xdr:row>21</xdr:row>
          <xdr:rowOff>285750</xdr:rowOff>
        </xdr:to>
        <xdr:sp macro="" textlink="">
          <xdr:nvSpPr>
            <xdr:cNvPr id="7188" name="Drop Down 20" hidden="1">
              <a:extLst>
                <a:ext uri="{63B3BB69-23CF-44E3-9099-C40C66FF867C}">
                  <a14:compatExt spid="_x0000_s7188"/>
                </a:ext>
                <a:ext uri="{FF2B5EF4-FFF2-40B4-BE49-F238E27FC236}">
                  <a16:creationId xmlns:a16="http://schemas.microsoft.com/office/drawing/2014/main" id="{00000000-0008-0000-07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63500</xdr:rowOff>
        </xdr:from>
        <xdr:to>
          <xdr:col>3</xdr:col>
          <xdr:colOff>1371600</xdr:colOff>
          <xdr:row>15</xdr:row>
          <xdr:rowOff>279400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7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8223" name="Drop Down 31" hidden="1">
              <a:extLst>
                <a:ext uri="{63B3BB69-23CF-44E3-9099-C40C66FF867C}">
                  <a14:compatExt spid="_x0000_s8223"/>
                </a:ext>
                <a:ext uri="{FF2B5EF4-FFF2-40B4-BE49-F238E27FC236}">
                  <a16:creationId xmlns:a16="http://schemas.microsoft.com/office/drawing/2014/main" id="{00000000-0008-0000-08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82550</xdr:rowOff>
        </xdr:from>
        <xdr:to>
          <xdr:col>3</xdr:col>
          <xdr:colOff>1371600</xdr:colOff>
          <xdr:row>9</xdr:row>
          <xdr:rowOff>298450</xdr:rowOff>
        </xdr:to>
        <xdr:sp macro="" textlink="">
          <xdr:nvSpPr>
            <xdr:cNvPr id="8225" name="Drop Down 33" hidden="1">
              <a:extLst>
                <a:ext uri="{63B3BB69-23CF-44E3-9099-C40C66FF867C}">
                  <a14:compatExt spid="_x0000_s8225"/>
                </a:ext>
                <a:ext uri="{FF2B5EF4-FFF2-40B4-BE49-F238E27FC236}">
                  <a16:creationId xmlns:a16="http://schemas.microsoft.com/office/drawing/2014/main" id="{00000000-0008-0000-08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95250</xdr:rowOff>
        </xdr:from>
        <xdr:to>
          <xdr:col>3</xdr:col>
          <xdr:colOff>1371600</xdr:colOff>
          <xdr:row>15</xdr:row>
          <xdr:rowOff>311150</xdr:rowOff>
        </xdr:to>
        <xdr:sp macro="" textlink="">
          <xdr:nvSpPr>
            <xdr:cNvPr id="8233" name="Drop Down 41" hidden="1">
              <a:extLst>
                <a:ext uri="{63B3BB69-23CF-44E3-9099-C40C66FF867C}">
                  <a14:compatExt spid="_x0000_s8233"/>
                </a:ext>
                <a:ext uri="{FF2B5EF4-FFF2-40B4-BE49-F238E27FC236}">
                  <a16:creationId xmlns:a16="http://schemas.microsoft.com/office/drawing/2014/main" id="{00000000-0008-0000-08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88900</xdr:rowOff>
        </xdr:from>
        <xdr:to>
          <xdr:col>3</xdr:col>
          <xdr:colOff>1371600</xdr:colOff>
          <xdr:row>18</xdr:row>
          <xdr:rowOff>304800</xdr:rowOff>
        </xdr:to>
        <xdr:sp macro="" textlink="">
          <xdr:nvSpPr>
            <xdr:cNvPr id="8272" name="Drop Down 80" hidden="1">
              <a:extLst>
                <a:ext uri="{63B3BB69-23CF-44E3-9099-C40C66FF867C}">
                  <a14:compatExt spid="_x0000_s8272"/>
                </a:ext>
                <a:ext uri="{FF2B5EF4-FFF2-40B4-BE49-F238E27FC236}">
                  <a16:creationId xmlns:a16="http://schemas.microsoft.com/office/drawing/2014/main" id="{00000000-0008-0000-08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88900</xdr:rowOff>
        </xdr:from>
        <xdr:to>
          <xdr:col>3</xdr:col>
          <xdr:colOff>1371600</xdr:colOff>
          <xdr:row>12</xdr:row>
          <xdr:rowOff>304800</xdr:rowOff>
        </xdr:to>
        <xdr:sp macro="" textlink="">
          <xdr:nvSpPr>
            <xdr:cNvPr id="8275" name="Drop Down 83" hidden="1">
              <a:extLst>
                <a:ext uri="{63B3BB69-23CF-44E3-9099-C40C66FF867C}">
                  <a14:compatExt spid="_x0000_s8275"/>
                </a:ext>
                <a:ext uri="{FF2B5EF4-FFF2-40B4-BE49-F238E27FC236}">
                  <a16:creationId xmlns:a16="http://schemas.microsoft.com/office/drawing/2014/main" id="{00000000-0008-0000-08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6</xdr:row>
          <xdr:rowOff>69850</xdr:rowOff>
        </xdr:from>
        <xdr:to>
          <xdr:col>3</xdr:col>
          <xdr:colOff>1371600</xdr:colOff>
          <xdr:row>6</xdr:row>
          <xdr:rowOff>285750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76200</xdr:rowOff>
        </xdr:from>
        <xdr:to>
          <xdr:col>3</xdr:col>
          <xdr:colOff>1371600</xdr:colOff>
          <xdr:row>9</xdr:row>
          <xdr:rowOff>292100</xdr:rowOff>
        </xdr:to>
        <xdr:sp macro="" textlink="">
          <xdr:nvSpPr>
            <xdr:cNvPr id="4115" name="Drop Down 19" hidden="1">
              <a:extLst>
                <a:ext uri="{63B3BB69-23CF-44E3-9099-C40C66FF867C}">
                  <a14:compatExt spid="_x0000_s4115"/>
                </a:ext>
                <a:ext uri="{FF2B5EF4-FFF2-40B4-BE49-F238E27FC236}">
                  <a16:creationId xmlns:a16="http://schemas.microsoft.com/office/drawing/2014/main" id="{00000000-0008-0000-09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69850</xdr:rowOff>
        </xdr:from>
        <xdr:to>
          <xdr:col>3</xdr:col>
          <xdr:colOff>1371600</xdr:colOff>
          <xdr:row>12</xdr:row>
          <xdr:rowOff>285750</xdr:rowOff>
        </xdr:to>
        <xdr:sp macro="" textlink="">
          <xdr:nvSpPr>
            <xdr:cNvPr id="4116" name="Drop Down 20" hidden="1">
              <a:extLst>
                <a:ext uri="{63B3BB69-23CF-44E3-9099-C40C66FF867C}">
                  <a14:compatExt spid="_x0000_s4116"/>
                </a:ext>
                <a:ext uri="{FF2B5EF4-FFF2-40B4-BE49-F238E27FC236}">
                  <a16:creationId xmlns:a16="http://schemas.microsoft.com/office/drawing/2014/main" id="{00000000-0008-0000-09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76200</xdr:rowOff>
        </xdr:from>
        <xdr:to>
          <xdr:col>3</xdr:col>
          <xdr:colOff>1371600</xdr:colOff>
          <xdr:row>15</xdr:row>
          <xdr:rowOff>292100</xdr:rowOff>
        </xdr:to>
        <xdr:sp macro="" textlink="">
          <xdr:nvSpPr>
            <xdr:cNvPr id="4117" name="Drop Down 21" hidden="1">
              <a:extLst>
                <a:ext uri="{63B3BB69-23CF-44E3-9099-C40C66FF867C}">
                  <a14:compatExt spid="_x0000_s4117"/>
                </a:ext>
                <a:ext uri="{FF2B5EF4-FFF2-40B4-BE49-F238E27FC236}">
                  <a16:creationId xmlns:a16="http://schemas.microsoft.com/office/drawing/2014/main" id="{00000000-0008-0000-09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18</xdr:row>
          <xdr:rowOff>82550</xdr:rowOff>
        </xdr:from>
        <xdr:to>
          <xdr:col>3</xdr:col>
          <xdr:colOff>1371600</xdr:colOff>
          <xdr:row>18</xdr:row>
          <xdr:rowOff>298450</xdr:rowOff>
        </xdr:to>
        <xdr:sp macro="" textlink="">
          <xdr:nvSpPr>
            <xdr:cNvPr id="4119" name="Drop Down 23" hidden="1">
              <a:extLst>
                <a:ext uri="{63B3BB69-23CF-44E3-9099-C40C66FF867C}">
                  <a14:compatExt spid="_x0000_s4119"/>
                </a:ext>
                <a:ext uri="{FF2B5EF4-FFF2-40B4-BE49-F238E27FC236}">
                  <a16:creationId xmlns:a16="http://schemas.microsoft.com/office/drawing/2014/main" id="{00000000-0008-0000-09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21</xdr:row>
          <xdr:rowOff>88900</xdr:rowOff>
        </xdr:from>
        <xdr:to>
          <xdr:col>3</xdr:col>
          <xdr:colOff>1371600</xdr:colOff>
          <xdr:row>21</xdr:row>
          <xdr:rowOff>304800</xdr:rowOff>
        </xdr:to>
        <xdr:sp macro="" textlink="">
          <xdr:nvSpPr>
            <xdr:cNvPr id="4120" name="Drop Down 24" hidden="1">
              <a:extLst>
                <a:ext uri="{63B3BB69-23CF-44E3-9099-C40C66FF867C}">
                  <a14:compatExt spid="_x0000_s4120"/>
                </a:ext>
                <a:ext uri="{FF2B5EF4-FFF2-40B4-BE49-F238E27FC236}">
                  <a16:creationId xmlns:a16="http://schemas.microsoft.com/office/drawing/2014/main" id="{00000000-0008-0000-09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78341</xdr:colOff>
      <xdr:row>0</xdr:row>
      <xdr:rowOff>82642</xdr:rowOff>
    </xdr:from>
    <xdr:to>
      <xdr:col>11</xdr:col>
      <xdr:colOff>752310</xdr:colOff>
      <xdr:row>17</xdr:row>
      <xdr:rowOff>175999</xdr:rowOff>
    </xdr:to>
    <xdr:graphicFrame macro="">
      <xdr:nvGraphicFramePr>
        <xdr:cNvPr id="2" name="图表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387350</xdr:colOff>
          <xdr:row>4</xdr:row>
          <xdr:rowOff>107950</xdr:rowOff>
        </xdr:from>
        <xdr:to>
          <xdr:col>14</xdr:col>
          <xdr:colOff>31750</xdr:colOff>
          <xdr:row>4</xdr:row>
          <xdr:rowOff>400050</xdr:rowOff>
        </xdr:to>
        <xdr:sp macro="" textlink="">
          <xdr:nvSpPr>
            <xdr:cNvPr id="11265" name="Button_LOP_Erstellen"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9525</xdr:colOff>
      <xdr:row>2</xdr:row>
      <xdr:rowOff>95250</xdr:rowOff>
    </xdr:from>
    <xdr:to>
      <xdr:col>2</xdr:col>
      <xdr:colOff>28575</xdr:colOff>
      <xdr:row>55</xdr:row>
      <xdr:rowOff>123825</xdr:rowOff>
    </xdr:to>
    <xdr:sp macro="" textlink="">
      <xdr:nvSpPr>
        <xdr:cNvPr id="2" name="Textfeld 1">
          <a:extLst>
            <a:ext uri="{FF2B5EF4-FFF2-40B4-BE49-F238E27FC236}">
              <a16:creationId xmlns:a16="http://schemas.microsoft.com/office/drawing/2014/main" id="{00000000-0008-0000-0C00-000002000000}"/>
            </a:ext>
          </a:extLst>
        </xdr:cNvPr>
        <xdr:cNvSpPr txBox="1"/>
      </xdr:nvSpPr>
      <xdr:spPr>
        <a:xfrm>
          <a:off x="209550" y="885825"/>
          <a:ext cx="7696200" cy="10039350"/>
        </a:xfrm>
        <a:prstGeom prst="rect">
          <a:avLst/>
        </a:prstGeom>
        <a:solidFill>
          <a:schemeClr val="lt1"/>
        </a:solidFill>
        <a:ln w="19050"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de-DE" sz="1100">
              <a:latin typeface="Audi Type" pitchFamily="34" charset="0"/>
            </a:rPr>
            <a:t>[</a:t>
          </a:r>
          <a:r>
            <a:rPr lang="de-DE" sz="1100" i="1">
              <a:latin typeface="Audi Type" pitchFamily="34" charset="0"/>
            </a:rPr>
            <a:t>internal remarks</a:t>
          </a:r>
          <a:r>
            <a:rPr lang="de-DE" sz="1100">
              <a:latin typeface="Audi Type" pitchFamily="34" charset="0"/>
            </a:rPr>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4037;&#20316;&#36816;&#34892;%20Working%20running/Template/Audit%20templates/On-site%20Audit/Audit_Vorlage_ENG_2019-06-19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heet"/>
      <sheetName val="Evaluationsheet"/>
      <sheetName val="Datenquelle"/>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Remarks"/>
      <sheetName val="LOP"/>
      <sheetName val="Text"/>
    </sheetNames>
    <sheetDataSet>
      <sheetData sheetId="0"/>
      <sheetData sheetId="1"/>
      <sheetData sheetId="2">
        <row r="5">
          <cell r="G5">
            <v>0</v>
          </cell>
          <cell r="L5">
            <v>0</v>
          </cell>
          <cell r="Q5">
            <v>0</v>
          </cell>
          <cell r="V5">
            <v>0</v>
          </cell>
          <cell r="AA5">
            <v>0</v>
          </cell>
          <cell r="AF5">
            <v>0</v>
          </cell>
          <cell r="AK5">
            <v>0</v>
          </cell>
          <cell r="AP5">
            <v>0</v>
          </cell>
        </row>
      </sheetData>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Audi">
  <a:themeElements>
    <a:clrScheme name="Audi Standard">
      <a:dk1>
        <a:srgbClr val="000000"/>
      </a:dk1>
      <a:lt1>
        <a:srgbClr val="FFFFFF"/>
      </a:lt1>
      <a:dk2>
        <a:srgbClr val="000000"/>
      </a:dk2>
      <a:lt2>
        <a:srgbClr val="B0B6B8"/>
      </a:lt2>
      <a:accent1>
        <a:srgbClr val="434C53"/>
      </a:accent1>
      <a:accent2>
        <a:srgbClr val="D5D9D8"/>
      </a:accent2>
      <a:accent3>
        <a:srgbClr val="6D7579"/>
      </a:accent3>
      <a:accent4>
        <a:srgbClr val="CACE98"/>
      </a:accent4>
      <a:accent5>
        <a:srgbClr val="B0B6AD"/>
      </a:accent5>
      <a:accent6>
        <a:srgbClr val="B9002D"/>
      </a:accent6>
      <a:hlink>
        <a:srgbClr val="6682A4"/>
      </a:hlink>
      <a:folHlink>
        <a:srgbClr val="6C4859"/>
      </a:folHlink>
    </a:clrScheme>
    <a:fontScheme name="Audi">
      <a:majorFont>
        <a:latin typeface="Arial"/>
        <a:ea typeface=""/>
        <a:cs typeface=""/>
      </a:majorFont>
      <a:minorFont>
        <a:latin typeface="Arial"/>
        <a:ea typeface=""/>
        <a:cs typeface=""/>
      </a:minorFont>
    </a:fontScheme>
    <a:fmtScheme name="Audi">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lnDef>
  </a:objectDefaults>
  <a:extraClrSchemeLst>
    <a:extraClrScheme>
      <a:clrScheme name="Audi">
        <a:dk1>
          <a:srgbClr val="000000"/>
        </a:dk1>
        <a:lt1>
          <a:srgbClr val="CDCDCD"/>
        </a:lt1>
        <a:dk2>
          <a:srgbClr val="000000"/>
        </a:dk2>
        <a:lt2>
          <a:srgbClr val="999999"/>
        </a:lt2>
        <a:accent1>
          <a:srgbClr val="FED900"/>
        </a:accent1>
        <a:accent2>
          <a:srgbClr val="FCAF00"/>
        </a:accent2>
        <a:accent3>
          <a:srgbClr val="2C9730"/>
        </a:accent3>
        <a:accent4>
          <a:srgbClr val="E3D36F"/>
        </a:accent4>
        <a:accent5>
          <a:srgbClr val="FEE9AA"/>
        </a:accent5>
        <a:accent6>
          <a:srgbClr val="A4AA73"/>
        </a:accent6>
        <a:hlink>
          <a:srgbClr val="339999"/>
        </a:hlink>
        <a:folHlink>
          <a:srgbClr val="009FCE"/>
        </a:folHlink>
      </a:clrScheme>
      <a:clrMap bg1="lt1" tx1="dk1" bg2="lt2" tx2="dk2" accent1="accent1" accent2="accent2" accent3="accent3" accent4="accent4" accent5="accent5" accent6="accent6" hlink="hlink" folHlink="folHlink"/>
    </a:extraClrScheme>
  </a:extraClrSchemeLst>
  <a:custClrLst>
    <a:custClr name="PMS 108">
      <a:srgbClr val="FEF000"/>
    </a:custClr>
    <a:custClr name="PMS 130">
      <a:srgbClr val="FBBB1B"/>
    </a:custClr>
    <a:custClr name="PMS 158">
      <a:srgbClr val="F6751F"/>
    </a:custClr>
    <a:custClr name="PMS 398">
      <a:srgbClr val="C5C12D"/>
    </a:custClr>
    <a:custClr name="PMS 377">
      <a:srgbClr val="669933"/>
    </a:custClr>
    <a:custClr name="PMS 347">
      <a:srgbClr val="008F54"/>
    </a:custClr>
    <a:custClr name="PMS 313">
      <a:srgbClr val="02B3E1"/>
    </a:custClr>
    <a:custClr name="PMS 5483">
      <a:srgbClr val="55959E"/>
    </a:custClr>
    <a:custClr name="PMS 556">
      <a:srgbClr val="7FBAA5"/>
    </a:custClr>
    <a:custClr name="Audi Cool Gray 9">
      <a:srgbClr val="5E5E5E"/>
    </a:custClr>
  </a:custClr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drawing" Target="../drawings/drawing1.xml"/><Relationship Id="rId16" Type="http://schemas.openxmlformats.org/officeDocument/2006/relationships/image" Target="../media/image6.emf"/><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6.vml"/><Relationship Id="rId7" Type="http://schemas.openxmlformats.org/officeDocument/2006/relationships/ctrlProp" Target="../ctrlProps/ctrlProp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7.v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8.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9.vml"/><Relationship Id="rId9"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10.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vmlDrawing" Target="../drawings/vmlDrawing11.v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12.vml"/><Relationship Id="rId7" Type="http://schemas.openxmlformats.org/officeDocument/2006/relationships/ctrlProp" Target="../ctrlProps/ctrlProp2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vmlDrawing" Target="../drawings/vmlDrawing13.v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14.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vmlDrawing" Target="../drawings/vmlDrawing15.vml"/><Relationship Id="rId9" Type="http://schemas.openxmlformats.org/officeDocument/2006/relationships/ctrlProp" Target="../ctrlProps/ctrlProp3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16.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vmlDrawing" Target="../drawings/vmlDrawing17.vml"/><Relationship Id="rId9" Type="http://schemas.openxmlformats.org/officeDocument/2006/relationships/ctrlProp" Target="../ctrlProps/ctrlProp3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18.vml"/><Relationship Id="rId7" Type="http://schemas.openxmlformats.org/officeDocument/2006/relationships/ctrlProp" Target="../ctrlProps/ctrlProp3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vmlDrawing" Target="../drawings/vmlDrawing19.vml"/><Relationship Id="rId9"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image" Target="../media/image12.emf"/><Relationship Id="rId5" Type="http://schemas.openxmlformats.org/officeDocument/2006/relationships/control" Target="../activeX/activeX8.xml"/><Relationship Id="rId4" Type="http://schemas.openxmlformats.org/officeDocument/2006/relationships/vmlDrawing" Target="../drawings/vmlDrawing2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W52"/>
  <sheetViews>
    <sheetView topLeftCell="A6" zoomScaleNormal="100" workbookViewId="0">
      <selection activeCell="H27" sqref="H27"/>
    </sheetView>
  </sheetViews>
  <sheetFormatPr defaultColWidth="11" defaultRowHeight="13" x14ac:dyDescent="0.3"/>
  <cols>
    <col min="1" max="1" width="2.58203125" style="2" customWidth="1"/>
    <col min="2" max="2" width="30" style="2" customWidth="1"/>
    <col min="3" max="3" width="30.08203125" style="2" customWidth="1"/>
    <col min="4" max="4" width="2.58203125" style="2" customWidth="1"/>
    <col min="5" max="5" width="12.75" style="2" customWidth="1"/>
    <col min="6" max="6" width="2.58203125" style="2" customWidth="1"/>
    <col min="7" max="10" width="11" style="2" customWidth="1"/>
    <col min="11" max="11" width="2.83203125" style="2" customWidth="1"/>
    <col min="12" max="22" width="11" style="2" customWidth="1"/>
    <col min="23" max="23" width="38.83203125" style="17" customWidth="1"/>
    <col min="24" max="16384" width="11" style="2"/>
  </cols>
  <sheetData>
    <row r="1" spans="1:23" ht="35.5" thickBot="1" x14ac:dyDescent="0.35">
      <c r="A1" s="361" t="s">
        <v>0</v>
      </c>
      <c r="B1" s="361"/>
      <c r="C1" s="361"/>
      <c r="D1" s="361"/>
      <c r="E1" s="361"/>
      <c r="F1" s="361"/>
      <c r="G1" s="36"/>
      <c r="H1" s="19"/>
      <c r="I1" s="19"/>
      <c r="J1" s="19"/>
      <c r="K1" s="19"/>
      <c r="L1" s="19"/>
      <c r="M1" s="19"/>
      <c r="N1" s="19"/>
      <c r="O1" s="19"/>
      <c r="P1" s="19"/>
      <c r="Q1" s="19"/>
      <c r="R1" s="19"/>
      <c r="S1" s="19"/>
      <c r="T1" s="19"/>
      <c r="U1" s="19"/>
      <c r="V1" s="19"/>
    </row>
    <row r="2" spans="1:23" ht="26" thickBot="1" x14ac:dyDescent="0.6">
      <c r="A2" s="3"/>
      <c r="B2" s="4" t="s">
        <v>1</v>
      </c>
      <c r="C2" s="5"/>
      <c r="D2" s="5"/>
      <c r="E2" s="34"/>
      <c r="F2" s="6"/>
      <c r="G2" s="146"/>
      <c r="H2" s="19"/>
      <c r="I2" s="19"/>
      <c r="J2" s="19"/>
      <c r="K2" s="19"/>
      <c r="L2" s="19"/>
      <c r="M2" s="19"/>
      <c r="N2" s="19"/>
      <c r="O2" s="19"/>
      <c r="P2" s="19"/>
      <c r="Q2" s="19"/>
      <c r="R2" s="19"/>
      <c r="S2" s="19"/>
      <c r="T2" s="19"/>
      <c r="U2" s="19"/>
      <c r="V2" s="19"/>
    </row>
    <row r="3" spans="1:23" s="25" customFormat="1" ht="9" customHeight="1" x14ac:dyDescent="0.3">
      <c r="A3" s="149"/>
      <c r="B3" s="148"/>
      <c r="C3" s="148"/>
      <c r="D3" s="148"/>
      <c r="E3" s="148"/>
      <c r="F3" s="150"/>
      <c r="G3" s="148"/>
      <c r="H3" s="347" t="s">
        <v>2</v>
      </c>
      <c r="I3" s="348"/>
      <c r="J3" s="349"/>
      <c r="K3" s="8"/>
      <c r="L3" s="350" t="s">
        <v>3</v>
      </c>
      <c r="M3" s="351"/>
      <c r="N3" s="352"/>
      <c r="O3" s="148"/>
      <c r="P3" s="148"/>
      <c r="Q3" s="148"/>
      <c r="R3" s="148"/>
      <c r="S3" s="148"/>
      <c r="T3" s="148"/>
      <c r="U3" s="148"/>
      <c r="V3" s="148"/>
      <c r="W3" s="24"/>
    </row>
    <row r="4" spans="1:23" ht="13.5" thickBot="1" x14ac:dyDescent="0.35">
      <c r="A4" s="151"/>
      <c r="B4" s="14" t="s">
        <v>4</v>
      </c>
      <c r="C4" s="287">
        <v>46211</v>
      </c>
      <c r="D4" s="147"/>
      <c r="E4" s="147"/>
      <c r="F4" s="152"/>
      <c r="G4" s="147"/>
      <c r="H4" s="332"/>
      <c r="I4" s="333"/>
      <c r="J4" s="334"/>
      <c r="K4" s="22"/>
      <c r="L4" s="353"/>
      <c r="M4" s="354"/>
      <c r="N4" s="355"/>
      <c r="O4" s="147"/>
      <c r="P4" s="147"/>
      <c r="Q4" s="147"/>
      <c r="R4" s="147"/>
      <c r="S4" s="147"/>
      <c r="T4" s="147"/>
      <c r="U4" s="147"/>
      <c r="V4" s="147"/>
    </row>
    <row r="5" spans="1:23" s="25" customFormat="1" ht="12.75" customHeight="1" x14ac:dyDescent="0.3">
      <c r="A5" s="21"/>
      <c r="B5" s="22"/>
      <c r="C5" s="22"/>
      <c r="D5" s="22"/>
      <c r="E5" s="22"/>
      <c r="F5" s="23"/>
      <c r="G5" s="22"/>
      <c r="H5" s="332"/>
      <c r="I5" s="333"/>
      <c r="J5" s="334"/>
      <c r="K5" s="8"/>
      <c r="L5" s="329" t="s">
        <v>5</v>
      </c>
      <c r="M5" s="330"/>
      <c r="N5" s="331"/>
      <c r="O5" s="22"/>
      <c r="P5" s="22"/>
      <c r="Q5" s="22"/>
      <c r="R5" s="22"/>
      <c r="S5" s="22"/>
      <c r="T5" s="22"/>
      <c r="U5" s="22"/>
      <c r="V5" s="22"/>
      <c r="W5" s="24"/>
    </row>
    <row r="6" spans="1:23" ht="45" x14ac:dyDescent="0.9">
      <c r="A6" s="7"/>
      <c r="B6" s="286" t="s">
        <v>6</v>
      </c>
      <c r="C6" s="153"/>
      <c r="D6" s="154"/>
      <c r="E6" s="154"/>
      <c r="F6" s="132"/>
      <c r="G6" s="8"/>
      <c r="H6" s="332"/>
      <c r="I6" s="333"/>
      <c r="J6" s="334"/>
      <c r="K6" s="8"/>
      <c r="L6" s="332"/>
      <c r="M6" s="333"/>
      <c r="N6" s="334"/>
      <c r="O6" s="8"/>
      <c r="P6" s="8"/>
      <c r="Q6" s="8"/>
      <c r="R6" s="8"/>
      <c r="S6" s="8"/>
      <c r="T6" s="8"/>
      <c r="U6" s="8"/>
      <c r="V6" s="8"/>
    </row>
    <row r="7" spans="1:23" s="25" customFormat="1" ht="8.25" customHeight="1" x14ac:dyDescent="0.2">
      <c r="A7" s="21"/>
      <c r="B7" s="26"/>
      <c r="C7" s="27"/>
      <c r="D7" s="27"/>
      <c r="E7" s="27"/>
      <c r="F7" s="23"/>
      <c r="G7" s="22"/>
      <c r="H7" s="135"/>
      <c r="I7" s="224"/>
      <c r="J7" s="136"/>
      <c r="K7" s="22"/>
      <c r="L7" s="335">
        <v>2</v>
      </c>
      <c r="M7" s="336"/>
      <c r="N7" s="337"/>
      <c r="O7" s="22"/>
      <c r="P7" s="22"/>
      <c r="Q7" s="22"/>
      <c r="R7" s="22"/>
      <c r="S7" s="22"/>
      <c r="T7" s="22"/>
      <c r="U7" s="22"/>
      <c r="V7" s="22"/>
      <c r="W7" s="24"/>
    </row>
    <row r="8" spans="1:23" ht="21" thickBot="1" x14ac:dyDescent="0.5">
      <c r="A8" s="7"/>
      <c r="B8" s="15" t="s">
        <v>7</v>
      </c>
      <c r="C8" s="357" t="s">
        <v>808</v>
      </c>
      <c r="D8" s="357"/>
      <c r="E8" s="357"/>
      <c r="F8" s="37"/>
      <c r="G8" s="8"/>
      <c r="H8" s="133"/>
      <c r="I8" s="224"/>
      <c r="J8" s="134"/>
      <c r="K8" s="8"/>
      <c r="L8" s="338"/>
      <c r="M8" s="339"/>
      <c r="N8" s="340"/>
      <c r="O8" s="8"/>
      <c r="P8" s="8"/>
      <c r="Q8" s="8"/>
      <c r="R8" s="8"/>
      <c r="S8" s="8"/>
      <c r="T8" s="8"/>
      <c r="U8" s="8"/>
      <c r="V8" s="8"/>
    </row>
    <row r="9" spans="1:23" s="25" customFormat="1" ht="12.75" customHeight="1" x14ac:dyDescent="0.2">
      <c r="A9" s="21"/>
      <c r="B9" s="26"/>
      <c r="C9" s="27"/>
      <c r="D9" s="27"/>
      <c r="E9" s="27"/>
      <c r="F9" s="23"/>
      <c r="G9" s="22"/>
      <c r="H9" s="135"/>
      <c r="I9" s="224"/>
      <c r="J9" s="136"/>
      <c r="K9" s="22"/>
      <c r="L9" s="341" t="s">
        <v>8</v>
      </c>
      <c r="M9" s="342"/>
      <c r="N9" s="343"/>
      <c r="O9" s="22"/>
      <c r="P9" s="22"/>
      <c r="Q9" s="22"/>
      <c r="R9" s="22"/>
      <c r="S9" s="22"/>
      <c r="T9" s="22"/>
      <c r="U9" s="22"/>
      <c r="V9" s="22"/>
      <c r="W9" s="24"/>
    </row>
    <row r="10" spans="1:23" x14ac:dyDescent="0.3">
      <c r="A10" s="7"/>
      <c r="B10" s="14" t="s">
        <v>9</v>
      </c>
      <c r="C10" s="358"/>
      <c r="D10" s="358"/>
      <c r="E10" s="358"/>
      <c r="F10" s="9"/>
      <c r="G10" s="8"/>
      <c r="H10" s="133"/>
      <c r="I10" s="224"/>
      <c r="J10" s="134"/>
      <c r="K10" s="8"/>
      <c r="L10" s="344"/>
      <c r="M10" s="345"/>
      <c r="N10" s="346"/>
      <c r="O10" s="8"/>
      <c r="P10" s="8"/>
      <c r="Q10" s="8"/>
      <c r="R10" s="8"/>
      <c r="S10" s="8"/>
      <c r="T10" s="8"/>
      <c r="U10" s="8"/>
      <c r="V10" s="8"/>
    </row>
    <row r="11" spans="1:23" x14ac:dyDescent="0.3">
      <c r="A11" s="7"/>
      <c r="B11" s="14" t="s">
        <v>10</v>
      </c>
      <c r="C11" s="359"/>
      <c r="D11" s="359"/>
      <c r="E11" s="359"/>
      <c r="F11" s="9"/>
      <c r="G11" s="8"/>
      <c r="H11" s="133"/>
      <c r="I11" s="224"/>
      <c r="J11" s="134"/>
      <c r="K11" s="8"/>
      <c r="L11" s="344"/>
      <c r="M11" s="345"/>
      <c r="N11" s="346"/>
      <c r="O11" s="8"/>
      <c r="P11" s="8"/>
      <c r="Q11" s="8"/>
      <c r="R11" s="8"/>
      <c r="S11" s="8"/>
      <c r="T11" s="8"/>
      <c r="U11" s="8"/>
      <c r="V11" s="8"/>
    </row>
    <row r="12" spans="1:23" s="25" customFormat="1" x14ac:dyDescent="0.2">
      <c r="A12" s="21"/>
      <c r="B12" s="14"/>
      <c r="C12" s="27"/>
      <c r="D12" s="27"/>
      <c r="E12" s="27"/>
      <c r="F12" s="23"/>
      <c r="G12" s="22"/>
      <c r="H12" s="135"/>
      <c r="I12" s="227"/>
      <c r="J12" s="136"/>
      <c r="K12" s="22"/>
      <c r="L12" s="344"/>
      <c r="M12" s="345"/>
      <c r="N12" s="346"/>
      <c r="O12" s="22"/>
      <c r="P12" s="22"/>
      <c r="Q12" s="22"/>
      <c r="R12" s="22"/>
      <c r="S12" s="22"/>
      <c r="T12" s="22"/>
      <c r="U12" s="22"/>
      <c r="V12" s="22"/>
      <c r="W12" s="24"/>
    </row>
    <row r="13" spans="1:23" ht="18.5" thickBot="1" x14ac:dyDescent="0.45">
      <c r="A13" s="7"/>
      <c r="B13" s="39" t="s">
        <v>11</v>
      </c>
      <c r="C13" s="292"/>
      <c r="D13" s="292"/>
      <c r="E13" s="292"/>
      <c r="F13" s="141"/>
      <c r="G13" s="159"/>
      <c r="H13" s="194"/>
      <c r="I13" s="225"/>
      <c r="J13" s="195"/>
      <c r="K13" s="160"/>
      <c r="L13" s="323">
        <v>0.2</v>
      </c>
      <c r="M13" s="324"/>
      <c r="N13" s="325"/>
      <c r="O13" s="160"/>
      <c r="P13" s="8"/>
      <c r="Q13" s="8"/>
      <c r="R13" s="8"/>
      <c r="S13" s="8"/>
      <c r="T13" s="8"/>
      <c r="U13" s="8"/>
      <c r="V13" s="8"/>
    </row>
    <row r="14" spans="1:23" ht="13.5" thickBot="1" x14ac:dyDescent="0.35">
      <c r="A14" s="7"/>
      <c r="B14" s="14" t="s">
        <v>12</v>
      </c>
      <c r="C14" s="20" t="s">
        <v>226</v>
      </c>
      <c r="D14" s="292"/>
      <c r="E14" s="292" t="str">
        <f>VLOOKUP(C14,Datenquelle!A5:B241,2,FALSE)</f>
        <v>CN</v>
      </c>
      <c r="F14" s="9"/>
      <c r="G14" s="159"/>
      <c r="H14" s="194"/>
      <c r="I14" s="225"/>
      <c r="J14" s="195"/>
      <c r="K14" s="160"/>
      <c r="L14" s="160"/>
      <c r="M14" s="160"/>
      <c r="N14" s="160"/>
      <c r="O14" s="160"/>
      <c r="P14" s="8"/>
      <c r="Q14" s="8"/>
      <c r="R14" s="8"/>
      <c r="S14" s="8"/>
      <c r="T14" s="8"/>
      <c r="U14" s="8"/>
      <c r="V14" s="8"/>
    </row>
    <row r="15" spans="1:23" s="25" customFormat="1" ht="8" x14ac:dyDescent="0.2">
      <c r="A15" s="21"/>
      <c r="B15" s="26"/>
      <c r="C15" s="27"/>
      <c r="D15" s="27"/>
      <c r="E15" s="27"/>
      <c r="F15" s="23"/>
      <c r="G15" s="22"/>
      <c r="H15" s="135"/>
      <c r="I15" s="224"/>
      <c r="J15" s="136"/>
      <c r="K15" s="22"/>
      <c r="L15" s="22"/>
      <c r="M15" s="158"/>
      <c r="N15" s="158"/>
      <c r="O15" s="22"/>
      <c r="P15" s="22"/>
      <c r="Q15" s="22"/>
      <c r="R15" s="22"/>
      <c r="S15" s="22"/>
      <c r="T15" s="22"/>
      <c r="U15" s="22"/>
      <c r="V15" s="22"/>
      <c r="W15" s="24"/>
    </row>
    <row r="16" spans="1:23" s="25" customFormat="1" ht="13.5" thickBot="1" x14ac:dyDescent="0.35">
      <c r="A16" s="21"/>
      <c r="B16" s="14" t="s">
        <v>14</v>
      </c>
      <c r="C16" s="362" t="s">
        <v>809</v>
      </c>
      <c r="D16" s="358"/>
      <c r="E16" s="358"/>
      <c r="F16" s="23"/>
      <c r="G16" s="22"/>
      <c r="H16" s="133"/>
      <c r="I16" s="224"/>
      <c r="J16" s="134"/>
      <c r="K16" s="8"/>
      <c r="L16" s="155"/>
      <c r="M16" s="155"/>
      <c r="N16" s="155"/>
      <c r="O16" s="22"/>
      <c r="P16" s="22"/>
      <c r="Q16" s="22"/>
      <c r="R16" s="22"/>
      <c r="S16" s="22"/>
      <c r="T16" s="22"/>
      <c r="U16" s="22"/>
      <c r="V16" s="22"/>
      <c r="W16" s="24"/>
    </row>
    <row r="17" spans="1:23" s="25" customFormat="1" x14ac:dyDescent="0.3">
      <c r="A17" s="21"/>
      <c r="B17" s="14" t="s">
        <v>15</v>
      </c>
      <c r="C17" s="360"/>
      <c r="D17" s="360"/>
      <c r="E17" s="360"/>
      <c r="F17" s="23"/>
      <c r="G17" s="22"/>
      <c r="H17" s="247"/>
      <c r="I17" s="248"/>
      <c r="J17" s="249"/>
      <c r="K17" s="8"/>
      <c r="L17" s="155"/>
      <c r="M17" s="155"/>
      <c r="N17" s="155"/>
      <c r="O17" s="22"/>
      <c r="P17" s="22"/>
      <c r="Q17" s="22"/>
      <c r="R17" s="22"/>
      <c r="S17" s="22"/>
      <c r="T17" s="22"/>
      <c r="U17" s="22"/>
      <c r="V17" s="22"/>
      <c r="W17" s="24"/>
    </row>
    <row r="18" spans="1:23" x14ac:dyDescent="0.3">
      <c r="A18" s="7"/>
      <c r="B18" s="14" t="s">
        <v>16</v>
      </c>
      <c r="C18" s="366"/>
      <c r="D18" s="366"/>
      <c r="E18" s="366"/>
      <c r="F18" s="9"/>
      <c r="G18" s="8"/>
      <c r="H18" s="196"/>
      <c r="I18" s="224"/>
      <c r="J18" s="197"/>
      <c r="K18" s="42"/>
      <c r="L18" s="155"/>
      <c r="M18" s="155"/>
      <c r="N18" s="155"/>
      <c r="O18" s="8"/>
      <c r="P18" s="8"/>
      <c r="Q18" s="8"/>
      <c r="R18" s="8"/>
      <c r="S18" s="8"/>
      <c r="T18" s="8"/>
      <c r="U18" s="8"/>
      <c r="V18" s="8"/>
    </row>
    <row r="19" spans="1:23" s="25" customFormat="1" x14ac:dyDescent="0.3">
      <c r="A19" s="21"/>
      <c r="B19" s="14" t="s">
        <v>17</v>
      </c>
      <c r="C19" s="359" t="s">
        <v>807</v>
      </c>
      <c r="D19" s="359"/>
      <c r="E19" s="359"/>
      <c r="F19" s="23"/>
      <c r="G19" s="22"/>
      <c r="H19" s="133"/>
      <c r="I19" s="226"/>
      <c r="J19" s="134"/>
      <c r="K19" s="8"/>
      <c r="L19" s="155"/>
      <c r="M19" s="155"/>
      <c r="N19" s="155"/>
      <c r="O19" s="22"/>
      <c r="P19" s="22"/>
      <c r="Q19" s="22"/>
      <c r="R19" s="22"/>
      <c r="S19" s="22"/>
      <c r="T19" s="22"/>
      <c r="U19" s="22"/>
      <c r="V19" s="22"/>
      <c r="W19" s="24"/>
    </row>
    <row r="20" spans="1:23" s="25" customFormat="1" x14ac:dyDescent="0.3">
      <c r="A20" s="21"/>
      <c r="B20" s="26"/>
      <c r="C20" s="27"/>
      <c r="D20" s="27"/>
      <c r="E20" s="27"/>
      <c r="F20" s="23"/>
      <c r="G20" s="22"/>
      <c r="H20" s="133"/>
      <c r="I20" s="226"/>
      <c r="J20" s="134"/>
      <c r="K20" s="22"/>
      <c r="L20" s="22"/>
      <c r="M20" s="22"/>
      <c r="N20" s="22"/>
      <c r="O20" s="22"/>
      <c r="P20" s="22"/>
      <c r="Q20" s="22"/>
      <c r="R20" s="22"/>
      <c r="S20" s="22"/>
      <c r="T20" s="22"/>
      <c r="U20" s="22"/>
      <c r="V20" s="22"/>
      <c r="W20" s="24"/>
    </row>
    <row r="21" spans="1:23" ht="13.5" thickBot="1" x14ac:dyDescent="0.35">
      <c r="A21" s="7"/>
      <c r="B21" s="14" t="s">
        <v>18</v>
      </c>
      <c r="C21" s="358" t="s">
        <v>810</v>
      </c>
      <c r="D21" s="358"/>
      <c r="E21" s="358"/>
      <c r="F21" s="9"/>
      <c r="G21" s="8"/>
      <c r="H21" s="251"/>
      <c r="I21" s="252"/>
      <c r="J21" s="253"/>
      <c r="K21" s="8"/>
      <c r="L21" s="156"/>
      <c r="M21" s="156"/>
      <c r="N21" s="156"/>
      <c r="O21" s="8"/>
      <c r="P21" s="8"/>
      <c r="Q21" s="8"/>
      <c r="R21" s="8"/>
      <c r="S21" s="8"/>
      <c r="T21" s="8"/>
      <c r="U21" s="8"/>
      <c r="V21" s="8"/>
    </row>
    <row r="22" spans="1:23" s="44" customFormat="1" x14ac:dyDescent="0.3">
      <c r="A22" s="40"/>
      <c r="B22" s="14" t="s">
        <v>19</v>
      </c>
      <c r="C22" s="359"/>
      <c r="D22" s="359"/>
      <c r="E22" s="359"/>
      <c r="F22" s="41"/>
      <c r="G22" s="42"/>
      <c r="H22" s="156"/>
      <c r="I22" s="250"/>
      <c r="J22" s="156"/>
      <c r="K22" s="22"/>
      <c r="L22" s="157"/>
      <c r="M22" s="157"/>
      <c r="N22" s="157"/>
      <c r="O22" s="42"/>
      <c r="P22" s="42"/>
      <c r="Q22" s="42"/>
      <c r="R22" s="42"/>
      <c r="S22" s="42"/>
      <c r="T22" s="42"/>
      <c r="U22" s="42"/>
      <c r="V22" s="42"/>
      <c r="W22" s="43"/>
    </row>
    <row r="23" spans="1:23" s="25" customFormat="1" ht="8.5" thickBot="1" x14ac:dyDescent="0.25">
      <c r="A23" s="29"/>
      <c r="B23" s="30"/>
      <c r="C23" s="31"/>
      <c r="D23" s="31"/>
      <c r="E23" s="31"/>
      <c r="F23" s="32"/>
      <c r="G23" s="22"/>
      <c r="H23" s="157"/>
      <c r="I23" s="157"/>
      <c r="J23" s="157"/>
      <c r="K23" s="22"/>
      <c r="L23" s="22"/>
      <c r="M23" s="22"/>
      <c r="N23" s="22"/>
      <c r="O23" s="22"/>
      <c r="P23" s="22"/>
      <c r="Q23" s="22"/>
      <c r="R23" s="22"/>
      <c r="S23" s="22"/>
      <c r="T23" s="22"/>
      <c r="U23" s="22"/>
      <c r="V23" s="22"/>
      <c r="W23" s="28"/>
    </row>
    <row r="24" spans="1:23" ht="25.5" x14ac:dyDescent="0.4">
      <c r="A24" s="7"/>
      <c r="B24" s="10" t="s">
        <v>20</v>
      </c>
      <c r="C24" s="292"/>
      <c r="D24" s="292"/>
      <c r="E24" s="35"/>
      <c r="F24" s="9"/>
      <c r="G24" s="8"/>
      <c r="H24" s="22"/>
      <c r="I24" s="22"/>
      <c r="J24" s="22"/>
      <c r="K24" s="8"/>
      <c r="L24" s="8"/>
      <c r="M24" s="8"/>
      <c r="N24" s="8"/>
      <c r="O24" s="8"/>
      <c r="P24" s="8"/>
      <c r="Q24" s="8"/>
      <c r="R24" s="8"/>
      <c r="S24" s="8"/>
      <c r="T24" s="8"/>
      <c r="U24" s="8"/>
      <c r="V24" s="8"/>
      <c r="W24" s="18"/>
    </row>
    <row r="25" spans="1:23" s="25" customFormat="1" x14ac:dyDescent="0.3">
      <c r="A25" s="21"/>
      <c r="B25" s="22"/>
      <c r="C25" s="27"/>
      <c r="D25" s="27"/>
      <c r="E25" s="27"/>
      <c r="F25" s="23"/>
      <c r="G25" s="22"/>
      <c r="H25" s="8"/>
      <c r="I25" s="8"/>
      <c r="J25" s="8"/>
      <c r="K25" s="22"/>
      <c r="L25" s="22"/>
      <c r="M25" s="22"/>
      <c r="N25" s="22"/>
      <c r="O25" s="22"/>
      <c r="P25" s="22"/>
      <c r="Q25" s="22"/>
      <c r="R25" s="22"/>
      <c r="S25" s="22"/>
      <c r="T25" s="22"/>
      <c r="U25" s="22"/>
      <c r="V25" s="22"/>
      <c r="W25" s="28"/>
    </row>
    <row r="26" spans="1:23" x14ac:dyDescent="0.3">
      <c r="A26" s="7"/>
      <c r="B26" s="14" t="s">
        <v>21</v>
      </c>
      <c r="C26" s="287" t="s">
        <v>811</v>
      </c>
      <c r="D26" s="292"/>
      <c r="E26" s="15"/>
      <c r="F26" s="9"/>
      <c r="G26" s="8"/>
      <c r="H26" s="8"/>
      <c r="I26" s="8"/>
      <c r="J26" s="8"/>
      <c r="K26" s="8"/>
      <c r="L26" s="8"/>
      <c r="M26" s="8"/>
      <c r="N26" s="8"/>
      <c r="O26" s="8"/>
      <c r="P26" s="8"/>
      <c r="Q26" s="8"/>
      <c r="R26" s="8"/>
      <c r="S26" s="8"/>
      <c r="T26" s="8"/>
      <c r="U26" s="8"/>
      <c r="V26" s="8"/>
      <c r="W26" s="18"/>
    </row>
    <row r="27" spans="1:23" s="25" customFormat="1" ht="8" x14ac:dyDescent="0.2">
      <c r="A27" s="21"/>
      <c r="B27" s="26"/>
      <c r="C27" s="27"/>
      <c r="D27" s="27"/>
      <c r="E27" s="229"/>
      <c r="F27" s="23"/>
      <c r="G27" s="22"/>
      <c r="H27" s="22"/>
      <c r="I27" s="22"/>
      <c r="J27" s="22"/>
      <c r="K27" s="22"/>
      <c r="L27" s="22"/>
      <c r="M27" s="22"/>
      <c r="N27" s="22"/>
      <c r="O27" s="22"/>
      <c r="P27" s="22"/>
      <c r="Q27" s="22"/>
      <c r="R27" s="22"/>
      <c r="S27" s="22"/>
      <c r="T27" s="22"/>
      <c r="U27" s="22"/>
      <c r="V27" s="22"/>
      <c r="W27" s="28"/>
    </row>
    <row r="28" spans="1:23" ht="41.5" x14ac:dyDescent="0.55000000000000004">
      <c r="A28" s="7"/>
      <c r="B28" s="14" t="s">
        <v>22</v>
      </c>
      <c r="C28" s="356" t="s">
        <v>812</v>
      </c>
      <c r="D28" s="356"/>
      <c r="E28" s="356"/>
      <c r="F28" s="38"/>
      <c r="G28" s="8"/>
      <c r="H28" s="8"/>
      <c r="I28" s="8"/>
      <c r="J28" s="8"/>
      <c r="K28" s="8"/>
      <c r="L28" s="8"/>
      <c r="M28" s="8"/>
      <c r="N28" s="8"/>
      <c r="O28" s="8"/>
      <c r="P28" s="8"/>
      <c r="Q28" s="8"/>
      <c r="R28" s="8"/>
      <c r="S28" s="8"/>
      <c r="T28" s="8"/>
      <c r="U28" s="8"/>
      <c r="V28" s="8"/>
      <c r="W28" s="18" t="str">
        <f t="shared" ref="W28:W45" si="0">C28</f>
        <v>Li, Zhongxuan (P/BL)
Liu, Zhang (P/BL)
Cao, Qisheng (P/BL)</v>
      </c>
    </row>
    <row r="29" spans="1:23" s="25" customFormat="1" ht="8" x14ac:dyDescent="0.2">
      <c r="A29" s="21"/>
      <c r="B29" s="26"/>
      <c r="C29" s="27"/>
      <c r="D29" s="27"/>
      <c r="E29" s="33"/>
      <c r="F29" s="23"/>
      <c r="G29" s="22"/>
      <c r="H29" s="22"/>
      <c r="I29" s="22"/>
      <c r="J29" s="22"/>
      <c r="K29" s="22"/>
      <c r="L29" s="22"/>
      <c r="M29" s="22"/>
      <c r="N29" s="22"/>
      <c r="O29" s="22"/>
      <c r="P29" s="22"/>
      <c r="Q29" s="22"/>
      <c r="R29" s="22"/>
      <c r="S29" s="22"/>
      <c r="T29" s="22"/>
      <c r="U29" s="22"/>
      <c r="V29" s="22"/>
      <c r="W29" s="28"/>
    </row>
    <row r="30" spans="1:23" ht="25.5" x14ac:dyDescent="0.55000000000000004">
      <c r="A30" s="7"/>
      <c r="B30" s="14" t="s">
        <v>23</v>
      </c>
      <c r="C30" s="356"/>
      <c r="D30" s="356"/>
      <c r="E30" s="356"/>
      <c r="F30" s="38"/>
      <c r="G30" s="8"/>
      <c r="H30" s="8"/>
      <c r="I30" s="8"/>
      <c r="J30" s="8"/>
      <c r="K30" s="8"/>
      <c r="L30" s="8"/>
      <c r="M30" s="8"/>
      <c r="N30" s="8"/>
      <c r="O30" s="8"/>
      <c r="P30" s="8"/>
      <c r="Q30" s="8"/>
      <c r="R30" s="8"/>
      <c r="S30" s="8"/>
      <c r="T30" s="8"/>
      <c r="U30" s="8"/>
      <c r="V30" s="8"/>
      <c r="W30" s="18">
        <f t="shared" si="0"/>
        <v>0</v>
      </c>
    </row>
    <row r="31" spans="1:23" s="25" customFormat="1" ht="8" x14ac:dyDescent="0.2">
      <c r="A31" s="21"/>
      <c r="B31" s="26"/>
      <c r="C31" s="161"/>
      <c r="D31" s="27"/>
      <c r="E31" s="162"/>
      <c r="F31" s="23"/>
      <c r="G31" s="22"/>
      <c r="H31" s="22"/>
      <c r="I31" s="22"/>
      <c r="J31" s="22"/>
      <c r="K31" s="22"/>
      <c r="L31" s="22"/>
      <c r="M31" s="22"/>
      <c r="N31" s="22"/>
      <c r="O31" s="22"/>
      <c r="P31" s="22"/>
      <c r="Q31" s="22"/>
      <c r="R31" s="22"/>
      <c r="S31" s="22"/>
      <c r="T31" s="22"/>
      <c r="U31" s="22"/>
      <c r="V31" s="22"/>
      <c r="W31" s="28"/>
    </row>
    <row r="32" spans="1:23" s="25" customFormat="1" ht="8.5" thickBot="1" x14ac:dyDescent="0.25">
      <c r="A32" s="21"/>
      <c r="B32" s="33"/>
      <c r="C32" s="161"/>
      <c r="D32" s="27"/>
      <c r="E32" s="161"/>
      <c r="F32" s="23"/>
      <c r="G32" s="22"/>
      <c r="H32" s="22"/>
      <c r="I32" s="22"/>
      <c r="J32" s="22"/>
      <c r="K32" s="22"/>
      <c r="L32" s="22"/>
      <c r="M32" s="22"/>
      <c r="N32" s="22"/>
      <c r="O32" s="22"/>
      <c r="P32" s="22"/>
      <c r="Q32" s="22"/>
      <c r="R32" s="22"/>
      <c r="S32" s="22"/>
      <c r="T32" s="22"/>
      <c r="U32" s="22"/>
      <c r="V32" s="22"/>
      <c r="W32" s="28"/>
    </row>
    <row r="33" spans="1:23" ht="20.5" x14ac:dyDescent="0.45">
      <c r="A33" s="7"/>
      <c r="B33" s="328" t="s">
        <v>24</v>
      </c>
      <c r="C33" s="326">
        <f>Ergebnis</f>
        <v>0</v>
      </c>
      <c r="D33" s="292"/>
      <c r="E33" s="363" t="str">
        <f>IF(Ergebnis&gt;=A_min,"A",IF(Ergebnis&gt;=B_min,"B","C"))</f>
        <v>C</v>
      </c>
      <c r="F33" s="165">
        <f>Datenquelle!AN20</f>
        <v>0</v>
      </c>
      <c r="G33" s="8"/>
      <c r="H33" s="8"/>
      <c r="I33" s="8"/>
      <c r="J33" s="8"/>
      <c r="K33" s="8"/>
      <c r="L33" s="8"/>
      <c r="M33" s="8"/>
      <c r="N33" s="8"/>
      <c r="O33" s="8"/>
      <c r="P33" s="8"/>
      <c r="Q33" s="8"/>
      <c r="R33" s="8"/>
      <c r="S33" s="8"/>
      <c r="T33" s="8"/>
      <c r="U33" s="8"/>
      <c r="V33" s="8"/>
      <c r="W33" s="18"/>
    </row>
    <row r="34" spans="1:23" s="25" customFormat="1" ht="8.5" thickBot="1" x14ac:dyDescent="0.25">
      <c r="A34" s="21"/>
      <c r="B34" s="328"/>
      <c r="C34" s="327"/>
      <c r="D34" s="27"/>
      <c r="E34" s="364"/>
      <c r="F34" s="23"/>
      <c r="G34" s="22"/>
      <c r="H34" s="22"/>
      <c r="I34" s="22"/>
      <c r="J34" s="22"/>
      <c r="K34" s="22"/>
      <c r="L34" s="22"/>
      <c r="M34" s="22"/>
      <c r="N34" s="22"/>
      <c r="O34" s="22"/>
      <c r="P34" s="22"/>
      <c r="Q34" s="22"/>
      <c r="R34" s="22"/>
      <c r="S34" s="22"/>
      <c r="T34" s="22"/>
      <c r="U34" s="22"/>
      <c r="V34" s="22"/>
      <c r="W34" s="28"/>
    </row>
    <row r="35" spans="1:23" ht="21" thickBot="1" x14ac:dyDescent="0.5">
      <c r="A35" s="7"/>
      <c r="D35" s="292"/>
      <c r="E35" s="365"/>
      <c r="F35" s="37"/>
      <c r="G35" s="8"/>
      <c r="H35" s="8"/>
      <c r="I35" s="8"/>
      <c r="J35" s="8"/>
      <c r="K35" s="8"/>
      <c r="L35" s="8"/>
      <c r="M35" s="8"/>
      <c r="N35" s="8"/>
      <c r="O35" s="8"/>
      <c r="P35" s="8"/>
      <c r="Q35" s="8"/>
      <c r="R35" s="8"/>
      <c r="S35" s="8"/>
      <c r="T35" s="8"/>
      <c r="U35" s="8"/>
      <c r="V35" s="8"/>
      <c r="W35" s="18"/>
    </row>
    <row r="36" spans="1:23" s="25" customFormat="1" ht="8.5" thickBot="1" x14ac:dyDescent="0.25">
      <c r="A36" s="29"/>
      <c r="B36" s="30"/>
      <c r="C36" s="31"/>
      <c r="D36" s="31"/>
      <c r="E36" s="31"/>
      <c r="F36" s="32"/>
      <c r="G36" s="22"/>
      <c r="H36" s="22"/>
      <c r="I36" s="22"/>
      <c r="J36" s="22"/>
      <c r="K36" s="22"/>
      <c r="L36" s="22"/>
      <c r="M36" s="22"/>
      <c r="N36" s="22"/>
      <c r="O36" s="22"/>
      <c r="P36" s="22"/>
      <c r="Q36" s="22"/>
      <c r="R36" s="22"/>
      <c r="S36" s="22"/>
      <c r="T36" s="22"/>
      <c r="U36" s="22"/>
      <c r="V36" s="22"/>
      <c r="W36" s="28"/>
    </row>
    <row r="37" spans="1:23" ht="25.5" x14ac:dyDescent="0.4">
      <c r="A37" s="7"/>
      <c r="B37" s="10" t="s">
        <v>25</v>
      </c>
      <c r="C37" s="292"/>
      <c r="D37" s="292"/>
      <c r="E37" s="35"/>
      <c r="F37" s="9"/>
      <c r="G37" s="8"/>
      <c r="H37" s="8"/>
      <c r="I37" s="8"/>
      <c r="J37" s="8"/>
      <c r="K37" s="8"/>
      <c r="L37" s="8"/>
      <c r="M37" s="8"/>
      <c r="N37" s="8"/>
      <c r="O37" s="8"/>
      <c r="P37" s="8"/>
      <c r="Q37" s="8"/>
      <c r="R37" s="8"/>
      <c r="S37" s="8"/>
      <c r="T37" s="8"/>
      <c r="U37" s="8"/>
      <c r="V37" s="8"/>
      <c r="W37" s="18">
        <f t="shared" si="0"/>
        <v>0</v>
      </c>
    </row>
    <row r="38" spans="1:23" s="25" customFormat="1" ht="8" x14ac:dyDescent="0.2">
      <c r="A38" s="21"/>
      <c r="B38" s="22"/>
      <c r="C38" s="27"/>
      <c r="D38" s="27"/>
      <c r="E38" s="27"/>
      <c r="F38" s="23"/>
      <c r="G38" s="22"/>
      <c r="H38" s="22"/>
      <c r="I38" s="22"/>
      <c r="J38" s="22"/>
      <c r="K38" s="22"/>
      <c r="L38" s="22"/>
      <c r="M38" s="22"/>
      <c r="N38" s="22"/>
      <c r="O38" s="22"/>
      <c r="P38" s="22"/>
      <c r="Q38" s="22"/>
      <c r="R38" s="22"/>
      <c r="S38" s="22"/>
      <c r="T38" s="22"/>
      <c r="U38" s="22"/>
      <c r="V38" s="22"/>
      <c r="W38" s="28"/>
    </row>
    <row r="39" spans="1:23" x14ac:dyDescent="0.3">
      <c r="A39" s="7"/>
      <c r="B39" s="14" t="s">
        <v>26</v>
      </c>
      <c r="C39" s="356"/>
      <c r="D39" s="356"/>
      <c r="E39" s="356"/>
      <c r="F39" s="9"/>
      <c r="G39" s="8"/>
      <c r="H39" s="8"/>
      <c r="I39" s="8"/>
      <c r="J39" s="8"/>
      <c r="K39" s="8"/>
      <c r="L39" s="8"/>
      <c r="M39" s="8"/>
      <c r="N39" s="8"/>
      <c r="O39" s="8"/>
      <c r="P39" s="8"/>
      <c r="Q39" s="8"/>
      <c r="R39" s="8"/>
      <c r="S39" s="8"/>
      <c r="T39" s="8"/>
      <c r="U39" s="8"/>
      <c r="V39" s="8"/>
      <c r="W39" s="18">
        <f t="shared" si="0"/>
        <v>0</v>
      </c>
    </row>
    <row r="40" spans="1:23" s="25" customFormat="1" ht="8" x14ac:dyDescent="0.2">
      <c r="A40" s="21"/>
      <c r="B40" s="26"/>
      <c r="C40" s="27"/>
      <c r="D40" s="27"/>
      <c r="E40" s="27"/>
      <c r="F40" s="23"/>
      <c r="G40" s="22"/>
      <c r="H40" s="22"/>
      <c r="I40" s="22"/>
      <c r="J40" s="22"/>
      <c r="K40" s="22"/>
      <c r="L40" s="22"/>
      <c r="M40" s="22"/>
      <c r="N40" s="22"/>
      <c r="O40" s="22"/>
      <c r="P40" s="22"/>
      <c r="Q40" s="22"/>
      <c r="R40" s="22"/>
      <c r="S40" s="22"/>
      <c r="T40" s="22"/>
      <c r="U40" s="22"/>
      <c r="V40" s="22"/>
      <c r="W40" s="28"/>
    </row>
    <row r="41" spans="1:23" x14ac:dyDescent="0.3">
      <c r="A41" s="7"/>
      <c r="B41" s="16" t="s">
        <v>27</v>
      </c>
      <c r="C41" s="356" t="s">
        <v>813</v>
      </c>
      <c r="D41" s="356"/>
      <c r="E41" s="356"/>
      <c r="F41" s="9"/>
      <c r="G41" s="8"/>
      <c r="H41" s="8"/>
      <c r="I41" s="8"/>
      <c r="J41" s="8"/>
      <c r="K41" s="8"/>
      <c r="L41" s="8"/>
      <c r="M41" s="8"/>
      <c r="N41" s="8"/>
      <c r="O41" s="8"/>
      <c r="P41" s="8"/>
      <c r="Q41" s="8"/>
      <c r="R41" s="8"/>
      <c r="S41" s="8"/>
      <c r="T41" s="8"/>
      <c r="U41" s="8"/>
      <c r="V41" s="8"/>
      <c r="W41" s="18" t="str">
        <f t="shared" si="0"/>
        <v>Changchun Engley Automobile Industry Co.,Ltd</v>
      </c>
    </row>
    <row r="42" spans="1:23" s="25" customFormat="1" ht="8" x14ac:dyDescent="0.2">
      <c r="A42" s="21"/>
      <c r="B42" s="26"/>
      <c r="C42" s="27"/>
      <c r="D42" s="27"/>
      <c r="E42" s="27"/>
      <c r="F42" s="23"/>
      <c r="G42" s="22"/>
      <c r="H42" s="22"/>
      <c r="I42" s="22"/>
      <c r="J42" s="22"/>
      <c r="K42" s="22"/>
      <c r="L42" s="22"/>
      <c r="M42" s="22"/>
      <c r="N42" s="22"/>
      <c r="O42" s="22"/>
      <c r="P42" s="22"/>
      <c r="Q42" s="22"/>
      <c r="R42" s="22"/>
      <c r="S42" s="22"/>
      <c r="T42" s="22"/>
      <c r="U42" s="22"/>
      <c r="V42" s="22"/>
      <c r="W42" s="28"/>
    </row>
    <row r="43" spans="1:23" x14ac:dyDescent="0.3">
      <c r="A43" s="7"/>
      <c r="B43" s="14" t="s">
        <v>28</v>
      </c>
      <c r="C43" s="356" t="s">
        <v>814</v>
      </c>
      <c r="D43" s="356"/>
      <c r="E43" s="356"/>
      <c r="F43" s="9"/>
      <c r="G43" s="8"/>
      <c r="H43" s="8"/>
      <c r="I43" s="8"/>
      <c r="J43" s="8"/>
      <c r="K43" s="8"/>
      <c r="L43" s="8"/>
      <c r="M43" s="8"/>
      <c r="N43" s="8"/>
      <c r="O43" s="8"/>
      <c r="P43" s="8"/>
      <c r="Q43" s="8"/>
      <c r="R43" s="8"/>
      <c r="S43" s="8"/>
      <c r="T43" s="8"/>
      <c r="U43" s="8"/>
      <c r="V43" s="8"/>
      <c r="W43" s="18" t="str">
        <f t="shared" si="0"/>
        <v>Qingdao, Foshan, Tianjin, Chengdu, Ningbo</v>
      </c>
    </row>
    <row r="44" spans="1:23" s="25" customFormat="1" ht="8" x14ac:dyDescent="0.2">
      <c r="A44" s="21"/>
      <c r="B44" s="26"/>
      <c r="C44" s="27"/>
      <c r="D44" s="27"/>
      <c r="E44" s="27"/>
      <c r="F44" s="23"/>
      <c r="G44" s="22"/>
      <c r="H44" s="22"/>
      <c r="I44" s="22"/>
      <c r="J44" s="22"/>
      <c r="K44" s="22"/>
      <c r="L44" s="22"/>
      <c r="M44" s="22"/>
      <c r="N44" s="22"/>
      <c r="O44" s="22"/>
      <c r="P44" s="22"/>
      <c r="Q44" s="22"/>
      <c r="R44" s="22"/>
      <c r="S44" s="22"/>
      <c r="T44" s="22"/>
      <c r="U44" s="22"/>
      <c r="V44" s="22"/>
      <c r="W44" s="28"/>
    </row>
    <row r="45" spans="1:23" ht="26" x14ac:dyDescent="0.3">
      <c r="A45" s="7"/>
      <c r="B45" s="16" t="s">
        <v>29</v>
      </c>
      <c r="C45" s="356" t="s">
        <v>815</v>
      </c>
      <c r="D45" s="356"/>
      <c r="E45" s="356"/>
      <c r="F45" s="9"/>
      <c r="G45" s="8"/>
      <c r="H45" s="8"/>
      <c r="I45" s="8"/>
      <c r="J45" s="8"/>
      <c r="K45" s="8"/>
      <c r="L45" s="8"/>
      <c r="M45" s="8"/>
      <c r="N45" s="8"/>
      <c r="O45" s="8"/>
      <c r="P45" s="8"/>
      <c r="Q45" s="8"/>
      <c r="R45" s="8"/>
      <c r="S45" s="8"/>
      <c r="T45" s="8"/>
      <c r="U45" s="8"/>
      <c r="V45" s="8"/>
      <c r="W45" s="18" t="str">
        <f t="shared" si="0"/>
        <v>FAW-VW(including Audi and VW models), SAIC, BMW, Volvo, BBAC, Chery, Geely, NIO, etc.</v>
      </c>
    </row>
    <row r="46" spans="1:23" s="25" customFormat="1" ht="8.5" thickBot="1" x14ac:dyDescent="0.25">
      <c r="A46" s="29"/>
      <c r="B46" s="30"/>
      <c r="C46" s="30"/>
      <c r="D46" s="30"/>
      <c r="E46" s="30"/>
      <c r="F46" s="32"/>
      <c r="G46" s="22"/>
      <c r="H46" s="22"/>
      <c r="I46" s="22"/>
      <c r="J46" s="22"/>
      <c r="K46" s="22"/>
      <c r="L46" s="22"/>
      <c r="M46" s="22"/>
      <c r="N46" s="22"/>
      <c r="O46" s="22"/>
      <c r="P46" s="22"/>
      <c r="Q46" s="22"/>
      <c r="R46" s="22"/>
      <c r="S46" s="22"/>
      <c r="T46" s="22"/>
      <c r="U46" s="22"/>
      <c r="V46" s="22"/>
      <c r="W46" s="24"/>
    </row>
    <row r="47" spans="1:23" s="25" customFormat="1" ht="8" hidden="1" x14ac:dyDescent="0.2">
      <c r="A47" s="50"/>
      <c r="B47" s="51"/>
      <c r="C47" s="51"/>
      <c r="D47" s="51"/>
      <c r="E47" s="51"/>
      <c r="F47" s="52"/>
      <c r="T47" s="24"/>
    </row>
    <row r="48" spans="1:23" s="258" customFormat="1" ht="11.5" hidden="1" x14ac:dyDescent="0.25">
      <c r="A48" s="254"/>
      <c r="B48" s="255" t="s">
        <v>30</v>
      </c>
      <c r="C48" s="256"/>
      <c r="D48" s="256"/>
      <c r="E48" s="256"/>
      <c r="F48" s="257"/>
      <c r="T48" s="259"/>
    </row>
    <row r="49" spans="1:20" s="263" customFormat="1" ht="4.5" hidden="1" x14ac:dyDescent="0.15">
      <c r="A49" s="260"/>
      <c r="B49" s="261"/>
      <c r="C49" s="261"/>
      <c r="D49" s="261"/>
      <c r="E49" s="261"/>
      <c r="F49" s="262"/>
      <c r="T49" s="264"/>
    </row>
    <row r="50" spans="1:20" s="258" customFormat="1" ht="11.5" hidden="1" x14ac:dyDescent="0.25">
      <c r="A50" s="254"/>
      <c r="B50" s="265" t="s">
        <v>31</v>
      </c>
      <c r="C50" s="265" t="s">
        <v>32</v>
      </c>
      <c r="D50" s="265"/>
      <c r="E50" s="265"/>
      <c r="F50" s="257"/>
      <c r="T50" s="259"/>
    </row>
    <row r="51" spans="1:20" s="258" customFormat="1" ht="11.5" hidden="1" x14ac:dyDescent="0.25">
      <c r="A51" s="254"/>
      <c r="B51" s="265" t="s">
        <v>33</v>
      </c>
      <c r="C51" s="265" t="s">
        <v>34</v>
      </c>
      <c r="D51" s="265"/>
      <c r="E51" s="265"/>
      <c r="F51" s="257"/>
      <c r="T51" s="259"/>
    </row>
    <row r="52" spans="1:20" s="25" customFormat="1" ht="8.5" hidden="1" thickBot="1" x14ac:dyDescent="0.25">
      <c r="A52" s="29"/>
      <c r="B52" s="30"/>
      <c r="C52" s="30"/>
      <c r="D52" s="30"/>
      <c r="E52" s="30"/>
      <c r="F52" s="32"/>
      <c r="T52" s="24"/>
    </row>
  </sheetData>
  <sheetProtection sheet="1" objects="1" scenarios="1" formatCells="0" formatColumns="0" formatRows="0"/>
  <mergeCells count="25">
    <mergeCell ref="A1:F1"/>
    <mergeCell ref="C16:E16"/>
    <mergeCell ref="E33:E35"/>
    <mergeCell ref="C28:E28"/>
    <mergeCell ref="C30:E30"/>
    <mergeCell ref="C18:E18"/>
    <mergeCell ref="C19:E19"/>
    <mergeCell ref="C21:E21"/>
    <mergeCell ref="C22:E22"/>
    <mergeCell ref="C39:E39"/>
    <mergeCell ref="C41:E41"/>
    <mergeCell ref="C43:E43"/>
    <mergeCell ref="C45:E45"/>
    <mergeCell ref="C8:E8"/>
    <mergeCell ref="C10:E10"/>
    <mergeCell ref="C11:E11"/>
    <mergeCell ref="C17:E17"/>
    <mergeCell ref="L13:N13"/>
    <mergeCell ref="C33:C34"/>
    <mergeCell ref="B33:B34"/>
    <mergeCell ref="L5:N6"/>
    <mergeCell ref="L7:N8"/>
    <mergeCell ref="L9:N12"/>
    <mergeCell ref="H3:J6"/>
    <mergeCell ref="L3:N4"/>
  </mergeCells>
  <conditionalFormatting sqref="E33">
    <cfRule type="cellIs" dxfId="147" priority="9" operator="equal">
      <formula>"A"</formula>
    </cfRule>
    <cfRule type="cellIs" dxfId="146" priority="10" operator="equal">
      <formula>"B"</formula>
    </cfRule>
    <cfRule type="cellIs" dxfId="145" priority="11" operator="equal">
      <formula>"C"</formula>
    </cfRule>
  </conditionalFormatting>
  <conditionalFormatting sqref="C33">
    <cfRule type="expression" dxfId="144" priority="2">
      <formula>$F$33=1</formula>
    </cfRule>
    <cfRule type="cellIs" dxfId="143" priority="7" operator="greaterThanOrEqual">
      <formula>A_min</formula>
    </cfRule>
    <cfRule type="cellIs" dxfId="142" priority="8" operator="lessThan">
      <formula>B_min</formula>
    </cfRule>
  </conditionalFormatting>
  <dataValidations count="4">
    <dataValidation allowBlank="1" showInputMessage="1" showErrorMessage="1" errorTitle="Land auswählen" error="Bitte wählen Sie ein Land aus der Liste" sqref="C15" xr:uid="{00000000-0002-0000-0000-000000000000}"/>
    <dataValidation type="date" allowBlank="1" showInputMessage="1" showErrorMessage="1" errorTitle="Datum eingeben" error="Bitte geben Sie ein gültiges Datum ein." sqref="C4" xr:uid="{00000000-0002-0000-0000-000001000000}">
      <formula1>32874</formula1>
      <formula2>365245</formula2>
    </dataValidation>
    <dataValidation type="whole" allowBlank="1" showInputMessage="1" showErrorMessage="1" sqref="L7" xr:uid="{00000000-0002-0000-0000-000002000000}">
      <formula1>0</formula1>
      <formula2>999999</formula2>
    </dataValidation>
    <dataValidation type="decimal" allowBlank="1" showInputMessage="1" showErrorMessage="1" sqref="L13" xr:uid="{00000000-0002-0000-0000-000003000000}">
      <formula1>0</formula1>
      <formula2>1</formula2>
    </dataValidation>
  </dataValidations>
  <printOptions horizontalCentered="1"/>
  <pageMargins left="0.70866141732283472" right="0.70866141732283472" top="0.9055118110236221" bottom="0.78740157480314965" header="0.31496062992125984" footer="0.31496062992125984"/>
  <pageSetup paperSize="9" scale="99"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drawing r:id="rId2"/>
  <legacyDrawing r:id="rId3"/>
  <legacyDrawingHF r:id="rId4"/>
  <controls>
    <mc:AlternateContent xmlns:mc="http://schemas.openxmlformats.org/markup-compatibility/2006">
      <mc:Choice Requires="x14">
        <control shapeId="12308" r:id="rId5" name="CheckBox_JIS">
          <controlPr defaultSize="0" autoLine="0" r:id="rId6">
            <anchor moveWithCells="1" sizeWithCells="1">
              <from>
                <xdr:col>2</xdr:col>
                <xdr:colOff>50800</xdr:colOff>
                <xdr:row>5</xdr:row>
                <xdr:rowOff>317500</xdr:rowOff>
              </from>
              <to>
                <xdr:col>2</xdr:col>
                <xdr:colOff>1517650</xdr:colOff>
                <xdr:row>5</xdr:row>
                <xdr:rowOff>565150</xdr:rowOff>
              </to>
            </anchor>
          </controlPr>
        </control>
      </mc:Choice>
      <mc:Fallback>
        <control shapeId="12308" r:id="rId5" name="CheckBox_JIS"/>
      </mc:Fallback>
    </mc:AlternateContent>
    <mc:AlternateContent xmlns:mc="http://schemas.openxmlformats.org/markup-compatibility/2006">
      <mc:Choice Requires="x14">
        <control shapeId="12307" r:id="rId7" name="ButtonFormat">
          <controlPr defaultSize="0" print="0" autoLine="0" r:id="rId8">
            <anchor moveWithCells="1">
              <from>
                <xdr:col>7</xdr:col>
                <xdr:colOff>260350</xdr:colOff>
                <xdr:row>17</xdr:row>
                <xdr:rowOff>0</xdr:rowOff>
              </from>
              <to>
                <xdr:col>9</xdr:col>
                <xdr:colOff>615950</xdr:colOff>
                <xdr:row>20</xdr:row>
                <xdr:rowOff>12700</xdr:rowOff>
              </to>
            </anchor>
          </controlPr>
        </control>
      </mc:Choice>
      <mc:Fallback>
        <control shapeId="12307" r:id="rId7" name="ButtonFormat"/>
      </mc:Fallback>
    </mc:AlternateContent>
    <mc:AlternateContent xmlns:mc="http://schemas.openxmlformats.org/markup-compatibility/2006">
      <mc:Choice Requires="x14">
        <control shapeId="12300" r:id="rId9" name="CheckBox_VL">
          <controlPr defaultSize="0" autoLine="0" r:id="rId10">
            <anchor moveWithCells="1" sizeWithCells="1">
              <from>
                <xdr:col>2</xdr:col>
                <xdr:colOff>1733550</xdr:colOff>
                <xdr:row>5</xdr:row>
                <xdr:rowOff>50800</xdr:rowOff>
              </from>
              <to>
                <xdr:col>4</xdr:col>
                <xdr:colOff>704850</xdr:colOff>
                <xdr:row>5</xdr:row>
                <xdr:rowOff>298450</xdr:rowOff>
              </to>
            </anchor>
          </controlPr>
        </control>
      </mc:Choice>
      <mc:Fallback>
        <control shapeId="12300" r:id="rId9" name="CheckBox_VL"/>
      </mc:Fallback>
    </mc:AlternateContent>
    <mc:AlternateContent xmlns:mc="http://schemas.openxmlformats.org/markup-compatibility/2006">
      <mc:Choice Requires="x14">
        <control shapeId="12297" r:id="rId11" name="CheckBox_ALK">
          <controlPr defaultSize="0" autoLine="0" r:id="rId12">
            <anchor moveWithCells="1" sizeWithCells="1">
              <from>
                <xdr:col>2</xdr:col>
                <xdr:colOff>50800</xdr:colOff>
                <xdr:row>5</xdr:row>
                <xdr:rowOff>50800</xdr:rowOff>
              </from>
              <to>
                <xdr:col>2</xdr:col>
                <xdr:colOff>1517650</xdr:colOff>
                <xdr:row>5</xdr:row>
                <xdr:rowOff>298450</xdr:rowOff>
              </to>
            </anchor>
          </controlPr>
        </control>
      </mc:Choice>
      <mc:Fallback>
        <control shapeId="12297" r:id="rId11" name="CheckBox_ALK"/>
      </mc:Fallback>
    </mc:AlternateContent>
    <mc:AlternateContent xmlns:mc="http://schemas.openxmlformats.org/markup-compatibility/2006">
      <mc:Choice Requires="x14">
        <control shapeId="12291" r:id="rId13" name="Alles_speichern">
          <controlPr defaultSize="0" print="0" autoLine="0" r:id="rId14">
            <anchor moveWithCells="1">
              <from>
                <xdr:col>7</xdr:col>
                <xdr:colOff>260350</xdr:colOff>
                <xdr:row>12</xdr:row>
                <xdr:rowOff>0</xdr:rowOff>
              </from>
              <to>
                <xdr:col>9</xdr:col>
                <xdr:colOff>615950</xdr:colOff>
                <xdr:row>15</xdr:row>
                <xdr:rowOff>0</xdr:rowOff>
              </to>
            </anchor>
          </controlPr>
        </control>
      </mc:Choice>
      <mc:Fallback>
        <control shapeId="12291" r:id="rId13" name="Alles_speichern"/>
      </mc:Fallback>
    </mc:AlternateContent>
    <mc:AlternateContent xmlns:mc="http://schemas.openxmlformats.org/markup-compatibility/2006">
      <mc:Choice Requires="x14">
        <control shapeId="12290" r:id="rId15" name="Ergebnis_speichern_Prozess">
          <controlPr defaultSize="0" print="0" autoLine="0" r:id="rId16">
            <anchor moveWithCells="1">
              <from>
                <xdr:col>7</xdr:col>
                <xdr:colOff>260350</xdr:colOff>
                <xdr:row>8</xdr:row>
                <xdr:rowOff>0</xdr:rowOff>
              </from>
              <to>
                <xdr:col>9</xdr:col>
                <xdr:colOff>615950</xdr:colOff>
                <xdr:row>11</xdr:row>
                <xdr:rowOff>19050</xdr:rowOff>
              </to>
            </anchor>
          </controlPr>
        </control>
      </mc:Choice>
      <mc:Fallback>
        <control shapeId="12290" r:id="rId15" name="Ergebnis_speichern_Prozess"/>
      </mc:Fallback>
    </mc:AlternateContent>
    <mc:AlternateContent xmlns:mc="http://schemas.openxmlformats.org/markup-compatibility/2006">
      <mc:Choice Requires="x14">
        <control shapeId="12289" r:id="rId17" name="Moduluebersicht_speichern">
          <controlPr defaultSize="0" print="0" autoLine="0" r:id="rId18">
            <anchor moveWithCells="1">
              <from>
                <xdr:col>7</xdr:col>
                <xdr:colOff>260350</xdr:colOff>
                <xdr:row>5</xdr:row>
                <xdr:rowOff>342900</xdr:rowOff>
              </from>
              <to>
                <xdr:col>9</xdr:col>
                <xdr:colOff>615950</xdr:colOff>
                <xdr:row>7</xdr:row>
                <xdr:rowOff>177800</xdr:rowOff>
              </to>
            </anchor>
          </controlPr>
        </control>
      </mc:Choice>
      <mc:Fallback>
        <control shapeId="12289" r:id="rId17" name="Moduluebersicht_speicher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Land auswählen" error="Bitte wählen Sie ein Land aus der Liste" xr:uid="{00000000-0002-0000-0000-000004000000}">
          <x14:formula1>
            <xm:f>Datenquelle!A5:A501</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pageSetUpPr fitToPage="1"/>
  </sheetPr>
  <dimension ref="A1:AP242"/>
  <sheetViews>
    <sheetView zoomScaleNormal="100" workbookViewId="0">
      <selection activeCell="G6" sqref="G6"/>
    </sheetView>
  </sheetViews>
  <sheetFormatPr defaultColWidth="11" defaultRowHeight="13" x14ac:dyDescent="0.3"/>
  <cols>
    <col min="1" max="1" width="28.25" style="1" bestFit="1" customWidth="1"/>
    <col min="2" max="2" width="4.08203125" style="1" bestFit="1" customWidth="1"/>
    <col min="3" max="3" width="1.75" style="131" customWidth="1"/>
    <col min="4" max="4" width="4.5" style="1" bestFit="1" customWidth="1"/>
    <col min="5" max="5" width="7.83203125" style="1" bestFit="1" customWidth="1"/>
    <col min="6" max="7" width="7.58203125" style="1" bestFit="1" customWidth="1"/>
    <col min="8" max="8" width="1.75" style="1" customWidth="1"/>
    <col min="9" max="9" width="3.08203125" style="1" bestFit="1" customWidth="1"/>
    <col min="10" max="12" width="7.83203125" style="1" bestFit="1" customWidth="1"/>
    <col min="13" max="13" width="2.58203125" style="1" bestFit="1" customWidth="1"/>
    <col min="14" max="14" width="3.08203125" style="1" bestFit="1" customWidth="1"/>
    <col min="15" max="17" width="7.83203125" style="1" bestFit="1" customWidth="1"/>
    <col min="18" max="18" width="2.58203125" style="1" bestFit="1" customWidth="1"/>
    <col min="19" max="19" width="3.08203125" style="1" bestFit="1" customWidth="1"/>
    <col min="20" max="22" width="7.83203125" style="1" bestFit="1" customWidth="1"/>
    <col min="23" max="23" width="2.58203125" style="1" bestFit="1" customWidth="1"/>
    <col min="24" max="24" width="5.33203125" style="1" bestFit="1" customWidth="1"/>
    <col min="25" max="27" width="7.83203125" style="1" bestFit="1" customWidth="1"/>
    <col min="28" max="28" width="2.58203125" style="1" bestFit="1" customWidth="1"/>
    <col min="29" max="29" width="7" style="1" bestFit="1" customWidth="1"/>
    <col min="30" max="32" width="7.83203125" style="1" bestFit="1" customWidth="1"/>
    <col min="33" max="33" width="3.33203125" style="1" customWidth="1"/>
    <col min="34" max="34" width="4.5" style="1" bestFit="1" customWidth="1"/>
    <col min="35" max="37" width="7.83203125" style="1" bestFit="1" customWidth="1"/>
    <col min="38" max="38" width="2.58203125" style="131" bestFit="1" customWidth="1"/>
    <col min="39" max="39" width="27.25" style="1" bestFit="1" customWidth="1"/>
    <col min="40" max="40" width="9.33203125" style="1" bestFit="1" customWidth="1"/>
    <col min="41" max="41" width="9.83203125" style="1" bestFit="1" customWidth="1"/>
    <col min="42" max="42" width="11" style="1" customWidth="1"/>
    <col min="43" max="16384" width="11" style="1"/>
  </cols>
  <sheetData>
    <row r="1" spans="1:42" s="167" customFormat="1" ht="10.5" x14ac:dyDescent="0.25">
      <c r="A1" s="166">
        <v>1</v>
      </c>
      <c r="B1" s="167">
        <v>2</v>
      </c>
      <c r="C1" s="166">
        <v>3</v>
      </c>
      <c r="D1" s="166">
        <v>4</v>
      </c>
      <c r="E1" s="167">
        <v>5</v>
      </c>
      <c r="F1" s="166">
        <v>6</v>
      </c>
      <c r="G1" s="166">
        <v>7</v>
      </c>
      <c r="H1" s="167">
        <v>8</v>
      </c>
      <c r="I1" s="166">
        <v>9</v>
      </c>
      <c r="J1" s="166">
        <v>10</v>
      </c>
      <c r="K1" s="167">
        <v>11</v>
      </c>
      <c r="L1" s="166">
        <v>12</v>
      </c>
      <c r="M1" s="166">
        <v>13</v>
      </c>
      <c r="N1" s="167">
        <v>14</v>
      </c>
      <c r="O1" s="166">
        <v>15</v>
      </c>
      <c r="P1" s="166">
        <v>16</v>
      </c>
      <c r="Q1" s="167">
        <v>17</v>
      </c>
      <c r="R1" s="166">
        <v>18</v>
      </c>
      <c r="S1" s="166">
        <v>19</v>
      </c>
      <c r="T1" s="167">
        <v>20</v>
      </c>
      <c r="U1" s="166">
        <v>21</v>
      </c>
      <c r="V1" s="166">
        <v>22</v>
      </c>
      <c r="W1" s="167">
        <v>23</v>
      </c>
      <c r="X1" s="166">
        <v>24</v>
      </c>
      <c r="Y1" s="166">
        <v>25</v>
      </c>
      <c r="Z1" s="167">
        <v>26</v>
      </c>
      <c r="AA1" s="166">
        <v>27</v>
      </c>
      <c r="AB1" s="166">
        <v>28</v>
      </c>
      <c r="AC1" s="167">
        <v>29</v>
      </c>
      <c r="AD1" s="166">
        <v>30</v>
      </c>
      <c r="AE1" s="166">
        <v>31</v>
      </c>
      <c r="AF1" s="167">
        <v>32</v>
      </c>
      <c r="AG1" s="166">
        <v>33</v>
      </c>
      <c r="AH1" s="166">
        <v>34</v>
      </c>
      <c r="AI1" s="167">
        <v>35</v>
      </c>
      <c r="AJ1" s="166">
        <v>36</v>
      </c>
      <c r="AK1" s="166">
        <v>37</v>
      </c>
      <c r="AL1" s="167">
        <v>38</v>
      </c>
      <c r="AM1" s="166">
        <v>39</v>
      </c>
      <c r="AN1" s="166">
        <v>40</v>
      </c>
      <c r="AO1" s="167">
        <v>41</v>
      </c>
      <c r="AP1" s="166">
        <v>42</v>
      </c>
    </row>
    <row r="2" spans="1:42" ht="18" x14ac:dyDescent="0.4">
      <c r="A2" s="367" t="s">
        <v>53</v>
      </c>
      <c r="B2" s="367"/>
      <c r="D2" s="367" t="s">
        <v>54</v>
      </c>
      <c r="E2" s="367"/>
      <c r="F2" s="367"/>
      <c r="G2" s="367"/>
      <c r="I2" s="367" t="s">
        <v>55</v>
      </c>
      <c r="J2" s="367"/>
      <c r="K2" s="367"/>
      <c r="L2" s="367"/>
      <c r="N2" s="367" t="s">
        <v>56</v>
      </c>
      <c r="O2" s="367"/>
      <c r="P2" s="367"/>
      <c r="Q2" s="367"/>
      <c r="S2" s="367" t="s">
        <v>57</v>
      </c>
      <c r="T2" s="367"/>
      <c r="U2" s="367"/>
      <c r="V2" s="367"/>
      <c r="X2" s="367" t="s">
        <v>58</v>
      </c>
      <c r="Y2" s="367"/>
      <c r="Z2" s="367"/>
      <c r="AA2" s="367"/>
      <c r="AC2" s="367" t="s">
        <v>59</v>
      </c>
      <c r="AD2" s="367"/>
      <c r="AE2" s="367"/>
      <c r="AF2" s="367"/>
      <c r="AH2" s="367" t="s">
        <v>60</v>
      </c>
      <c r="AI2" s="367"/>
      <c r="AJ2" s="367"/>
      <c r="AK2" s="367"/>
      <c r="AM2" s="367" t="s">
        <v>61</v>
      </c>
      <c r="AN2" s="367"/>
      <c r="AO2" s="367"/>
      <c r="AP2" s="367"/>
    </row>
    <row r="4" spans="1:42" ht="52.5" x14ac:dyDescent="0.3">
      <c r="A4" s="11" t="s">
        <v>62</v>
      </c>
      <c r="B4" s="11" t="s">
        <v>63</v>
      </c>
      <c r="D4" s="202" t="s">
        <v>64</v>
      </c>
      <c r="E4" s="202" t="s">
        <v>65</v>
      </c>
      <c r="F4" s="202" t="s">
        <v>66</v>
      </c>
      <c r="G4" s="202" t="s">
        <v>67</v>
      </c>
      <c r="H4" s="203"/>
      <c r="I4" s="202" t="s">
        <v>64</v>
      </c>
      <c r="J4" s="202" t="s">
        <v>65</v>
      </c>
      <c r="K4" s="202" t="s">
        <v>66</v>
      </c>
      <c r="L4" s="202" t="s">
        <v>67</v>
      </c>
      <c r="M4" s="203"/>
      <c r="N4" s="202" t="s">
        <v>64</v>
      </c>
      <c r="O4" s="202" t="s">
        <v>65</v>
      </c>
      <c r="P4" s="202" t="s">
        <v>66</v>
      </c>
      <c r="Q4" s="202" t="s">
        <v>67</v>
      </c>
      <c r="R4" s="203"/>
      <c r="S4" s="202" t="s">
        <v>64</v>
      </c>
      <c r="T4" s="202" t="s">
        <v>65</v>
      </c>
      <c r="U4" s="202" t="s">
        <v>66</v>
      </c>
      <c r="V4" s="202" t="s">
        <v>67</v>
      </c>
      <c r="W4" s="203"/>
      <c r="X4" s="202" t="s">
        <v>64</v>
      </c>
      <c r="Y4" s="202" t="s">
        <v>65</v>
      </c>
      <c r="Z4" s="202" t="s">
        <v>66</v>
      </c>
      <c r="AA4" s="202" t="s">
        <v>67</v>
      </c>
      <c r="AB4" s="203"/>
      <c r="AC4" s="202" t="s">
        <v>64</v>
      </c>
      <c r="AD4" s="202" t="s">
        <v>65</v>
      </c>
      <c r="AE4" s="202" t="s">
        <v>66</v>
      </c>
      <c r="AF4" s="202" t="s">
        <v>67</v>
      </c>
      <c r="AG4" s="203"/>
      <c r="AH4" s="202" t="s">
        <v>64</v>
      </c>
      <c r="AI4" s="202" t="s">
        <v>65</v>
      </c>
      <c r="AJ4" s="202" t="s">
        <v>66</v>
      </c>
      <c r="AK4" s="202" t="s">
        <v>67</v>
      </c>
      <c r="AM4" s="58" t="s">
        <v>68</v>
      </c>
      <c r="AN4" s="56" t="s">
        <v>69</v>
      </c>
      <c r="AO4" s="56" t="s">
        <v>70</v>
      </c>
      <c r="AP4" s="58" t="s">
        <v>71</v>
      </c>
    </row>
    <row r="5" spans="1:42" x14ac:dyDescent="0.3">
      <c r="A5" s="12" t="s">
        <v>13</v>
      </c>
      <c r="B5" s="11" t="s">
        <v>72</v>
      </c>
      <c r="D5" s="268" t="s">
        <v>73</v>
      </c>
      <c r="E5" s="192">
        <v>0.15</v>
      </c>
      <c r="F5" s="192">
        <f>SUMIF(F7:F13,"&lt;6",E7:E13)</f>
        <v>0</v>
      </c>
      <c r="G5" s="192">
        <f>IF(COUNTIF(F7:F13,6)&lt;=Max_Nichtantworten+(COUNTA(D7:D13)-F$6),SUM(G7:G13),0)</f>
        <v>0</v>
      </c>
      <c r="I5" s="268" t="s">
        <v>73</v>
      </c>
      <c r="J5" s="192">
        <v>0.14000000000000001</v>
      </c>
      <c r="K5" s="192">
        <f>SUMIF(K7:K11,"&lt;6",J7:J11)</f>
        <v>0</v>
      </c>
      <c r="L5" s="192">
        <f>IF(COUNTIF(K7:K11,6)&lt;=Max_Nichtantworten+(COUNTA(I7:I11)-K$6),SUM(L7:L11),0)</f>
        <v>0</v>
      </c>
      <c r="N5" s="268" t="s">
        <v>73</v>
      </c>
      <c r="O5" s="192">
        <v>0.15</v>
      </c>
      <c r="P5" s="192">
        <f>SUMIF(P7:P12,"&lt;6",O7:O12)</f>
        <v>0</v>
      </c>
      <c r="Q5" s="192">
        <f>IF(COUNTIF(P7:P12,6)&lt;=Max_Nichtantworten+(COUNTA(N7:N12)-P$6),SUM(Q7:Q12),0)</f>
        <v>0</v>
      </c>
      <c r="S5" s="268" t="s">
        <v>73</v>
      </c>
      <c r="T5" s="192">
        <v>0.16</v>
      </c>
      <c r="U5" s="192">
        <f>SUMIF(U7:U13,"&lt;6",T7:T13)</f>
        <v>0</v>
      </c>
      <c r="V5" s="192">
        <f>IF(COUNTIF(U7:U13,6)&lt;=Max_Nichtantworten+(COUNTA(S7:S13)-U$6),SUM(V7:V13),0)</f>
        <v>0</v>
      </c>
      <c r="X5" s="268" t="s">
        <v>73</v>
      </c>
      <c r="Y5" s="192">
        <v>0.14000000000000001</v>
      </c>
      <c r="Z5" s="192">
        <f>SUMIF(Z7:Z12,"&lt;6",Y7:Y12)</f>
        <v>0</v>
      </c>
      <c r="AA5" s="192">
        <f>IF(COUNTIF(Z7:Z12,6)&lt;=Max_Nichtantworten+(COUNTA(X7:X12)-Z$6),SUM(AA7:AA12),0)</f>
        <v>0</v>
      </c>
      <c r="AC5" s="268" t="s">
        <v>73</v>
      </c>
      <c r="AD5" s="192">
        <v>0.1</v>
      </c>
      <c r="AE5" s="192">
        <f>SUMIF(AE7:AE11,"&lt;6",AD7:AD11)</f>
        <v>0</v>
      </c>
      <c r="AF5" s="192">
        <f>IF(COUNTIF(AE7:AE11,6)&lt;=Max_Nichtantworten+(COUNTA(AC7:AC11)-AE$6),SUM(AF7:AF11),0)</f>
        <v>0</v>
      </c>
      <c r="AH5" s="268" t="s">
        <v>73</v>
      </c>
      <c r="AI5" s="192">
        <v>0.16</v>
      </c>
      <c r="AJ5" s="192">
        <f>SUMIF(AJ7:AJ12,"&lt;6",AI7:AI12)</f>
        <v>0</v>
      </c>
      <c r="AK5" s="192">
        <f>IF(COUNTIF(AJ7:AJ12,6)&lt;=Max_Nichtantworten+(COUNTA(AH7:AH12)-AJ$6),SUM(AK7:AK12),0)</f>
        <v>0</v>
      </c>
      <c r="AM5" s="1" t="s">
        <v>74</v>
      </c>
      <c r="AN5" s="1">
        <v>1</v>
      </c>
      <c r="AO5" s="1">
        <v>10</v>
      </c>
      <c r="AP5" s="94" t="s">
        <v>75</v>
      </c>
    </row>
    <row r="6" spans="1:42" x14ac:dyDescent="0.3">
      <c r="A6" s="13" t="s">
        <v>76</v>
      </c>
      <c r="B6" s="13" t="s">
        <v>77</v>
      </c>
      <c r="D6" s="370" t="s">
        <v>78</v>
      </c>
      <c r="E6" s="370"/>
      <c r="F6" s="74">
        <v>7</v>
      </c>
      <c r="G6" s="74"/>
      <c r="I6" s="370" t="s">
        <v>78</v>
      </c>
      <c r="J6" s="370"/>
      <c r="K6" s="74">
        <v>5</v>
      </c>
      <c r="L6" s="74"/>
      <c r="N6" s="370" t="s">
        <v>78</v>
      </c>
      <c r="O6" s="370"/>
      <c r="P6" s="74">
        <v>6</v>
      </c>
      <c r="Q6" s="74"/>
      <c r="S6" s="370" t="s">
        <v>78</v>
      </c>
      <c r="T6" s="370"/>
      <c r="U6" s="74">
        <v>7</v>
      </c>
      <c r="V6" s="193"/>
      <c r="X6" s="370" t="s">
        <v>78</v>
      </c>
      <c r="Y6" s="370"/>
      <c r="Z6" s="74">
        <v>6</v>
      </c>
      <c r="AA6" s="74"/>
      <c r="AC6" s="370" t="s">
        <v>78</v>
      </c>
      <c r="AD6" s="370"/>
      <c r="AE6" s="74">
        <v>5</v>
      </c>
      <c r="AF6" s="74"/>
      <c r="AH6" s="370" t="s">
        <v>78</v>
      </c>
      <c r="AI6" s="370"/>
      <c r="AJ6" s="74">
        <v>6</v>
      </c>
      <c r="AK6" s="74"/>
      <c r="AM6" s="1" t="s">
        <v>79</v>
      </c>
      <c r="AN6" s="1">
        <v>2</v>
      </c>
      <c r="AO6" s="1">
        <f>AO5-Schrittweite*10</f>
        <v>8</v>
      </c>
      <c r="AP6" s="94" t="s">
        <v>80</v>
      </c>
    </row>
    <row r="7" spans="1:42" x14ac:dyDescent="0.3">
      <c r="A7" s="13" t="s">
        <v>81</v>
      </c>
      <c r="B7" s="13" t="s">
        <v>82</v>
      </c>
      <c r="D7" s="57" t="s">
        <v>83</v>
      </c>
      <c r="E7" s="63">
        <v>2.1000000000000001E-2</v>
      </c>
      <c r="F7" s="62">
        <v>6</v>
      </c>
      <c r="G7" s="64">
        <f t="shared" ref="G7:G13" si="0">IFERROR(VLOOKUP(F7,$AN$5:$AO$10,2,FALSE)/10*E7,0)</f>
        <v>0</v>
      </c>
      <c r="I7" s="57" t="s">
        <v>84</v>
      </c>
      <c r="J7" s="63">
        <v>3.3000000000000002E-2</v>
      </c>
      <c r="K7" s="62">
        <v>6</v>
      </c>
      <c r="L7" s="64">
        <f>IFERROR(VLOOKUP(K7,$AN$5:$AO$10,2,FALSE)/10*J7,0)</f>
        <v>0</v>
      </c>
      <c r="N7" s="204" t="s">
        <v>85</v>
      </c>
      <c r="O7" s="63">
        <v>3.2000000000000001E-2</v>
      </c>
      <c r="P7" s="62">
        <v>6</v>
      </c>
      <c r="Q7" s="64">
        <f t="shared" ref="Q7:Q12" si="1">IFERROR(VLOOKUP(P7,$AN$5:$AO$10,2,FALSE)/10*O7,0)</f>
        <v>0</v>
      </c>
      <c r="S7" s="57" t="s">
        <v>86</v>
      </c>
      <c r="T7" s="63">
        <v>2.1999999999999999E-2</v>
      </c>
      <c r="U7" s="62">
        <v>6</v>
      </c>
      <c r="V7" s="64">
        <f t="shared" ref="V7:V12" si="2">IFERROR(VLOOKUP(U7,$AN$5:$AO$10,2,FALSE)/10*T7,0)</f>
        <v>0</v>
      </c>
      <c r="X7" s="57" t="s">
        <v>87</v>
      </c>
      <c r="Y7" s="63">
        <v>2.8000000000000001E-2</v>
      </c>
      <c r="Z7" s="62">
        <v>6</v>
      </c>
      <c r="AA7" s="64">
        <f t="shared" ref="AA7:AA12" si="3">IFERROR(VLOOKUP(Z7,$AN$5:$AO$10,2,FALSE)/10*Y7,0)</f>
        <v>0</v>
      </c>
      <c r="AC7" s="204" t="s">
        <v>88</v>
      </c>
      <c r="AD7" s="63">
        <v>2.9000000000000001E-2</v>
      </c>
      <c r="AE7" s="62">
        <v>6</v>
      </c>
      <c r="AF7" s="64">
        <f>IFERROR(VLOOKUP(AE7,$AN$5:$AO$10,2,FALSE)/10*AD7,0)</f>
        <v>0</v>
      </c>
      <c r="AG7" s="208"/>
      <c r="AH7" s="204" t="s">
        <v>89</v>
      </c>
      <c r="AI7" s="63">
        <v>0.03</v>
      </c>
      <c r="AJ7" s="62">
        <v>6</v>
      </c>
      <c r="AK7" s="64">
        <f t="shared" ref="AK7:AK12" si="4">IFERROR(VLOOKUP(AJ7,$AN$5:$AO$10,2,FALSE)/10*AI7,0)</f>
        <v>0</v>
      </c>
      <c r="AM7" s="1" t="s">
        <v>90</v>
      </c>
      <c r="AN7" s="1">
        <v>3</v>
      </c>
      <c r="AO7" s="1">
        <f>AO6-Schrittweite*10</f>
        <v>6</v>
      </c>
      <c r="AP7" s="201" t="s">
        <v>91</v>
      </c>
    </row>
    <row r="8" spans="1:42" x14ac:dyDescent="0.3">
      <c r="A8" s="13" t="s">
        <v>92</v>
      </c>
      <c r="B8" s="13" t="s">
        <v>93</v>
      </c>
      <c r="D8" s="57" t="s">
        <v>94</v>
      </c>
      <c r="E8" s="63">
        <v>2.8000000000000001E-2</v>
      </c>
      <c r="F8" s="62">
        <v>6</v>
      </c>
      <c r="G8" s="64">
        <f t="shared" si="0"/>
        <v>0</v>
      </c>
      <c r="I8" s="57" t="s">
        <v>95</v>
      </c>
      <c r="J8" s="63">
        <v>2.9000000000000001E-2</v>
      </c>
      <c r="K8" s="62">
        <v>6</v>
      </c>
      <c r="L8" s="64">
        <f>IFERROR(VLOOKUP(K8,$AN$5:$AO$10,2,FALSE)/10*J8,0)</f>
        <v>0</v>
      </c>
      <c r="N8" s="204" t="s">
        <v>96</v>
      </c>
      <c r="O8" s="63">
        <v>1.9E-2</v>
      </c>
      <c r="P8" s="62">
        <v>6</v>
      </c>
      <c r="Q8" s="64">
        <f t="shared" si="1"/>
        <v>0</v>
      </c>
      <c r="S8" s="57" t="s">
        <v>97</v>
      </c>
      <c r="T8" s="63">
        <v>1.7000000000000001E-2</v>
      </c>
      <c r="U8" s="62">
        <v>6</v>
      </c>
      <c r="V8" s="64">
        <f t="shared" si="2"/>
        <v>0</v>
      </c>
      <c r="X8" s="57" t="s">
        <v>98</v>
      </c>
      <c r="Y8" s="63">
        <v>0.03</v>
      </c>
      <c r="Z8" s="62">
        <v>6</v>
      </c>
      <c r="AA8" s="64">
        <f t="shared" si="3"/>
        <v>0</v>
      </c>
      <c r="AC8" s="204" t="s">
        <v>99</v>
      </c>
      <c r="AD8" s="63">
        <v>8.9999999999999993E-3</v>
      </c>
      <c r="AE8" s="206">
        <v>6</v>
      </c>
      <c r="AF8" s="64">
        <f t="shared" ref="AF8" si="5">IFERROR(VLOOKUP(AE8,$AN$5:$AO$10,2,FALSE)/10*AD8,0)</f>
        <v>0</v>
      </c>
      <c r="AG8" s="208"/>
      <c r="AH8" s="204" t="s">
        <v>100</v>
      </c>
      <c r="AI8" s="63">
        <v>2.5999999999999999E-2</v>
      </c>
      <c r="AJ8" s="62">
        <v>6</v>
      </c>
      <c r="AK8" s="64">
        <f t="shared" si="4"/>
        <v>0</v>
      </c>
      <c r="AM8" s="1" t="s">
        <v>101</v>
      </c>
      <c r="AN8" s="1">
        <v>4</v>
      </c>
      <c r="AO8" s="1">
        <f>AO7-Schrittweite*10</f>
        <v>4</v>
      </c>
      <c r="AP8" s="94" t="s">
        <v>102</v>
      </c>
    </row>
    <row r="9" spans="1:42" x14ac:dyDescent="0.3">
      <c r="A9" s="13" t="s">
        <v>103</v>
      </c>
      <c r="B9" s="13" t="s">
        <v>104</v>
      </c>
      <c r="D9" s="57" t="s">
        <v>105</v>
      </c>
      <c r="E9" s="63">
        <v>1.7999999999999999E-2</v>
      </c>
      <c r="F9" s="62">
        <v>6</v>
      </c>
      <c r="G9" s="64">
        <f t="shared" si="0"/>
        <v>0</v>
      </c>
      <c r="I9" s="57" t="s">
        <v>106</v>
      </c>
      <c r="J9" s="63">
        <v>3.4000000000000002E-2</v>
      </c>
      <c r="K9" s="62">
        <v>6</v>
      </c>
      <c r="L9" s="64">
        <f>IFERROR(VLOOKUP(K9,$AN$5:$AO$10,2,FALSE)/10*J9,0)</f>
        <v>0</v>
      </c>
      <c r="N9" s="204" t="s">
        <v>107</v>
      </c>
      <c r="O9" s="63">
        <v>0.02</v>
      </c>
      <c r="P9" s="62">
        <v>6</v>
      </c>
      <c r="Q9" s="64">
        <f t="shared" si="1"/>
        <v>0</v>
      </c>
      <c r="S9" s="57" t="s">
        <v>108</v>
      </c>
      <c r="T9" s="63">
        <v>2.5000000000000001E-2</v>
      </c>
      <c r="U9" s="62">
        <v>6</v>
      </c>
      <c r="V9" s="64">
        <f t="shared" si="2"/>
        <v>0</v>
      </c>
      <c r="X9" s="57" t="s">
        <v>109</v>
      </c>
      <c r="Y9" s="63">
        <v>0.02</v>
      </c>
      <c r="Z9" s="62">
        <v>6</v>
      </c>
      <c r="AA9" s="64">
        <f t="shared" si="3"/>
        <v>0</v>
      </c>
      <c r="AC9" s="204" t="s">
        <v>110</v>
      </c>
      <c r="AD9" s="63">
        <v>2.1000000000000001E-2</v>
      </c>
      <c r="AE9" s="206">
        <v>6</v>
      </c>
      <c r="AF9" s="64">
        <f>IFERROR(VLOOKUP(AE9,$AN$5:$AO$10,2,FALSE)/10*AD9,0)</f>
        <v>0</v>
      </c>
      <c r="AG9" s="208"/>
      <c r="AH9" s="204" t="s">
        <v>111</v>
      </c>
      <c r="AI9" s="63">
        <v>3.4000000000000002E-2</v>
      </c>
      <c r="AJ9" s="62">
        <v>6</v>
      </c>
      <c r="AK9" s="64">
        <f t="shared" si="4"/>
        <v>0</v>
      </c>
      <c r="AM9" s="1" t="s">
        <v>112</v>
      </c>
      <c r="AN9" s="1">
        <v>5</v>
      </c>
      <c r="AO9" s="1">
        <v>0</v>
      </c>
      <c r="AP9" s="94" t="s">
        <v>113</v>
      </c>
    </row>
    <row r="10" spans="1:42" x14ac:dyDescent="0.3">
      <c r="A10" s="13" t="s">
        <v>114</v>
      </c>
      <c r="B10" s="13" t="s">
        <v>115</v>
      </c>
      <c r="D10" s="57" t="s">
        <v>116</v>
      </c>
      <c r="E10" s="63">
        <v>1.9E-2</v>
      </c>
      <c r="F10" s="62">
        <v>6</v>
      </c>
      <c r="G10" s="64">
        <f t="shared" si="0"/>
        <v>0</v>
      </c>
      <c r="I10" s="57" t="s">
        <v>117</v>
      </c>
      <c r="J10" s="63">
        <v>2.1999999999999999E-2</v>
      </c>
      <c r="K10" s="62">
        <v>6</v>
      </c>
      <c r="L10" s="64">
        <f>IFERROR(VLOOKUP(K10,$AN$5:$AO$10,2,FALSE)/10*J10,0)</f>
        <v>0</v>
      </c>
      <c r="N10" s="204" t="s">
        <v>118</v>
      </c>
      <c r="O10" s="63">
        <v>2.4E-2</v>
      </c>
      <c r="P10" s="62">
        <v>6</v>
      </c>
      <c r="Q10" s="64">
        <f t="shared" si="1"/>
        <v>0</v>
      </c>
      <c r="S10" s="57" t="s">
        <v>119</v>
      </c>
      <c r="T10" s="63">
        <v>3.5000000000000003E-2</v>
      </c>
      <c r="U10" s="62">
        <v>6</v>
      </c>
      <c r="V10" s="64">
        <f>IFERROR(VLOOKUP(U10,$AN$5:$AO$10,2,FALSE)/10*T10,0)</f>
        <v>0</v>
      </c>
      <c r="X10" s="57" t="s">
        <v>120</v>
      </c>
      <c r="Y10" s="63">
        <v>1.4999999999999999E-2</v>
      </c>
      <c r="Z10" s="62">
        <v>6</v>
      </c>
      <c r="AA10" s="64">
        <f t="shared" si="3"/>
        <v>0</v>
      </c>
      <c r="AC10" s="204" t="s">
        <v>121</v>
      </c>
      <c r="AD10" s="63">
        <v>2.1000000000000001E-2</v>
      </c>
      <c r="AE10" s="206">
        <v>6</v>
      </c>
      <c r="AF10" s="64">
        <f>IFERROR(VLOOKUP(AE10,$AN$5:$AO$10,2,FALSE)/10*AD10,0)</f>
        <v>0</v>
      </c>
      <c r="AG10" s="208"/>
      <c r="AH10" s="204" t="s">
        <v>122</v>
      </c>
      <c r="AI10" s="63">
        <v>0.02</v>
      </c>
      <c r="AJ10" s="62">
        <v>6</v>
      </c>
      <c r="AK10" s="64">
        <f t="shared" si="4"/>
        <v>0</v>
      </c>
      <c r="AM10" s="1" t="s">
        <v>123</v>
      </c>
      <c r="AN10" s="1">
        <v>6</v>
      </c>
      <c r="AO10" s="59">
        <v>0</v>
      </c>
      <c r="AP10" s="1" t="s">
        <v>124</v>
      </c>
    </row>
    <row r="11" spans="1:42" x14ac:dyDescent="0.3">
      <c r="A11" s="13" t="s">
        <v>125</v>
      </c>
      <c r="B11" s="13" t="s">
        <v>126</v>
      </c>
      <c r="D11" s="57" t="s">
        <v>127</v>
      </c>
      <c r="E11" s="63">
        <v>2.1000000000000001E-2</v>
      </c>
      <c r="F11" s="62">
        <v>6</v>
      </c>
      <c r="G11" s="64">
        <f t="shared" si="0"/>
        <v>0</v>
      </c>
      <c r="I11" s="57" t="s">
        <v>128</v>
      </c>
      <c r="J11" s="63">
        <v>2.1999999999999999E-2</v>
      </c>
      <c r="K11" s="62">
        <v>6</v>
      </c>
      <c r="L11" s="64">
        <f>IFERROR(VLOOKUP(K11,$AN$5:$AO$10,2,FALSE)/10*J11,0)</f>
        <v>0</v>
      </c>
      <c r="N11" s="204" t="s">
        <v>129</v>
      </c>
      <c r="O11" s="63">
        <v>2.5999999999999999E-2</v>
      </c>
      <c r="P11" s="62">
        <v>6</v>
      </c>
      <c r="Q11" s="64">
        <f t="shared" si="1"/>
        <v>0</v>
      </c>
      <c r="S11" s="57" t="s">
        <v>130</v>
      </c>
      <c r="T11" s="63">
        <v>2.1000000000000001E-2</v>
      </c>
      <c r="U11" s="62">
        <v>6</v>
      </c>
      <c r="V11" s="64">
        <f t="shared" si="2"/>
        <v>0</v>
      </c>
      <c r="X11" s="57" t="s">
        <v>131</v>
      </c>
      <c r="Y11" s="63">
        <v>2.5000000000000001E-2</v>
      </c>
      <c r="Z11" s="62">
        <v>6</v>
      </c>
      <c r="AA11" s="64">
        <f t="shared" si="3"/>
        <v>0</v>
      </c>
      <c r="AC11" s="204" t="s">
        <v>132</v>
      </c>
      <c r="AD11" s="63">
        <v>0.02</v>
      </c>
      <c r="AE11" s="206">
        <v>6</v>
      </c>
      <c r="AF11" s="64">
        <f>IFERROR(VLOOKUP(AE11,$AN$5:$AO$10,2,FALSE)/10*AD11,0)</f>
        <v>0</v>
      </c>
      <c r="AG11" s="208"/>
      <c r="AH11" s="204" t="s">
        <v>133</v>
      </c>
      <c r="AI11" s="63">
        <v>2.1000000000000001E-2</v>
      </c>
      <c r="AJ11" s="62">
        <v>6</v>
      </c>
      <c r="AK11" s="64">
        <f t="shared" si="4"/>
        <v>0</v>
      </c>
      <c r="AM11" s="209" t="s">
        <v>134</v>
      </c>
      <c r="AN11" s="209">
        <v>7</v>
      </c>
      <c r="AO11" s="209">
        <v>0</v>
      </c>
      <c r="AP11" s="209" t="s">
        <v>135</v>
      </c>
    </row>
    <row r="12" spans="1:42" x14ac:dyDescent="0.3">
      <c r="A12" s="13" t="s">
        <v>136</v>
      </c>
      <c r="B12" s="13" t="s">
        <v>137</v>
      </c>
      <c r="D12" s="57" t="s">
        <v>138</v>
      </c>
      <c r="E12" s="63">
        <v>1.4999999999999999E-2</v>
      </c>
      <c r="F12" s="62">
        <v>6</v>
      </c>
      <c r="G12" s="64">
        <f t="shared" si="0"/>
        <v>0</v>
      </c>
      <c r="I12" s="57"/>
      <c r="J12" s="63"/>
      <c r="K12" s="62"/>
      <c r="L12" s="64"/>
      <c r="N12" s="204" t="s">
        <v>139</v>
      </c>
      <c r="O12" s="63">
        <v>2.9000000000000001E-2</v>
      </c>
      <c r="P12" s="62">
        <v>6</v>
      </c>
      <c r="Q12" s="64">
        <f t="shared" si="1"/>
        <v>0</v>
      </c>
      <c r="S12" s="57" t="s">
        <v>140</v>
      </c>
      <c r="T12" s="63">
        <v>0.02</v>
      </c>
      <c r="U12" s="62">
        <v>6</v>
      </c>
      <c r="V12" s="64">
        <f t="shared" si="2"/>
        <v>0</v>
      </c>
      <c r="X12" s="57" t="s">
        <v>141</v>
      </c>
      <c r="Y12" s="63">
        <v>2.1999999999999999E-2</v>
      </c>
      <c r="Z12" s="62">
        <v>6</v>
      </c>
      <c r="AA12" s="64">
        <f t="shared" si="3"/>
        <v>0</v>
      </c>
      <c r="AC12" s="210"/>
      <c r="AD12" s="210"/>
      <c r="AE12" s="276"/>
      <c r="AF12" s="64"/>
      <c r="AG12" s="208"/>
      <c r="AH12" s="204" t="s">
        <v>142</v>
      </c>
      <c r="AI12" s="63">
        <v>2.9000000000000001E-2</v>
      </c>
      <c r="AJ12" s="62">
        <v>6</v>
      </c>
      <c r="AK12" s="64">
        <f t="shared" si="4"/>
        <v>0</v>
      </c>
      <c r="AM12" s="293" t="b">
        <v>1</v>
      </c>
      <c r="AN12" s="59" t="b">
        <v>1</v>
      </c>
      <c r="AO12" s="1">
        <v>10</v>
      </c>
      <c r="AP12" s="94" t="s">
        <v>75</v>
      </c>
    </row>
    <row r="13" spans="1:42" x14ac:dyDescent="0.3">
      <c r="A13" s="13" t="s">
        <v>143</v>
      </c>
      <c r="B13" s="13" t="s">
        <v>144</v>
      </c>
      <c r="D13" s="57" t="s">
        <v>145</v>
      </c>
      <c r="E13" s="63">
        <v>2.8000000000000001E-2</v>
      </c>
      <c r="F13" s="62">
        <v>6</v>
      </c>
      <c r="G13" s="64">
        <f t="shared" si="0"/>
        <v>0</v>
      </c>
      <c r="I13" s="57"/>
      <c r="J13" s="63"/>
      <c r="K13" s="62"/>
      <c r="L13" s="64"/>
      <c r="N13" s="204"/>
      <c r="O13" s="63"/>
      <c r="P13" s="62"/>
      <c r="Q13" s="64"/>
      <c r="S13" s="57" t="s">
        <v>146</v>
      </c>
      <c r="T13" s="63">
        <v>0.02</v>
      </c>
      <c r="U13" s="62">
        <v>6</v>
      </c>
      <c r="V13" s="64">
        <f>IFERROR(VLOOKUP(U13,$AN$5:$AO$10,2,FALSE)/10*T13,0)</f>
        <v>0</v>
      </c>
      <c r="X13" s="63"/>
      <c r="Y13" s="63"/>
      <c r="Z13" s="62"/>
      <c r="AA13" s="64"/>
      <c r="AC13" s="210"/>
      <c r="AD13" s="210"/>
      <c r="AE13" s="210"/>
      <c r="AM13" s="293" t="b">
        <v>0</v>
      </c>
      <c r="AN13" s="59" t="b">
        <v>0</v>
      </c>
      <c r="AO13" s="1">
        <v>0</v>
      </c>
      <c r="AP13" s="94" t="s">
        <v>113</v>
      </c>
    </row>
    <row r="14" spans="1:42" x14ac:dyDescent="0.3">
      <c r="A14" s="13" t="s">
        <v>147</v>
      </c>
      <c r="B14" s="13" t="s">
        <v>148</v>
      </c>
      <c r="N14" s="204"/>
      <c r="O14" s="63"/>
      <c r="P14" s="62"/>
      <c r="Q14" s="64"/>
      <c r="X14" s="63"/>
      <c r="AC14" s="204"/>
      <c r="AD14" s="205"/>
      <c r="AE14" s="206"/>
      <c r="AH14" s="204"/>
      <c r="AI14" s="205"/>
      <c r="AJ14" s="62"/>
      <c r="AK14" s="64"/>
      <c r="AM14" s="368"/>
      <c r="AN14" s="368"/>
      <c r="AO14" s="368"/>
      <c r="AP14" s="368"/>
    </row>
    <row r="15" spans="1:42" x14ac:dyDescent="0.3">
      <c r="A15" s="13" t="s">
        <v>149</v>
      </c>
      <c r="B15" s="13" t="s">
        <v>150</v>
      </c>
      <c r="N15" s="204"/>
      <c r="O15" s="63"/>
      <c r="P15" s="62"/>
      <c r="Q15" s="64"/>
      <c r="X15" s="63"/>
      <c r="AC15" s="204"/>
      <c r="AD15" s="205"/>
      <c r="AE15" s="206"/>
      <c r="AF15" s="64"/>
      <c r="AG15" s="208"/>
      <c r="AH15" s="204"/>
      <c r="AI15" s="205"/>
      <c r="AJ15" s="62"/>
      <c r="AK15" s="64"/>
      <c r="AM15" s="164"/>
    </row>
    <row r="16" spans="1:42" x14ac:dyDescent="0.3">
      <c r="A16" s="13" t="s">
        <v>151</v>
      </c>
      <c r="B16" s="13" t="s">
        <v>152</v>
      </c>
      <c r="N16" s="204"/>
      <c r="O16" s="63"/>
      <c r="P16" s="62"/>
      <c r="Q16" s="64"/>
      <c r="X16" s="63"/>
      <c r="Z16" s="62"/>
      <c r="AA16" s="64"/>
      <c r="AC16" s="204"/>
      <c r="AD16" s="205"/>
      <c r="AE16" s="206"/>
      <c r="AF16" s="207"/>
      <c r="AG16" s="208"/>
      <c r="AH16" s="204"/>
      <c r="AI16" s="205"/>
      <c r="AJ16" s="62"/>
      <c r="AK16" s="64"/>
      <c r="AO16" s="163"/>
      <c r="AP16" s="59"/>
    </row>
    <row r="17" spans="1:41" x14ac:dyDescent="0.3">
      <c r="A17" s="13" t="s">
        <v>153</v>
      </c>
      <c r="B17" s="13" t="s">
        <v>154</v>
      </c>
      <c r="N17" s="204"/>
      <c r="O17" s="63"/>
      <c r="P17" s="62"/>
      <c r="Q17" s="64"/>
      <c r="Z17" s="62"/>
      <c r="AA17" s="64"/>
      <c r="AC17" s="204"/>
      <c r="AD17" s="205"/>
      <c r="AE17" s="206"/>
      <c r="AH17" s="204"/>
      <c r="AI17" s="205"/>
      <c r="AJ17" s="62"/>
      <c r="AK17" s="64"/>
      <c r="AO17" s="163"/>
    </row>
    <row r="18" spans="1:41" x14ac:dyDescent="0.3">
      <c r="A18" s="13" t="s">
        <v>155</v>
      </c>
      <c r="B18" s="13" t="s">
        <v>156</v>
      </c>
      <c r="X18" s="63"/>
      <c r="Z18" s="62"/>
      <c r="AA18" s="64"/>
      <c r="AC18" s="204"/>
      <c r="AD18" s="205"/>
      <c r="AE18" s="206"/>
      <c r="AF18" s="207"/>
      <c r="AG18" s="208"/>
      <c r="AH18" s="204"/>
      <c r="AI18" s="205"/>
      <c r="AJ18" s="62"/>
      <c r="AK18" s="64"/>
      <c r="AM18" s="145"/>
      <c r="AO18" s="163"/>
    </row>
    <row r="19" spans="1:41" x14ac:dyDescent="0.3">
      <c r="A19" s="13"/>
      <c r="B19" s="13"/>
      <c r="D19" s="267" t="s">
        <v>157</v>
      </c>
      <c r="E19" s="369">
        <f>E5+J5+O5+T5+Y5+AD5+AI5</f>
        <v>1</v>
      </c>
      <c r="F19" s="369"/>
      <c r="X19" s="63"/>
      <c r="Z19" s="62"/>
      <c r="AA19" s="64"/>
      <c r="AC19" s="204"/>
      <c r="AD19" s="205"/>
      <c r="AE19" s="206"/>
      <c r="AF19" s="207"/>
      <c r="AG19" s="208"/>
      <c r="AH19" s="204"/>
      <c r="AI19" s="205"/>
      <c r="AJ19" s="62"/>
      <c r="AK19" s="64"/>
    </row>
    <row r="20" spans="1:41" x14ac:dyDescent="0.3">
      <c r="A20" s="13" t="s">
        <v>158</v>
      </c>
      <c r="B20" s="13" t="s">
        <v>159</v>
      </c>
      <c r="X20" s="63"/>
      <c r="Z20" s="62"/>
      <c r="AA20" s="64"/>
      <c r="AC20" s="204"/>
      <c r="AD20" s="205"/>
      <c r="AE20" s="206"/>
      <c r="AF20" s="207"/>
      <c r="AG20" s="208"/>
      <c r="AH20" s="204"/>
      <c r="AI20" s="205"/>
      <c r="AJ20" s="62"/>
      <c r="AK20" s="64"/>
    </row>
    <row r="21" spans="1:41" x14ac:dyDescent="0.3">
      <c r="A21" s="13" t="s">
        <v>160</v>
      </c>
      <c r="B21" s="13" t="s">
        <v>161</v>
      </c>
      <c r="X21" s="63"/>
      <c r="AC21" s="204"/>
      <c r="AD21" s="205"/>
      <c r="AE21" s="206"/>
      <c r="AF21" s="207"/>
      <c r="AG21" s="208"/>
      <c r="AH21" s="204"/>
      <c r="AI21" s="205"/>
      <c r="AJ21" s="62"/>
      <c r="AK21" s="64"/>
      <c r="AN21" s="163"/>
    </row>
    <row r="22" spans="1:41" x14ac:dyDescent="0.3">
      <c r="A22" s="13" t="s">
        <v>162</v>
      </c>
      <c r="B22" s="13" t="s">
        <v>163</v>
      </c>
      <c r="X22" s="63"/>
      <c r="Z22" s="62"/>
      <c r="AA22" s="64"/>
      <c r="AC22" s="204"/>
      <c r="AD22" s="205"/>
      <c r="AE22" s="206"/>
      <c r="AF22" s="207"/>
      <c r="AG22" s="208"/>
      <c r="AH22" s="204"/>
      <c r="AI22" s="205"/>
      <c r="AJ22" s="62"/>
      <c r="AK22" s="64"/>
    </row>
    <row r="23" spans="1:41" x14ac:dyDescent="0.3">
      <c r="A23" s="13" t="s">
        <v>164</v>
      </c>
      <c r="B23" s="13" t="s">
        <v>165</v>
      </c>
      <c r="X23" s="63"/>
      <c r="Z23" s="62"/>
      <c r="AA23" s="64"/>
      <c r="AC23" s="204"/>
      <c r="AD23" s="205"/>
      <c r="AE23" s="206"/>
      <c r="AF23" s="207"/>
      <c r="AG23" s="208"/>
      <c r="AH23" s="204"/>
      <c r="AI23" s="205"/>
      <c r="AJ23" s="62"/>
      <c r="AK23" s="64"/>
      <c r="AM23" s="58" t="s">
        <v>166</v>
      </c>
    </row>
    <row r="24" spans="1:41" x14ac:dyDescent="0.3">
      <c r="A24" s="13" t="s">
        <v>167</v>
      </c>
      <c r="B24" s="13" t="s">
        <v>168</v>
      </c>
      <c r="X24" s="63"/>
      <c r="Z24" s="62"/>
      <c r="AA24" s="64"/>
      <c r="AC24" s="204"/>
      <c r="AD24" s="205"/>
      <c r="AE24" s="206"/>
      <c r="AF24" s="207"/>
      <c r="AG24" s="208"/>
      <c r="AH24" s="204"/>
      <c r="AI24" s="205"/>
      <c r="AJ24" s="62"/>
      <c r="AK24" s="64"/>
      <c r="AM24" s="1" t="s">
        <v>169</v>
      </c>
    </row>
    <row r="25" spans="1:41" x14ac:dyDescent="0.3">
      <c r="A25" s="13" t="s">
        <v>170</v>
      </c>
      <c r="B25" s="13" t="s">
        <v>171</v>
      </c>
      <c r="X25" s="63"/>
      <c r="Z25" s="62"/>
      <c r="AA25" s="64"/>
      <c r="AC25" s="204"/>
      <c r="AD25" s="205"/>
      <c r="AE25" s="206"/>
      <c r="AF25" s="207"/>
      <c r="AG25" s="208"/>
      <c r="AH25" s="204"/>
      <c r="AI25" s="205"/>
      <c r="AJ25" s="62"/>
      <c r="AK25" s="64"/>
      <c r="AM25" s="1" t="s">
        <v>172</v>
      </c>
    </row>
    <row r="26" spans="1:41" x14ac:dyDescent="0.3">
      <c r="A26" s="13" t="s">
        <v>173</v>
      </c>
      <c r="B26" s="13" t="s">
        <v>174</v>
      </c>
      <c r="X26" s="63"/>
      <c r="Z26" s="62"/>
      <c r="AA26" s="64"/>
      <c r="AC26" s="204"/>
      <c r="AD26" s="205"/>
      <c r="AE26" s="206"/>
      <c r="AF26" s="207"/>
      <c r="AG26" s="208"/>
      <c r="AH26" s="204"/>
      <c r="AI26" s="205"/>
      <c r="AJ26" s="62"/>
      <c r="AK26" s="64"/>
      <c r="AM26" s="1" t="s">
        <v>175</v>
      </c>
    </row>
    <row r="27" spans="1:41" x14ac:dyDescent="0.3">
      <c r="A27" s="13" t="s">
        <v>176</v>
      </c>
      <c r="B27" s="13" t="s">
        <v>177</v>
      </c>
      <c r="Z27" s="62"/>
      <c r="AA27" s="64"/>
      <c r="AC27" s="204"/>
      <c r="AD27" s="205"/>
      <c r="AE27" s="206"/>
      <c r="AF27" s="207"/>
      <c r="AG27" s="208"/>
      <c r="AH27" s="204"/>
      <c r="AI27" s="205"/>
      <c r="AJ27" s="62"/>
      <c r="AK27" s="64"/>
    </row>
    <row r="28" spans="1:41" x14ac:dyDescent="0.3">
      <c r="A28" s="13" t="s">
        <v>178</v>
      </c>
      <c r="B28" s="13" t="s">
        <v>179</v>
      </c>
      <c r="Z28" s="62"/>
      <c r="AA28" s="64"/>
      <c r="AC28" s="204"/>
      <c r="AD28" s="205"/>
      <c r="AE28" s="206"/>
      <c r="AF28" s="207"/>
      <c r="AG28" s="208"/>
      <c r="AH28" s="204"/>
      <c r="AI28" s="205"/>
      <c r="AJ28" s="62"/>
      <c r="AK28" s="64"/>
    </row>
    <row r="29" spans="1:41" x14ac:dyDescent="0.3">
      <c r="A29" s="13" t="s">
        <v>180</v>
      </c>
      <c r="B29" s="13" t="s">
        <v>181</v>
      </c>
      <c r="Z29" s="62"/>
      <c r="AA29" s="64"/>
      <c r="AC29" s="204"/>
      <c r="AD29" s="205"/>
      <c r="AE29" s="206"/>
      <c r="AF29" s="207"/>
      <c r="AG29" s="208"/>
      <c r="AH29" s="204"/>
      <c r="AI29" s="205"/>
      <c r="AJ29" s="62"/>
      <c r="AK29" s="64"/>
    </row>
    <row r="30" spans="1:41" x14ac:dyDescent="0.3">
      <c r="A30" s="13" t="s">
        <v>182</v>
      </c>
      <c r="B30" s="13" t="s">
        <v>183</v>
      </c>
      <c r="Z30" s="62"/>
      <c r="AA30" s="64"/>
      <c r="AC30" s="204"/>
      <c r="AD30" s="205"/>
      <c r="AE30" s="206"/>
      <c r="AF30" s="207"/>
      <c r="AG30" s="208"/>
      <c r="AH30" s="204"/>
      <c r="AI30" s="205"/>
      <c r="AJ30" s="62"/>
      <c r="AK30" s="64"/>
    </row>
    <row r="31" spans="1:41" x14ac:dyDescent="0.3">
      <c r="A31" s="13" t="s">
        <v>184</v>
      </c>
      <c r="B31" s="13" t="s">
        <v>185</v>
      </c>
      <c r="AC31" s="204"/>
      <c r="AD31" s="205"/>
      <c r="AE31" s="206"/>
      <c r="AF31" s="207"/>
      <c r="AG31" s="208"/>
      <c r="AH31" s="204"/>
      <c r="AI31" s="205"/>
      <c r="AJ31" s="62"/>
      <c r="AK31" s="64"/>
    </row>
    <row r="32" spans="1:41" x14ac:dyDescent="0.3">
      <c r="A32" s="13" t="s">
        <v>186</v>
      </c>
      <c r="B32" s="13" t="s">
        <v>187</v>
      </c>
      <c r="AC32" s="204"/>
      <c r="AD32" s="205"/>
      <c r="AE32" s="206"/>
      <c r="AF32" s="207"/>
      <c r="AG32" s="208"/>
      <c r="AH32" s="204"/>
      <c r="AI32" s="205"/>
      <c r="AJ32" s="62"/>
      <c r="AK32" s="64"/>
    </row>
    <row r="33" spans="1:37" x14ac:dyDescent="0.3">
      <c r="A33" s="13" t="s">
        <v>188</v>
      </c>
      <c r="B33" s="13" t="s">
        <v>189</v>
      </c>
      <c r="AC33" s="204"/>
      <c r="AD33" s="205"/>
      <c r="AE33" s="206"/>
      <c r="AF33" s="207"/>
      <c r="AG33" s="208"/>
      <c r="AH33" s="204"/>
      <c r="AI33" s="205"/>
      <c r="AJ33" s="62"/>
      <c r="AK33" s="64"/>
    </row>
    <row r="34" spans="1:37" x14ac:dyDescent="0.3">
      <c r="A34" s="13" t="s">
        <v>190</v>
      </c>
      <c r="B34" s="13" t="s">
        <v>191</v>
      </c>
      <c r="AC34" s="204"/>
      <c r="AD34" s="205"/>
      <c r="AE34" s="206"/>
      <c r="AF34" s="207"/>
      <c r="AG34" s="208"/>
      <c r="AH34" s="204"/>
      <c r="AI34" s="205"/>
      <c r="AJ34" s="62"/>
      <c r="AK34" s="64"/>
    </row>
    <row r="35" spans="1:37" x14ac:dyDescent="0.3">
      <c r="A35" s="13" t="s">
        <v>192</v>
      </c>
      <c r="B35" s="13" t="s">
        <v>193</v>
      </c>
      <c r="AC35" s="204"/>
      <c r="AD35" s="205"/>
      <c r="AE35" s="206"/>
      <c r="AF35" s="207"/>
      <c r="AG35" s="208"/>
      <c r="AH35" s="204"/>
      <c r="AI35" s="205"/>
      <c r="AJ35" s="62"/>
      <c r="AK35" s="64"/>
    </row>
    <row r="36" spans="1:37" x14ac:dyDescent="0.3">
      <c r="A36" s="13" t="s">
        <v>194</v>
      </c>
      <c r="B36" s="13" t="s">
        <v>195</v>
      </c>
      <c r="D36" s="171"/>
      <c r="E36" s="171"/>
      <c r="F36" s="171"/>
      <c r="G36" s="171"/>
      <c r="H36" s="171"/>
      <c r="I36" s="171"/>
      <c r="J36" s="171"/>
      <c r="K36" s="171"/>
      <c r="L36" s="171"/>
      <c r="M36" s="171"/>
      <c r="N36" s="171"/>
      <c r="O36" s="171"/>
      <c r="P36" s="171"/>
      <c r="AC36" s="208"/>
      <c r="AD36" s="208"/>
      <c r="AE36" s="208"/>
      <c r="AF36" s="208"/>
      <c r="AG36" s="208"/>
      <c r="AH36" s="208"/>
      <c r="AI36" s="208"/>
    </row>
    <row r="37" spans="1:37" x14ac:dyDescent="0.3">
      <c r="A37" s="13" t="s">
        <v>196</v>
      </c>
      <c r="B37" s="13" t="s">
        <v>197</v>
      </c>
      <c r="D37" s="171"/>
      <c r="E37" s="171"/>
      <c r="F37" s="171"/>
      <c r="G37" s="185"/>
      <c r="H37" s="171"/>
      <c r="I37" s="171"/>
      <c r="J37" s="185"/>
      <c r="K37" s="185"/>
      <c r="L37" s="185"/>
      <c r="M37" s="171"/>
      <c r="N37" s="185"/>
      <c r="O37" s="171"/>
      <c r="P37" s="171"/>
    </row>
    <row r="38" spans="1:37" x14ac:dyDescent="0.3">
      <c r="A38" s="13" t="s">
        <v>198</v>
      </c>
      <c r="B38" s="13" t="s">
        <v>199</v>
      </c>
      <c r="D38" s="171"/>
      <c r="E38" s="171"/>
      <c r="F38" s="171"/>
      <c r="G38" s="185"/>
      <c r="H38" s="171"/>
      <c r="I38" s="171"/>
      <c r="J38" s="185"/>
      <c r="K38" s="185"/>
      <c r="L38" s="185"/>
      <c r="M38" s="171"/>
      <c r="N38" s="185"/>
      <c r="O38" s="171"/>
      <c r="P38" s="171"/>
    </row>
    <row r="39" spans="1:37" x14ac:dyDescent="0.3">
      <c r="A39" s="13" t="s">
        <v>200</v>
      </c>
      <c r="B39" s="13" t="s">
        <v>201</v>
      </c>
      <c r="D39" s="171"/>
      <c r="E39" s="171"/>
      <c r="F39" s="171"/>
      <c r="G39" s="171"/>
      <c r="H39" s="171"/>
      <c r="I39" s="171"/>
      <c r="J39" s="185"/>
      <c r="K39" s="185"/>
      <c r="L39" s="185"/>
      <c r="M39" s="171"/>
      <c r="N39" s="185"/>
      <c r="O39" s="171"/>
      <c r="P39" s="171"/>
    </row>
    <row r="40" spans="1:37" x14ac:dyDescent="0.3">
      <c r="A40" s="13" t="s">
        <v>202</v>
      </c>
      <c r="B40" s="13" t="s">
        <v>203</v>
      </c>
      <c r="D40" s="171"/>
      <c r="E40" s="171"/>
      <c r="F40" s="171"/>
      <c r="G40" s="171"/>
      <c r="H40" s="171"/>
      <c r="I40" s="171"/>
      <c r="J40" s="185"/>
      <c r="K40" s="185"/>
      <c r="L40" s="185"/>
      <c r="M40" s="171"/>
      <c r="N40" s="185"/>
      <c r="O40" s="171"/>
      <c r="P40" s="171"/>
    </row>
    <row r="41" spans="1:37" x14ac:dyDescent="0.3">
      <c r="A41" s="13" t="s">
        <v>204</v>
      </c>
      <c r="B41" s="13" t="s">
        <v>205</v>
      </c>
      <c r="D41" s="171"/>
      <c r="E41" s="171"/>
      <c r="F41" s="171"/>
      <c r="G41" s="171"/>
      <c r="H41" s="171"/>
      <c r="I41" s="171"/>
      <c r="J41" s="185"/>
      <c r="K41" s="185"/>
      <c r="L41" s="185"/>
      <c r="M41" s="171"/>
      <c r="N41" s="185"/>
      <c r="O41" s="171"/>
      <c r="P41" s="171"/>
    </row>
    <row r="42" spans="1:37" x14ac:dyDescent="0.3">
      <c r="A42" s="13" t="s">
        <v>206</v>
      </c>
      <c r="B42" s="13" t="s">
        <v>207</v>
      </c>
      <c r="D42" s="171"/>
      <c r="E42" s="171"/>
      <c r="F42" s="171"/>
      <c r="G42" s="171"/>
      <c r="H42" s="171"/>
      <c r="I42" s="171"/>
      <c r="J42" s="185"/>
      <c r="K42" s="185"/>
      <c r="L42" s="185"/>
      <c r="M42" s="171"/>
      <c r="N42" s="185"/>
      <c r="O42" s="171"/>
      <c r="P42" s="171"/>
    </row>
    <row r="43" spans="1:37" ht="26" x14ac:dyDescent="0.3">
      <c r="A43" s="13" t="s">
        <v>208</v>
      </c>
      <c r="B43" s="13" t="s">
        <v>209</v>
      </c>
      <c r="D43" s="171"/>
      <c r="E43" s="171"/>
      <c r="F43" s="171"/>
      <c r="G43" s="171"/>
      <c r="H43" s="171"/>
      <c r="I43" s="171"/>
      <c r="J43" s="171"/>
      <c r="K43" s="171"/>
      <c r="L43" s="185"/>
      <c r="M43" s="171"/>
      <c r="N43" s="171"/>
      <c r="O43" s="171"/>
      <c r="P43" s="171"/>
    </row>
    <row r="44" spans="1:37" x14ac:dyDescent="0.3">
      <c r="A44" s="13" t="s">
        <v>210</v>
      </c>
      <c r="B44" s="13" t="s">
        <v>211</v>
      </c>
      <c r="D44" s="171"/>
      <c r="E44" s="171"/>
      <c r="F44" s="171"/>
      <c r="G44" s="171"/>
      <c r="H44" s="171"/>
      <c r="I44" s="171"/>
      <c r="J44" s="171"/>
      <c r="K44" s="171"/>
      <c r="L44" s="171"/>
      <c r="M44" s="171"/>
      <c r="N44" s="171"/>
      <c r="O44" s="171"/>
      <c r="P44" s="171"/>
    </row>
    <row r="45" spans="1:37" x14ac:dyDescent="0.3">
      <c r="A45" s="13" t="s">
        <v>212</v>
      </c>
      <c r="B45" s="13" t="s">
        <v>213</v>
      </c>
      <c r="D45" s="171"/>
      <c r="E45" s="171"/>
      <c r="F45" s="171"/>
      <c r="G45" s="185"/>
      <c r="H45" s="171"/>
      <c r="I45" s="171"/>
      <c r="J45" s="171"/>
      <c r="K45" s="171"/>
      <c r="L45" s="171"/>
      <c r="M45" s="171"/>
      <c r="N45" s="171"/>
      <c r="O45" s="171"/>
      <c r="P45" s="171"/>
    </row>
    <row r="46" spans="1:37" x14ac:dyDescent="0.3">
      <c r="A46" s="13" t="s">
        <v>214</v>
      </c>
      <c r="B46" s="13" t="s">
        <v>215</v>
      </c>
      <c r="D46" s="171"/>
      <c r="E46" s="171"/>
      <c r="F46" s="171"/>
      <c r="G46" s="171"/>
      <c r="H46" s="171"/>
      <c r="I46" s="171"/>
      <c r="J46" s="171"/>
      <c r="K46" s="171"/>
      <c r="L46" s="171"/>
      <c r="M46" s="171"/>
      <c r="N46" s="171"/>
      <c r="O46" s="171"/>
      <c r="P46" s="171"/>
    </row>
    <row r="47" spans="1:37" x14ac:dyDescent="0.3">
      <c r="A47" s="13" t="s">
        <v>216</v>
      </c>
      <c r="B47" s="13" t="s">
        <v>217</v>
      </c>
      <c r="D47" s="171"/>
      <c r="E47" s="171"/>
      <c r="F47" s="171"/>
      <c r="G47" s="185"/>
      <c r="H47" s="171"/>
      <c r="I47" s="171"/>
      <c r="J47" s="171"/>
      <c r="K47" s="171"/>
      <c r="L47" s="171"/>
      <c r="M47" s="171"/>
      <c r="N47" s="171"/>
      <c r="O47" s="171"/>
      <c r="P47" s="171"/>
    </row>
    <row r="48" spans="1:37" x14ac:dyDescent="0.3">
      <c r="A48" s="13" t="s">
        <v>218</v>
      </c>
      <c r="B48" s="13" t="s">
        <v>219</v>
      </c>
      <c r="D48" s="171"/>
      <c r="E48" s="171"/>
      <c r="F48" s="171"/>
      <c r="G48" s="171"/>
      <c r="H48" s="171"/>
      <c r="I48" s="171"/>
      <c r="J48" s="171"/>
      <c r="K48" s="171"/>
      <c r="L48" s="171"/>
      <c r="M48" s="171"/>
      <c r="N48" s="171"/>
      <c r="O48" s="171"/>
      <c r="P48" s="171"/>
    </row>
    <row r="49" spans="1:2" x14ac:dyDescent="0.3">
      <c r="A49" s="13" t="s">
        <v>220</v>
      </c>
      <c r="B49" s="13" t="s">
        <v>221</v>
      </c>
    </row>
    <row r="50" spans="1:2" x14ac:dyDescent="0.3">
      <c r="A50" s="13" t="s">
        <v>222</v>
      </c>
      <c r="B50" s="13" t="s">
        <v>223</v>
      </c>
    </row>
    <row r="51" spans="1:2" x14ac:dyDescent="0.3">
      <c r="A51" s="13" t="s">
        <v>224</v>
      </c>
      <c r="B51" s="13" t="s">
        <v>225</v>
      </c>
    </row>
    <row r="52" spans="1:2" x14ac:dyDescent="0.3">
      <c r="A52" s="13" t="s">
        <v>226</v>
      </c>
      <c r="B52" s="13" t="s">
        <v>227</v>
      </c>
    </row>
    <row r="53" spans="1:2" x14ac:dyDescent="0.3">
      <c r="A53" s="13" t="s">
        <v>228</v>
      </c>
      <c r="B53" s="13" t="s">
        <v>229</v>
      </c>
    </row>
    <row r="54" spans="1:2" x14ac:dyDescent="0.3">
      <c r="A54" s="13" t="s">
        <v>230</v>
      </c>
      <c r="B54" s="13" t="s">
        <v>231</v>
      </c>
    </row>
    <row r="55" spans="1:2" x14ac:dyDescent="0.3">
      <c r="A55" s="13" t="s">
        <v>232</v>
      </c>
      <c r="B55" s="13" t="s">
        <v>233</v>
      </c>
    </row>
    <row r="56" spans="1:2" x14ac:dyDescent="0.3">
      <c r="A56" s="13" t="s">
        <v>234</v>
      </c>
      <c r="B56" s="13" t="s">
        <v>235</v>
      </c>
    </row>
    <row r="57" spans="1:2" x14ac:dyDescent="0.3">
      <c r="A57" s="13" t="s">
        <v>236</v>
      </c>
      <c r="B57" s="13" t="s">
        <v>237</v>
      </c>
    </row>
    <row r="58" spans="1:2" x14ac:dyDescent="0.3">
      <c r="A58" s="13" t="s">
        <v>238</v>
      </c>
      <c r="B58" s="13" t="s">
        <v>239</v>
      </c>
    </row>
    <row r="59" spans="1:2" x14ac:dyDescent="0.3">
      <c r="A59" s="13" t="s">
        <v>240</v>
      </c>
      <c r="B59" s="13" t="s">
        <v>241</v>
      </c>
    </row>
    <row r="60" spans="1:2" x14ac:dyDescent="0.3">
      <c r="A60" s="13" t="s">
        <v>242</v>
      </c>
      <c r="B60" s="13" t="s">
        <v>243</v>
      </c>
    </row>
    <row r="61" spans="1:2" x14ac:dyDescent="0.3">
      <c r="A61" s="13" t="s">
        <v>244</v>
      </c>
      <c r="B61" s="13" t="s">
        <v>245</v>
      </c>
    </row>
    <row r="62" spans="1:2" x14ac:dyDescent="0.3">
      <c r="A62" s="13" t="s">
        <v>246</v>
      </c>
      <c r="B62" s="13" t="s">
        <v>247</v>
      </c>
    </row>
    <row r="63" spans="1:2" x14ac:dyDescent="0.3">
      <c r="A63" s="13" t="s">
        <v>248</v>
      </c>
      <c r="B63" s="13" t="s">
        <v>249</v>
      </c>
    </row>
    <row r="64" spans="1:2" x14ac:dyDescent="0.3">
      <c r="A64" s="13" t="s">
        <v>250</v>
      </c>
      <c r="B64" s="13" t="s">
        <v>251</v>
      </c>
    </row>
    <row r="65" spans="1:2" x14ac:dyDescent="0.3">
      <c r="A65" s="13" t="s">
        <v>252</v>
      </c>
      <c r="B65" s="13" t="s">
        <v>253</v>
      </c>
    </row>
    <row r="66" spans="1:2" x14ac:dyDescent="0.3">
      <c r="A66" s="13" t="s">
        <v>254</v>
      </c>
      <c r="B66" s="13" t="s">
        <v>255</v>
      </c>
    </row>
    <row r="67" spans="1:2" x14ac:dyDescent="0.3">
      <c r="A67" s="13" t="s">
        <v>256</v>
      </c>
      <c r="B67" s="13" t="s">
        <v>257</v>
      </c>
    </row>
    <row r="68" spans="1:2" x14ac:dyDescent="0.3">
      <c r="A68" s="13" t="s">
        <v>258</v>
      </c>
      <c r="B68" s="13" t="s">
        <v>259</v>
      </c>
    </row>
    <row r="69" spans="1:2" x14ac:dyDescent="0.3">
      <c r="A69" s="13" t="s">
        <v>260</v>
      </c>
      <c r="B69" s="13" t="s">
        <v>261</v>
      </c>
    </row>
    <row r="70" spans="1:2" x14ac:dyDescent="0.3">
      <c r="A70" s="13" t="s">
        <v>262</v>
      </c>
      <c r="B70" s="13" t="s">
        <v>263</v>
      </c>
    </row>
    <row r="71" spans="1:2" x14ac:dyDescent="0.3">
      <c r="A71" s="13" t="s">
        <v>264</v>
      </c>
      <c r="B71" s="13" t="s">
        <v>265</v>
      </c>
    </row>
    <row r="72" spans="1:2" x14ac:dyDescent="0.3">
      <c r="A72" s="13" t="s">
        <v>266</v>
      </c>
      <c r="B72" s="13" t="s">
        <v>267</v>
      </c>
    </row>
    <row r="73" spans="1:2" x14ac:dyDescent="0.3">
      <c r="A73" s="13" t="s">
        <v>268</v>
      </c>
      <c r="B73" s="13" t="s">
        <v>269</v>
      </c>
    </row>
    <row r="74" spans="1:2" x14ac:dyDescent="0.3">
      <c r="A74" s="13" t="s">
        <v>270</v>
      </c>
      <c r="B74" s="13" t="s">
        <v>271</v>
      </c>
    </row>
    <row r="75" spans="1:2" x14ac:dyDescent="0.3">
      <c r="A75" s="13" t="s">
        <v>272</v>
      </c>
      <c r="B75" s="13" t="s">
        <v>273</v>
      </c>
    </row>
    <row r="76" spans="1:2" x14ac:dyDescent="0.3">
      <c r="A76" s="13" t="s">
        <v>274</v>
      </c>
      <c r="B76" s="13" t="s">
        <v>275</v>
      </c>
    </row>
    <row r="77" spans="1:2" x14ac:dyDescent="0.3">
      <c r="A77" s="13" t="s">
        <v>276</v>
      </c>
      <c r="B77" s="13" t="s">
        <v>277</v>
      </c>
    </row>
    <row r="78" spans="1:2" x14ac:dyDescent="0.3">
      <c r="A78" s="13" t="s">
        <v>278</v>
      </c>
      <c r="B78" s="13" t="s">
        <v>279</v>
      </c>
    </row>
    <row r="79" spans="1:2" x14ac:dyDescent="0.3">
      <c r="A79" s="13" t="s">
        <v>280</v>
      </c>
      <c r="B79" s="13" t="s">
        <v>281</v>
      </c>
    </row>
    <row r="80" spans="1:2" x14ac:dyDescent="0.3">
      <c r="A80" s="13" t="s">
        <v>282</v>
      </c>
      <c r="B80" s="13" t="s">
        <v>283</v>
      </c>
    </row>
    <row r="81" spans="1:2" x14ac:dyDescent="0.3">
      <c r="A81" s="13" t="s">
        <v>284</v>
      </c>
      <c r="B81" s="13" t="s">
        <v>285</v>
      </c>
    </row>
    <row r="82" spans="1:2" x14ac:dyDescent="0.3">
      <c r="A82" s="13" t="s">
        <v>286</v>
      </c>
      <c r="B82" s="13" t="s">
        <v>287</v>
      </c>
    </row>
    <row r="83" spans="1:2" x14ac:dyDescent="0.3">
      <c r="A83" s="13" t="s">
        <v>288</v>
      </c>
      <c r="B83" s="13" t="s">
        <v>289</v>
      </c>
    </row>
    <row r="84" spans="1:2" x14ac:dyDescent="0.3">
      <c r="A84" s="13" t="s">
        <v>290</v>
      </c>
      <c r="B84" s="13" t="s">
        <v>291</v>
      </c>
    </row>
    <row r="85" spans="1:2" x14ac:dyDescent="0.3">
      <c r="A85" s="13" t="s">
        <v>292</v>
      </c>
      <c r="B85" s="13" t="s">
        <v>293</v>
      </c>
    </row>
    <row r="86" spans="1:2" x14ac:dyDescent="0.3">
      <c r="A86" s="13" t="s">
        <v>294</v>
      </c>
      <c r="B86" s="13" t="s">
        <v>295</v>
      </c>
    </row>
    <row r="87" spans="1:2" x14ac:dyDescent="0.3">
      <c r="A87" s="13" t="s">
        <v>296</v>
      </c>
      <c r="B87" s="13" t="s">
        <v>297</v>
      </c>
    </row>
    <row r="88" spans="1:2" x14ac:dyDescent="0.3">
      <c r="A88" s="13" t="s">
        <v>298</v>
      </c>
      <c r="B88" s="13" t="s">
        <v>299</v>
      </c>
    </row>
    <row r="89" spans="1:2" x14ac:dyDescent="0.3">
      <c r="A89" s="13" t="s">
        <v>300</v>
      </c>
      <c r="B89" s="13" t="s">
        <v>301</v>
      </c>
    </row>
    <row r="90" spans="1:2" x14ac:dyDescent="0.3">
      <c r="A90" s="13" t="s">
        <v>302</v>
      </c>
      <c r="B90" s="13" t="s">
        <v>303</v>
      </c>
    </row>
    <row r="91" spans="1:2" x14ac:dyDescent="0.3">
      <c r="A91" s="13" t="s">
        <v>304</v>
      </c>
      <c r="B91" s="13" t="s">
        <v>305</v>
      </c>
    </row>
    <row r="92" spans="1:2" x14ac:dyDescent="0.3">
      <c r="A92" s="13" t="s">
        <v>306</v>
      </c>
      <c r="B92" s="13" t="s">
        <v>307</v>
      </c>
    </row>
    <row r="93" spans="1:2" x14ac:dyDescent="0.3">
      <c r="A93" s="13" t="s">
        <v>308</v>
      </c>
      <c r="B93" s="13" t="s">
        <v>309</v>
      </c>
    </row>
    <row r="94" spans="1:2" x14ac:dyDescent="0.3">
      <c r="A94" s="13" t="s">
        <v>310</v>
      </c>
      <c r="B94" s="13" t="s">
        <v>311</v>
      </c>
    </row>
    <row r="95" spans="1:2" x14ac:dyDescent="0.3">
      <c r="A95" s="13" t="s">
        <v>312</v>
      </c>
      <c r="B95" s="13" t="s">
        <v>313</v>
      </c>
    </row>
    <row r="96" spans="1:2" x14ac:dyDescent="0.3">
      <c r="A96" s="13" t="s">
        <v>314</v>
      </c>
      <c r="B96" s="13" t="s">
        <v>315</v>
      </c>
    </row>
    <row r="97" spans="1:2" x14ac:dyDescent="0.3">
      <c r="A97" s="13" t="s">
        <v>316</v>
      </c>
      <c r="B97" s="13" t="s">
        <v>317</v>
      </c>
    </row>
    <row r="98" spans="1:2" x14ac:dyDescent="0.3">
      <c r="A98" s="13" t="s">
        <v>318</v>
      </c>
      <c r="B98" s="13" t="s">
        <v>319</v>
      </c>
    </row>
    <row r="99" spans="1:2" x14ac:dyDescent="0.3">
      <c r="A99" s="13" t="s">
        <v>320</v>
      </c>
      <c r="B99" s="13" t="s">
        <v>321</v>
      </c>
    </row>
    <row r="100" spans="1:2" x14ac:dyDescent="0.3">
      <c r="A100" s="13" t="s">
        <v>322</v>
      </c>
      <c r="B100" s="13" t="s">
        <v>323</v>
      </c>
    </row>
    <row r="101" spans="1:2" x14ac:dyDescent="0.3">
      <c r="A101" s="13" t="s">
        <v>324</v>
      </c>
      <c r="B101" s="13" t="s">
        <v>325</v>
      </c>
    </row>
    <row r="102" spans="1:2" x14ac:dyDescent="0.3">
      <c r="A102" s="13" t="s">
        <v>326</v>
      </c>
      <c r="B102" s="13" t="s">
        <v>327</v>
      </c>
    </row>
    <row r="103" spans="1:2" x14ac:dyDescent="0.3">
      <c r="A103" s="13" t="s">
        <v>328</v>
      </c>
      <c r="B103" s="13" t="s">
        <v>329</v>
      </c>
    </row>
    <row r="104" spans="1:2" x14ac:dyDescent="0.3">
      <c r="A104" s="13" t="s">
        <v>330</v>
      </c>
      <c r="B104" s="13" t="s">
        <v>331</v>
      </c>
    </row>
    <row r="105" spans="1:2" x14ac:dyDescent="0.3">
      <c r="A105" s="13" t="s">
        <v>332</v>
      </c>
      <c r="B105" s="13" t="s">
        <v>333</v>
      </c>
    </row>
    <row r="106" spans="1:2" x14ac:dyDescent="0.3">
      <c r="A106" s="13" t="s">
        <v>334</v>
      </c>
      <c r="B106" s="13" t="s">
        <v>335</v>
      </c>
    </row>
    <row r="107" spans="1:2" x14ac:dyDescent="0.3">
      <c r="A107" s="13" t="s">
        <v>336</v>
      </c>
      <c r="B107" s="13" t="s">
        <v>337</v>
      </c>
    </row>
    <row r="108" spans="1:2" x14ac:dyDescent="0.3">
      <c r="A108" s="13" t="s">
        <v>338</v>
      </c>
      <c r="B108" s="13" t="s">
        <v>339</v>
      </c>
    </row>
    <row r="109" spans="1:2" x14ac:dyDescent="0.3">
      <c r="A109" s="13" t="s">
        <v>340</v>
      </c>
      <c r="B109" s="13" t="s">
        <v>341</v>
      </c>
    </row>
    <row r="110" spans="1:2" x14ac:dyDescent="0.3">
      <c r="A110" s="13" t="s">
        <v>342</v>
      </c>
      <c r="B110" s="13" t="s">
        <v>343</v>
      </c>
    </row>
    <row r="111" spans="1:2" x14ac:dyDescent="0.3">
      <c r="A111" s="13" t="s">
        <v>344</v>
      </c>
      <c r="B111" s="13" t="s">
        <v>345</v>
      </c>
    </row>
    <row r="112" spans="1:2" x14ac:dyDescent="0.3">
      <c r="A112" s="13" t="s">
        <v>346</v>
      </c>
      <c r="B112" s="13" t="s">
        <v>347</v>
      </c>
    </row>
    <row r="113" spans="1:2" x14ac:dyDescent="0.3">
      <c r="A113" s="13" t="s">
        <v>348</v>
      </c>
      <c r="B113" s="13" t="s">
        <v>349</v>
      </c>
    </row>
    <row r="114" spans="1:2" x14ac:dyDescent="0.3">
      <c r="A114" s="13" t="s">
        <v>350</v>
      </c>
      <c r="B114" s="13" t="s">
        <v>351</v>
      </c>
    </row>
    <row r="115" spans="1:2" x14ac:dyDescent="0.3">
      <c r="A115" s="13" t="s">
        <v>352</v>
      </c>
      <c r="B115" s="13" t="s">
        <v>353</v>
      </c>
    </row>
    <row r="116" spans="1:2" x14ac:dyDescent="0.3">
      <c r="A116" s="13" t="s">
        <v>354</v>
      </c>
      <c r="B116" s="13" t="s">
        <v>355</v>
      </c>
    </row>
    <row r="117" spans="1:2" x14ac:dyDescent="0.3">
      <c r="A117" s="13" t="s">
        <v>356</v>
      </c>
      <c r="B117" s="13" t="s">
        <v>357</v>
      </c>
    </row>
    <row r="118" spans="1:2" x14ac:dyDescent="0.3">
      <c r="A118" s="13" t="s">
        <v>358</v>
      </c>
      <c r="B118" s="13" t="s">
        <v>359</v>
      </c>
    </row>
    <row r="119" spans="1:2" x14ac:dyDescent="0.3">
      <c r="A119" s="13" t="s">
        <v>360</v>
      </c>
      <c r="B119" s="13" t="s">
        <v>361</v>
      </c>
    </row>
    <row r="120" spans="1:2" x14ac:dyDescent="0.3">
      <c r="A120" s="13" t="s">
        <v>362</v>
      </c>
      <c r="B120" s="13" t="s">
        <v>363</v>
      </c>
    </row>
    <row r="121" spans="1:2" x14ac:dyDescent="0.3">
      <c r="A121" s="13" t="s">
        <v>364</v>
      </c>
      <c r="B121" s="13" t="s">
        <v>365</v>
      </c>
    </row>
    <row r="122" spans="1:2" x14ac:dyDescent="0.3">
      <c r="A122" s="13" t="s">
        <v>366</v>
      </c>
      <c r="B122" s="13" t="s">
        <v>367</v>
      </c>
    </row>
    <row r="123" spans="1:2" x14ac:dyDescent="0.3">
      <c r="A123" s="13" t="s">
        <v>368</v>
      </c>
      <c r="B123" s="13" t="s">
        <v>369</v>
      </c>
    </row>
    <row r="124" spans="1:2" x14ac:dyDescent="0.3">
      <c r="A124" s="13" t="s">
        <v>370</v>
      </c>
      <c r="B124" s="13" t="s">
        <v>371</v>
      </c>
    </row>
    <row r="125" spans="1:2" x14ac:dyDescent="0.3">
      <c r="A125" s="13" t="s">
        <v>372</v>
      </c>
      <c r="B125" s="13" t="s">
        <v>373</v>
      </c>
    </row>
    <row r="126" spans="1:2" x14ac:dyDescent="0.3">
      <c r="A126" s="13" t="s">
        <v>374</v>
      </c>
      <c r="B126" s="13" t="s">
        <v>375</v>
      </c>
    </row>
    <row r="127" spans="1:2" x14ac:dyDescent="0.3">
      <c r="A127" s="13" t="s">
        <v>376</v>
      </c>
      <c r="B127" s="13" t="s">
        <v>377</v>
      </c>
    </row>
    <row r="128" spans="1:2" x14ac:dyDescent="0.3">
      <c r="A128" s="13" t="s">
        <v>378</v>
      </c>
      <c r="B128" s="13" t="s">
        <v>379</v>
      </c>
    </row>
    <row r="129" spans="1:2" x14ac:dyDescent="0.3">
      <c r="A129" s="13" t="s">
        <v>380</v>
      </c>
      <c r="B129" s="13" t="s">
        <v>381</v>
      </c>
    </row>
    <row r="130" spans="1:2" x14ac:dyDescent="0.3">
      <c r="A130" s="13" t="s">
        <v>382</v>
      </c>
      <c r="B130" s="13" t="s">
        <v>383</v>
      </c>
    </row>
    <row r="131" spans="1:2" ht="26" x14ac:dyDescent="0.3">
      <c r="A131" s="13" t="s">
        <v>384</v>
      </c>
      <c r="B131" s="13" t="s">
        <v>385</v>
      </c>
    </row>
    <row r="132" spans="1:2" x14ac:dyDescent="0.3">
      <c r="A132" s="13" t="s">
        <v>386</v>
      </c>
      <c r="B132" s="13" t="s">
        <v>387</v>
      </c>
    </row>
    <row r="133" spans="1:2" x14ac:dyDescent="0.3">
      <c r="A133" s="13" t="s">
        <v>388</v>
      </c>
      <c r="B133" s="13" t="s">
        <v>389</v>
      </c>
    </row>
    <row r="134" spans="1:2" x14ac:dyDescent="0.3">
      <c r="A134" s="13" t="s">
        <v>390</v>
      </c>
      <c r="B134" s="13" t="s">
        <v>391</v>
      </c>
    </row>
    <row r="135" spans="1:2" x14ac:dyDescent="0.3">
      <c r="A135" s="13" t="s">
        <v>392</v>
      </c>
      <c r="B135" s="13" t="s">
        <v>393</v>
      </c>
    </row>
    <row r="136" spans="1:2" x14ac:dyDescent="0.3">
      <c r="A136" s="13" t="s">
        <v>394</v>
      </c>
      <c r="B136" s="13" t="s">
        <v>395</v>
      </c>
    </row>
    <row r="137" spans="1:2" x14ac:dyDescent="0.3">
      <c r="A137" s="13" t="s">
        <v>396</v>
      </c>
      <c r="B137" s="13" t="s">
        <v>397</v>
      </c>
    </row>
    <row r="138" spans="1:2" x14ac:dyDescent="0.3">
      <c r="A138" s="13" t="s">
        <v>398</v>
      </c>
      <c r="B138" s="13" t="s">
        <v>399</v>
      </c>
    </row>
    <row r="139" spans="1:2" x14ac:dyDescent="0.3">
      <c r="A139" s="13" t="s">
        <v>400</v>
      </c>
      <c r="B139" s="13" t="s">
        <v>401</v>
      </c>
    </row>
    <row r="140" spans="1:2" x14ac:dyDescent="0.3">
      <c r="A140" s="13" t="s">
        <v>402</v>
      </c>
      <c r="B140" s="13" t="s">
        <v>403</v>
      </c>
    </row>
    <row r="141" spans="1:2" x14ac:dyDescent="0.3">
      <c r="A141" s="13" t="s">
        <v>404</v>
      </c>
      <c r="B141" s="13" t="s">
        <v>405</v>
      </c>
    </row>
    <row r="142" spans="1:2" x14ac:dyDescent="0.3">
      <c r="A142" s="13" t="s">
        <v>406</v>
      </c>
      <c r="B142" s="13" t="s">
        <v>407</v>
      </c>
    </row>
    <row r="143" spans="1:2" x14ac:dyDescent="0.3">
      <c r="A143" s="13" t="s">
        <v>408</v>
      </c>
      <c r="B143" s="13" t="s">
        <v>409</v>
      </c>
    </row>
    <row r="144" spans="1:2" x14ac:dyDescent="0.3">
      <c r="A144" s="13" t="s">
        <v>410</v>
      </c>
      <c r="B144" s="13" t="s">
        <v>411</v>
      </c>
    </row>
    <row r="145" spans="1:2" x14ac:dyDescent="0.3">
      <c r="A145" s="13" t="s">
        <v>412</v>
      </c>
      <c r="B145" s="13" t="s">
        <v>413</v>
      </c>
    </row>
    <row r="146" spans="1:2" x14ac:dyDescent="0.3">
      <c r="A146" s="13" t="s">
        <v>414</v>
      </c>
      <c r="B146" s="13" t="s">
        <v>415</v>
      </c>
    </row>
    <row r="147" spans="1:2" x14ac:dyDescent="0.3">
      <c r="A147" s="13" t="s">
        <v>416</v>
      </c>
      <c r="B147" s="13" t="s">
        <v>417</v>
      </c>
    </row>
    <row r="148" spans="1:2" x14ac:dyDescent="0.3">
      <c r="A148" s="13" t="s">
        <v>418</v>
      </c>
      <c r="B148" s="13" t="s">
        <v>419</v>
      </c>
    </row>
    <row r="149" spans="1:2" x14ac:dyDescent="0.3">
      <c r="A149" s="13" t="s">
        <v>420</v>
      </c>
      <c r="B149" s="13" t="s">
        <v>421</v>
      </c>
    </row>
    <row r="150" spans="1:2" x14ac:dyDescent="0.3">
      <c r="A150" s="13" t="s">
        <v>422</v>
      </c>
      <c r="B150" s="13" t="s">
        <v>423</v>
      </c>
    </row>
    <row r="151" spans="1:2" x14ac:dyDescent="0.3">
      <c r="A151" s="13" t="s">
        <v>424</v>
      </c>
      <c r="B151" s="13" t="s">
        <v>425</v>
      </c>
    </row>
    <row r="152" spans="1:2" x14ac:dyDescent="0.3">
      <c r="A152" s="13" t="s">
        <v>426</v>
      </c>
      <c r="B152" s="13" t="s">
        <v>135</v>
      </c>
    </row>
    <row r="153" spans="1:2" x14ac:dyDescent="0.3">
      <c r="A153" s="13" t="s">
        <v>427</v>
      </c>
      <c r="B153" s="13" t="s">
        <v>428</v>
      </c>
    </row>
    <row r="154" spans="1:2" x14ac:dyDescent="0.3">
      <c r="A154" s="13" t="s">
        <v>429</v>
      </c>
      <c r="B154" s="13" t="s">
        <v>430</v>
      </c>
    </row>
    <row r="155" spans="1:2" x14ac:dyDescent="0.3">
      <c r="A155" s="13" t="s">
        <v>431</v>
      </c>
      <c r="B155" s="13" t="s">
        <v>432</v>
      </c>
    </row>
    <row r="156" spans="1:2" x14ac:dyDescent="0.3">
      <c r="A156" s="13" t="s">
        <v>433</v>
      </c>
      <c r="B156" s="13" t="s">
        <v>434</v>
      </c>
    </row>
    <row r="157" spans="1:2" x14ac:dyDescent="0.3">
      <c r="A157" s="13" t="s">
        <v>435</v>
      </c>
      <c r="B157" s="13" t="s">
        <v>436</v>
      </c>
    </row>
    <row r="158" spans="1:2" x14ac:dyDescent="0.3">
      <c r="A158" s="13" t="s">
        <v>437</v>
      </c>
      <c r="B158" s="13" t="s">
        <v>438</v>
      </c>
    </row>
    <row r="159" spans="1:2" x14ac:dyDescent="0.3">
      <c r="A159" s="13" t="s">
        <v>439</v>
      </c>
      <c r="B159" s="13" t="s">
        <v>440</v>
      </c>
    </row>
    <row r="160" spans="1:2" x14ac:dyDescent="0.3">
      <c r="A160" s="13" t="s">
        <v>441</v>
      </c>
      <c r="B160" s="13" t="s">
        <v>442</v>
      </c>
    </row>
    <row r="161" spans="1:2" x14ac:dyDescent="0.3">
      <c r="A161" s="13" t="s">
        <v>443</v>
      </c>
      <c r="B161" s="13" t="s">
        <v>444</v>
      </c>
    </row>
    <row r="162" spans="1:2" x14ac:dyDescent="0.3">
      <c r="A162" s="13" t="s">
        <v>445</v>
      </c>
      <c r="B162" s="13" t="s">
        <v>446</v>
      </c>
    </row>
    <row r="163" spans="1:2" x14ac:dyDescent="0.3">
      <c r="A163" s="13" t="s">
        <v>447</v>
      </c>
      <c r="B163" s="13" t="s">
        <v>448</v>
      </c>
    </row>
    <row r="164" spans="1:2" x14ac:dyDescent="0.3">
      <c r="A164" s="13" t="s">
        <v>449</v>
      </c>
      <c r="B164" s="13" t="s">
        <v>450</v>
      </c>
    </row>
    <row r="165" spans="1:2" x14ac:dyDescent="0.3">
      <c r="A165" s="13" t="s">
        <v>451</v>
      </c>
      <c r="B165" s="13" t="s">
        <v>452</v>
      </c>
    </row>
    <row r="166" spans="1:2" x14ac:dyDescent="0.3">
      <c r="A166" s="13" t="s">
        <v>453</v>
      </c>
      <c r="B166" s="13" t="s">
        <v>454</v>
      </c>
    </row>
    <row r="167" spans="1:2" x14ac:dyDescent="0.3">
      <c r="A167" s="13" t="s">
        <v>455</v>
      </c>
      <c r="B167" s="13" t="s">
        <v>456</v>
      </c>
    </row>
    <row r="168" spans="1:2" x14ac:dyDescent="0.3">
      <c r="A168" s="13" t="s">
        <v>457</v>
      </c>
      <c r="B168" s="13" t="s">
        <v>458</v>
      </c>
    </row>
    <row r="169" spans="1:2" x14ac:dyDescent="0.3">
      <c r="A169" s="13" t="s">
        <v>459</v>
      </c>
      <c r="B169" s="13" t="s">
        <v>460</v>
      </c>
    </row>
    <row r="170" spans="1:2" x14ac:dyDescent="0.3">
      <c r="A170" s="13" t="s">
        <v>461</v>
      </c>
      <c r="B170" s="13" t="s">
        <v>462</v>
      </c>
    </row>
    <row r="171" spans="1:2" x14ac:dyDescent="0.3">
      <c r="A171" s="13" t="s">
        <v>463</v>
      </c>
      <c r="B171" s="13" t="s">
        <v>464</v>
      </c>
    </row>
    <row r="172" spans="1:2" x14ac:dyDescent="0.3">
      <c r="A172" s="13" t="s">
        <v>465</v>
      </c>
      <c r="B172" s="13" t="s">
        <v>466</v>
      </c>
    </row>
    <row r="173" spans="1:2" x14ac:dyDescent="0.3">
      <c r="A173" s="13" t="s">
        <v>467</v>
      </c>
      <c r="B173" s="13" t="s">
        <v>468</v>
      </c>
    </row>
    <row r="174" spans="1:2" x14ac:dyDescent="0.3">
      <c r="A174" s="13" t="s">
        <v>469</v>
      </c>
      <c r="B174" s="13" t="s">
        <v>470</v>
      </c>
    </row>
    <row r="175" spans="1:2" x14ac:dyDescent="0.3">
      <c r="A175" s="13" t="s">
        <v>471</v>
      </c>
      <c r="B175" s="13" t="s">
        <v>472</v>
      </c>
    </row>
    <row r="176" spans="1:2" x14ac:dyDescent="0.3">
      <c r="A176" s="13" t="s">
        <v>473</v>
      </c>
      <c r="B176" s="13" t="s">
        <v>474</v>
      </c>
    </row>
    <row r="177" spans="1:2" x14ac:dyDescent="0.3">
      <c r="A177" s="13" t="s">
        <v>475</v>
      </c>
      <c r="B177" s="13" t="s">
        <v>476</v>
      </c>
    </row>
    <row r="178" spans="1:2" x14ac:dyDescent="0.3">
      <c r="A178" s="13" t="s">
        <v>477</v>
      </c>
      <c r="B178" s="13" t="s">
        <v>478</v>
      </c>
    </row>
    <row r="179" spans="1:2" x14ac:dyDescent="0.3">
      <c r="A179" s="13" t="s">
        <v>479</v>
      </c>
      <c r="B179" s="13" t="s">
        <v>480</v>
      </c>
    </row>
    <row r="180" spans="1:2" x14ac:dyDescent="0.3">
      <c r="A180" s="13" t="s">
        <v>481</v>
      </c>
      <c r="B180" s="13" t="s">
        <v>482</v>
      </c>
    </row>
    <row r="181" spans="1:2" x14ac:dyDescent="0.3">
      <c r="A181" s="13" t="s">
        <v>483</v>
      </c>
      <c r="B181" s="13" t="s">
        <v>484</v>
      </c>
    </row>
    <row r="182" spans="1:2" x14ac:dyDescent="0.3">
      <c r="A182" s="13" t="s">
        <v>485</v>
      </c>
      <c r="B182" s="13" t="s">
        <v>486</v>
      </c>
    </row>
    <row r="183" spans="1:2" x14ac:dyDescent="0.3">
      <c r="A183" s="13" t="s">
        <v>485</v>
      </c>
      <c r="B183" s="13" t="s">
        <v>487</v>
      </c>
    </row>
    <row r="184" spans="1:2" x14ac:dyDescent="0.3">
      <c r="A184" s="13" t="s">
        <v>488</v>
      </c>
      <c r="B184" s="13" t="s">
        <v>489</v>
      </c>
    </row>
    <row r="185" spans="1:2" x14ac:dyDescent="0.3">
      <c r="A185" s="13" t="s">
        <v>490</v>
      </c>
      <c r="B185" s="13" t="s">
        <v>491</v>
      </c>
    </row>
    <row r="186" spans="1:2" x14ac:dyDescent="0.3">
      <c r="A186" s="13" t="s">
        <v>492</v>
      </c>
      <c r="B186" s="13" t="s">
        <v>493</v>
      </c>
    </row>
    <row r="187" spans="1:2" x14ac:dyDescent="0.3">
      <c r="A187" s="13" t="s">
        <v>494</v>
      </c>
      <c r="B187" s="13" t="s">
        <v>495</v>
      </c>
    </row>
    <row r="188" spans="1:2" x14ac:dyDescent="0.3">
      <c r="A188" s="13" t="s">
        <v>496</v>
      </c>
      <c r="B188" s="13" t="s">
        <v>497</v>
      </c>
    </row>
    <row r="189" spans="1:2" x14ac:dyDescent="0.3">
      <c r="A189" s="13" t="s">
        <v>498</v>
      </c>
      <c r="B189" s="13" t="s">
        <v>499</v>
      </c>
    </row>
    <row r="190" spans="1:2" x14ac:dyDescent="0.3">
      <c r="A190" s="13" t="s">
        <v>500</v>
      </c>
      <c r="B190" s="13" t="s">
        <v>501</v>
      </c>
    </row>
    <row r="191" spans="1:2" x14ac:dyDescent="0.3">
      <c r="A191" s="13" t="s">
        <v>502</v>
      </c>
      <c r="B191" s="13" t="s">
        <v>503</v>
      </c>
    </row>
    <row r="192" spans="1:2" x14ac:dyDescent="0.3">
      <c r="A192" s="13" t="s">
        <v>504</v>
      </c>
      <c r="B192" s="13" t="s">
        <v>505</v>
      </c>
    </row>
    <row r="193" spans="1:2" x14ac:dyDescent="0.3">
      <c r="A193" s="13" t="s">
        <v>506</v>
      </c>
      <c r="B193" s="13" t="s">
        <v>507</v>
      </c>
    </row>
    <row r="194" spans="1:2" x14ac:dyDescent="0.3">
      <c r="A194" s="13" t="s">
        <v>508</v>
      </c>
      <c r="B194" s="13" t="s">
        <v>509</v>
      </c>
    </row>
    <row r="195" spans="1:2" x14ac:dyDescent="0.3">
      <c r="A195" s="13" t="s">
        <v>510</v>
      </c>
      <c r="B195" s="13" t="s">
        <v>511</v>
      </c>
    </row>
    <row r="196" spans="1:2" x14ac:dyDescent="0.3">
      <c r="A196" s="13" t="s">
        <v>512</v>
      </c>
      <c r="B196" s="13" t="s">
        <v>513</v>
      </c>
    </row>
    <row r="197" spans="1:2" ht="26" x14ac:dyDescent="0.3">
      <c r="A197" s="13" t="s">
        <v>514</v>
      </c>
      <c r="B197" s="13" t="s">
        <v>515</v>
      </c>
    </row>
    <row r="198" spans="1:2" x14ac:dyDescent="0.3">
      <c r="A198" s="13" t="s">
        <v>516</v>
      </c>
      <c r="B198" s="13" t="s">
        <v>517</v>
      </c>
    </row>
    <row r="199" spans="1:2" x14ac:dyDescent="0.3">
      <c r="A199" s="13" t="s">
        <v>518</v>
      </c>
      <c r="B199" s="13" t="s">
        <v>519</v>
      </c>
    </row>
    <row r="200" spans="1:2" x14ac:dyDescent="0.3">
      <c r="A200" s="13" t="s">
        <v>520</v>
      </c>
      <c r="B200" s="13" t="s">
        <v>521</v>
      </c>
    </row>
    <row r="201" spans="1:2" x14ac:dyDescent="0.3">
      <c r="A201" s="13" t="s">
        <v>522</v>
      </c>
      <c r="B201" s="13" t="s">
        <v>523</v>
      </c>
    </row>
    <row r="202" spans="1:2" x14ac:dyDescent="0.3">
      <c r="A202" s="13" t="s">
        <v>524</v>
      </c>
      <c r="B202" s="13" t="s">
        <v>525</v>
      </c>
    </row>
    <row r="203" spans="1:2" x14ac:dyDescent="0.3">
      <c r="A203" s="13" t="s">
        <v>526</v>
      </c>
      <c r="B203" s="13" t="s">
        <v>527</v>
      </c>
    </row>
    <row r="204" spans="1:2" x14ac:dyDescent="0.3">
      <c r="A204" s="13" t="s">
        <v>528</v>
      </c>
      <c r="B204" s="13" t="s">
        <v>529</v>
      </c>
    </row>
    <row r="205" spans="1:2" x14ac:dyDescent="0.3">
      <c r="A205" s="13" t="s">
        <v>530</v>
      </c>
      <c r="B205" s="13" t="s">
        <v>531</v>
      </c>
    </row>
    <row r="206" spans="1:2" x14ac:dyDescent="0.3">
      <c r="A206" s="13" t="s">
        <v>532</v>
      </c>
      <c r="B206" s="13" t="s">
        <v>533</v>
      </c>
    </row>
    <row r="207" spans="1:2" x14ac:dyDescent="0.3">
      <c r="A207" s="13" t="s">
        <v>534</v>
      </c>
      <c r="B207" s="13" t="s">
        <v>535</v>
      </c>
    </row>
    <row r="208" spans="1:2" x14ac:dyDescent="0.3">
      <c r="A208" s="13" t="s">
        <v>536</v>
      </c>
      <c r="B208" s="13" t="s">
        <v>537</v>
      </c>
    </row>
    <row r="209" spans="1:2" x14ac:dyDescent="0.3">
      <c r="A209" s="13" t="s">
        <v>538</v>
      </c>
      <c r="B209" s="13" t="s">
        <v>539</v>
      </c>
    </row>
    <row r="210" spans="1:2" x14ac:dyDescent="0.3">
      <c r="A210" s="13" t="s">
        <v>540</v>
      </c>
      <c r="B210" s="13" t="s">
        <v>541</v>
      </c>
    </row>
    <row r="211" spans="1:2" x14ac:dyDescent="0.3">
      <c r="A211" s="13" t="s">
        <v>542</v>
      </c>
      <c r="B211" s="13" t="s">
        <v>543</v>
      </c>
    </row>
    <row r="212" spans="1:2" x14ac:dyDescent="0.3">
      <c r="A212" s="13" t="s">
        <v>544</v>
      </c>
      <c r="B212" s="13" t="s">
        <v>545</v>
      </c>
    </row>
    <row r="213" spans="1:2" x14ac:dyDescent="0.3">
      <c r="A213" s="13" t="s">
        <v>546</v>
      </c>
      <c r="B213" s="13" t="s">
        <v>547</v>
      </c>
    </row>
    <row r="214" spans="1:2" x14ac:dyDescent="0.3">
      <c r="A214" s="13" t="s">
        <v>548</v>
      </c>
      <c r="B214" s="13" t="s">
        <v>549</v>
      </c>
    </row>
    <row r="215" spans="1:2" x14ac:dyDescent="0.3">
      <c r="A215" s="13" t="s">
        <v>550</v>
      </c>
      <c r="B215" s="13" t="s">
        <v>551</v>
      </c>
    </row>
    <row r="216" spans="1:2" x14ac:dyDescent="0.3">
      <c r="A216" s="13" t="s">
        <v>552</v>
      </c>
      <c r="B216" s="13" t="s">
        <v>553</v>
      </c>
    </row>
    <row r="217" spans="1:2" x14ac:dyDescent="0.3">
      <c r="A217" s="13" t="s">
        <v>554</v>
      </c>
      <c r="B217" s="13" t="s">
        <v>555</v>
      </c>
    </row>
    <row r="218" spans="1:2" x14ac:dyDescent="0.3">
      <c r="A218" s="13" t="s">
        <v>556</v>
      </c>
      <c r="B218" s="13" t="s">
        <v>557</v>
      </c>
    </row>
    <row r="219" spans="1:2" x14ac:dyDescent="0.3">
      <c r="A219" s="13" t="s">
        <v>558</v>
      </c>
      <c r="B219" s="13" t="s">
        <v>559</v>
      </c>
    </row>
    <row r="220" spans="1:2" x14ac:dyDescent="0.3">
      <c r="A220" s="13" t="s">
        <v>560</v>
      </c>
      <c r="B220" s="13" t="s">
        <v>561</v>
      </c>
    </row>
    <row r="221" spans="1:2" x14ac:dyDescent="0.3">
      <c r="A221" s="13" t="s">
        <v>562</v>
      </c>
      <c r="B221" s="13" t="s">
        <v>563</v>
      </c>
    </row>
    <row r="222" spans="1:2" x14ac:dyDescent="0.3">
      <c r="A222" s="13" t="s">
        <v>564</v>
      </c>
      <c r="B222" s="13" t="s">
        <v>565</v>
      </c>
    </row>
    <row r="223" spans="1:2" x14ac:dyDescent="0.3">
      <c r="A223" s="13" t="s">
        <v>566</v>
      </c>
      <c r="B223" s="13" t="s">
        <v>567</v>
      </c>
    </row>
    <row r="224" spans="1:2" x14ac:dyDescent="0.3">
      <c r="A224" s="13" t="s">
        <v>568</v>
      </c>
      <c r="B224" s="13" t="s">
        <v>569</v>
      </c>
    </row>
    <row r="225" spans="1:2" x14ac:dyDescent="0.3">
      <c r="A225" s="13" t="s">
        <v>570</v>
      </c>
      <c r="B225" s="13" t="s">
        <v>571</v>
      </c>
    </row>
    <row r="226" spans="1:2" x14ac:dyDescent="0.3">
      <c r="A226" s="13" t="s">
        <v>572</v>
      </c>
      <c r="B226" s="13" t="s">
        <v>573</v>
      </c>
    </row>
    <row r="227" spans="1:2" x14ac:dyDescent="0.3">
      <c r="A227" s="13" t="s">
        <v>574</v>
      </c>
      <c r="B227" s="13" t="s">
        <v>575</v>
      </c>
    </row>
    <row r="228" spans="1:2" x14ac:dyDescent="0.3">
      <c r="A228" s="13" t="s">
        <v>576</v>
      </c>
      <c r="B228" s="13" t="s">
        <v>577</v>
      </c>
    </row>
    <row r="229" spans="1:2" x14ac:dyDescent="0.3">
      <c r="A229" s="13" t="s">
        <v>578</v>
      </c>
      <c r="B229" s="13" t="s">
        <v>579</v>
      </c>
    </row>
    <row r="230" spans="1:2" x14ac:dyDescent="0.3">
      <c r="A230" s="13" t="s">
        <v>580</v>
      </c>
      <c r="B230" s="13" t="s">
        <v>581</v>
      </c>
    </row>
    <row r="231" spans="1:2" x14ac:dyDescent="0.3">
      <c r="A231" s="13" t="s">
        <v>582</v>
      </c>
      <c r="B231" s="13" t="s">
        <v>583</v>
      </c>
    </row>
    <row r="232" spans="1:2" x14ac:dyDescent="0.3">
      <c r="A232" s="13" t="s">
        <v>584</v>
      </c>
      <c r="B232" s="13" t="s">
        <v>585</v>
      </c>
    </row>
    <row r="233" spans="1:2" x14ac:dyDescent="0.3">
      <c r="A233" s="13" t="s">
        <v>586</v>
      </c>
      <c r="B233" s="13" t="s">
        <v>587</v>
      </c>
    </row>
    <row r="234" spans="1:2" x14ac:dyDescent="0.3">
      <c r="A234" s="13" t="s">
        <v>588</v>
      </c>
      <c r="B234" s="13" t="s">
        <v>589</v>
      </c>
    </row>
    <row r="235" spans="1:2" x14ac:dyDescent="0.3">
      <c r="A235" s="13" t="s">
        <v>590</v>
      </c>
      <c r="B235" s="13" t="s">
        <v>591</v>
      </c>
    </row>
    <row r="236" spans="1:2" x14ac:dyDescent="0.3">
      <c r="A236" s="13" t="s">
        <v>592</v>
      </c>
      <c r="B236" s="13" t="s">
        <v>593</v>
      </c>
    </row>
    <row r="237" spans="1:2" x14ac:dyDescent="0.3">
      <c r="A237" s="13" t="s">
        <v>594</v>
      </c>
      <c r="B237" s="13" t="s">
        <v>595</v>
      </c>
    </row>
    <row r="238" spans="1:2" x14ac:dyDescent="0.3">
      <c r="A238" s="13" t="s">
        <v>596</v>
      </c>
      <c r="B238" s="13" t="s">
        <v>597</v>
      </c>
    </row>
    <row r="239" spans="1:2" x14ac:dyDescent="0.3">
      <c r="A239" s="13" t="s">
        <v>598</v>
      </c>
      <c r="B239" s="13" t="s">
        <v>599</v>
      </c>
    </row>
    <row r="240" spans="1:2" x14ac:dyDescent="0.3">
      <c r="A240" s="13" t="s">
        <v>600</v>
      </c>
      <c r="B240" s="13" t="s">
        <v>601</v>
      </c>
    </row>
    <row r="241" spans="1:2" x14ac:dyDescent="0.3">
      <c r="A241" s="13" t="s">
        <v>602</v>
      </c>
      <c r="B241" s="13" t="s">
        <v>603</v>
      </c>
    </row>
    <row r="242" spans="1:2" x14ac:dyDescent="0.3">
      <c r="A242" s="13" t="s">
        <v>604</v>
      </c>
      <c r="B242" s="13" t="s">
        <v>605</v>
      </c>
    </row>
  </sheetData>
  <mergeCells count="18">
    <mergeCell ref="S6:T6"/>
    <mergeCell ref="X6:Y6"/>
    <mergeCell ref="A2:B2"/>
    <mergeCell ref="AM14:AP14"/>
    <mergeCell ref="AM2:AP2"/>
    <mergeCell ref="AC2:AF2"/>
    <mergeCell ref="E19:F19"/>
    <mergeCell ref="AH2:AK2"/>
    <mergeCell ref="D2:G2"/>
    <mergeCell ref="I2:L2"/>
    <mergeCell ref="N2:Q2"/>
    <mergeCell ref="S2:V2"/>
    <mergeCell ref="X2:AA2"/>
    <mergeCell ref="AC6:AD6"/>
    <mergeCell ref="AH6:AI6"/>
    <mergeCell ref="D6:E6"/>
    <mergeCell ref="I6:J6"/>
    <mergeCell ref="N6:O6"/>
  </mergeCells>
  <printOptions horizontalCentered="1"/>
  <pageMargins left="0.70866141732283472" right="0.70866141732283472" top="0.9055118110236221" bottom="0.78740157480314965" header="0.31496062992125984" footer="0.31496062992125984"/>
  <pageSetup paperSize="9" scale="23" orientation="portrait" r:id="rId1"/>
  <headerFooter>
    <oddHeader>&amp;L&amp;"Calibri"&amp;10&amp;K000000 INTERNAL&amp;1#_x000D_&amp;"Arial"&amp;11&amp;K000000&amp;"Audi Type,Fett"Logistische Lieferantenbewertung&amp;"Audi Type,Standard"
&amp;A&amp;R&amp;G&amp;L&amp;"Audi Type,Fett"Logistische Lieferantenbewertung&amp;"Audi Type,Standard"
&amp;A</oddHeader>
    <oddFooter>&amp;L&amp;"Audi Type,Standard"&amp;8&amp;F&amp;C&amp;"Audi Type,Standard"&amp;8&amp;P von &amp;N&amp;R&amp;"Audi Type,Standard"&amp;8Audi AG - &amp;D</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outlinePr summaryRight="0"/>
    <pageSetUpPr fitToPage="1"/>
  </sheetPr>
  <dimension ref="A1:J60"/>
  <sheetViews>
    <sheetView workbookViewId="0">
      <pane ySplit="4" topLeftCell="A5" activePane="bottomLeft" state="frozen"/>
      <selection activeCell="B3" sqref="B3"/>
      <selection pane="bottomLeft" activeCell="E6" sqref="E6"/>
    </sheetView>
  </sheetViews>
  <sheetFormatPr defaultColWidth="11" defaultRowHeight="14" outlineLevelCol="1" x14ac:dyDescent="0.3"/>
  <cols>
    <col min="1" max="1" width="2.58203125" style="101" customWidth="1"/>
    <col min="2" max="2" width="12.33203125" style="215" bestFit="1" customWidth="1"/>
    <col min="3" max="3" width="42" style="101" customWidth="1" outlineLevel="1"/>
    <col min="4" max="4" width="6.83203125" style="101" bestFit="1" customWidth="1"/>
    <col min="5" max="5" width="63.33203125" style="101" customWidth="1"/>
    <col min="6" max="7" width="2.58203125" style="101" customWidth="1"/>
    <col min="8" max="16384" width="11" style="101"/>
  </cols>
  <sheetData>
    <row r="1" spans="1:10" ht="35.5" thickBot="1" x14ac:dyDescent="0.75">
      <c r="A1" s="361" t="s">
        <v>778</v>
      </c>
      <c r="B1" s="361"/>
      <c r="C1" s="361"/>
      <c r="D1" s="361"/>
      <c r="E1" s="361"/>
      <c r="F1" s="361"/>
      <c r="G1" s="361"/>
      <c r="J1" s="65"/>
    </row>
    <row r="2" spans="1:10" s="25" customFormat="1" ht="8" x14ac:dyDescent="0.2">
      <c r="A2" s="50"/>
      <c r="B2" s="211"/>
      <c r="C2" s="51"/>
      <c r="D2" s="51"/>
      <c r="E2" s="51"/>
      <c r="F2" s="51"/>
      <c r="G2" s="52"/>
    </row>
    <row r="3" spans="1:10" x14ac:dyDescent="0.3">
      <c r="A3" s="104"/>
      <c r="B3" s="212" t="s">
        <v>608</v>
      </c>
      <c r="C3" s="108" t="s">
        <v>779</v>
      </c>
      <c r="D3" s="108" t="s">
        <v>610</v>
      </c>
      <c r="E3" s="108" t="s">
        <v>780</v>
      </c>
      <c r="F3" s="105"/>
      <c r="G3" s="106"/>
    </row>
    <row r="4" spans="1:10" s="25" customFormat="1" ht="8.5" thickBot="1" x14ac:dyDescent="0.25">
      <c r="A4" s="29"/>
      <c r="B4" s="213"/>
      <c r="C4" s="30"/>
      <c r="D4" s="30"/>
      <c r="E4" s="30"/>
      <c r="F4" s="30"/>
      <c r="G4" s="32"/>
    </row>
    <row r="5" spans="1:10" ht="18" x14ac:dyDescent="0.4">
      <c r="A5" s="102"/>
      <c r="B5" s="405" t="str">
        <f>'(1) Projectmanagement'!A1</f>
        <v>Module 1 - Project Management</v>
      </c>
      <c r="C5" s="405"/>
      <c r="D5" s="117"/>
      <c r="E5" s="117"/>
      <c r="F5" s="115"/>
      <c r="G5" s="103"/>
      <c r="J5" s="107"/>
    </row>
    <row r="6" spans="1:10" ht="18" x14ac:dyDescent="0.4">
      <c r="A6" s="104"/>
      <c r="B6" s="172" t="s">
        <v>83</v>
      </c>
      <c r="C6" s="113" t="str">
        <f>'(1) Projectmanagement'!C6</f>
        <v>Resource planning in the project</v>
      </c>
      <c r="D6" s="110" t="str">
        <f>'(1) Projectmanagement'!F8</f>
        <v>NB</v>
      </c>
      <c r="E6" s="187"/>
      <c r="F6" s="142" t="s">
        <v>781</v>
      </c>
      <c r="G6" s="141"/>
    </row>
    <row r="7" spans="1:10" ht="18" x14ac:dyDescent="0.4">
      <c r="A7" s="104"/>
      <c r="B7" s="128" t="s">
        <v>94</v>
      </c>
      <c r="C7" s="114" t="str">
        <f>'(1) Projectmanagement'!C9</f>
        <v>Organised project management</v>
      </c>
      <c r="D7" s="112" t="str">
        <f>'(1) Projectmanagement'!F11</f>
        <v>NB</v>
      </c>
      <c r="E7" s="188"/>
      <c r="F7" s="142" t="s">
        <v>781</v>
      </c>
      <c r="G7" s="141"/>
    </row>
    <row r="8" spans="1:10" ht="18" x14ac:dyDescent="0.4">
      <c r="A8" s="104"/>
      <c r="B8" s="128" t="s">
        <v>105</v>
      </c>
      <c r="C8" s="114" t="str">
        <f>'(1) Projectmanagement'!C12</f>
        <v>Crisis management in projects</v>
      </c>
      <c r="D8" s="112" t="str">
        <f>'(1) Projectmanagement'!F14</f>
        <v>NB</v>
      </c>
      <c r="E8" s="188"/>
      <c r="F8" s="142" t="s">
        <v>781</v>
      </c>
      <c r="G8" s="141"/>
    </row>
    <row r="9" spans="1:10" ht="18" x14ac:dyDescent="0.4">
      <c r="A9" s="104"/>
      <c r="B9" s="128" t="s">
        <v>116</v>
      </c>
      <c r="C9" s="114" t="str">
        <f>'(1) Projectmanagement'!C15</f>
        <v>Qualification level of employees</v>
      </c>
      <c r="D9" s="112" t="str">
        <f>'(1) Projectmanagement'!F17</f>
        <v>NB</v>
      </c>
      <c r="E9" s="188"/>
      <c r="F9" s="142" t="s">
        <v>781</v>
      </c>
      <c r="G9" s="141"/>
    </row>
    <row r="10" spans="1:10" ht="18" x14ac:dyDescent="0.4">
      <c r="A10" s="104"/>
      <c r="B10" s="128" t="s">
        <v>127</v>
      </c>
      <c r="C10" s="114" t="str">
        <f>'(1) Projectmanagement'!C18</f>
        <v>Technical change management</v>
      </c>
      <c r="D10" s="112" t="str">
        <f>'(1) Projectmanagement'!F20</f>
        <v>NB</v>
      </c>
      <c r="E10" s="188"/>
      <c r="F10" s="142" t="s">
        <v>781</v>
      </c>
      <c r="G10" s="141"/>
    </row>
    <row r="11" spans="1:10" ht="28" x14ac:dyDescent="0.4">
      <c r="A11" s="104"/>
      <c r="B11" s="128" t="s">
        <v>138</v>
      </c>
      <c r="C11" s="114" t="str">
        <f>'(1) Projectmanagement'!C21</f>
        <v>Supplementary specifications for pre-series phase</v>
      </c>
      <c r="D11" s="112" t="str">
        <f>'(1) Projectmanagement'!F23</f>
        <v>NB</v>
      </c>
      <c r="E11" s="188"/>
      <c r="F11" s="142" t="s">
        <v>781</v>
      </c>
      <c r="G11" s="141"/>
    </row>
    <row r="12" spans="1:10" ht="28" x14ac:dyDescent="0.4">
      <c r="A12" s="104"/>
      <c r="B12" s="128" t="s">
        <v>145</v>
      </c>
      <c r="C12" s="114" t="str">
        <f>'(1) Projectmanagement'!C24</f>
        <v>Technical installed capacity (Nomination Letter)</v>
      </c>
      <c r="D12" s="112" t="str">
        <f>'(1) Projectmanagement'!F26</f>
        <v>NB</v>
      </c>
      <c r="E12" s="188"/>
      <c r="F12" s="142" t="s">
        <v>781</v>
      </c>
      <c r="G12" s="141"/>
    </row>
    <row r="13" spans="1:10" s="25" customFormat="1" ht="8" x14ac:dyDescent="0.2">
      <c r="A13" s="121"/>
      <c r="B13" s="214"/>
      <c r="C13" s="122"/>
      <c r="D13" s="122"/>
      <c r="E13" s="190"/>
      <c r="F13" s="122"/>
      <c r="G13" s="123"/>
    </row>
    <row r="14" spans="1:10" ht="18" x14ac:dyDescent="0.4">
      <c r="A14" s="104"/>
      <c r="B14" s="404" t="str">
        <f>'(2) Order admin &amp; planning'!A1</f>
        <v>Module 2 - Order administration, production- and shipment planning</v>
      </c>
      <c r="C14" s="404"/>
      <c r="D14" s="118"/>
      <c r="E14" s="191"/>
      <c r="F14" s="116"/>
      <c r="G14" s="106"/>
      <c r="J14" s="107"/>
    </row>
    <row r="15" spans="1:10" ht="18" x14ac:dyDescent="0.4">
      <c r="A15" s="104"/>
      <c r="B15" s="172" t="s">
        <v>84</v>
      </c>
      <c r="C15" s="218" t="str">
        <f>'(2) Order admin &amp; planning'!C6</f>
        <v>Order administration</v>
      </c>
      <c r="D15" s="110" t="str">
        <f>'(2) Order admin &amp; planning'!F8</f>
        <v>NB</v>
      </c>
      <c r="E15" s="187"/>
      <c r="F15" s="142" t="s">
        <v>781</v>
      </c>
      <c r="G15" s="141"/>
    </row>
    <row r="16" spans="1:10" ht="18" x14ac:dyDescent="0.4">
      <c r="A16" s="104"/>
      <c r="B16" s="128" t="s">
        <v>95</v>
      </c>
      <c r="C16" s="218" t="str">
        <f>'(2) Order admin &amp; planning'!C9</f>
        <v>Delivery status and backlogs</v>
      </c>
      <c r="D16" s="110" t="str">
        <f>'(2) Order admin &amp; planning'!F11</f>
        <v>NB</v>
      </c>
      <c r="E16" s="188"/>
      <c r="F16" s="142" t="s">
        <v>781</v>
      </c>
      <c r="G16" s="141"/>
    </row>
    <row r="17" spans="1:10" ht="18" x14ac:dyDescent="0.4">
      <c r="A17" s="104"/>
      <c r="B17" s="128" t="s">
        <v>106</v>
      </c>
      <c r="C17" s="218" t="str">
        <f>'(2) Order admin &amp; planning'!C12</f>
        <v xml:space="preserve">Production programme planning </v>
      </c>
      <c r="D17" s="110" t="str">
        <f>'(2) Order admin &amp; planning'!F14</f>
        <v>NB</v>
      </c>
      <c r="E17" s="188"/>
      <c r="F17" s="142" t="s">
        <v>781</v>
      </c>
      <c r="G17" s="141"/>
    </row>
    <row r="18" spans="1:10" ht="18" x14ac:dyDescent="0.4">
      <c r="A18" s="104"/>
      <c r="B18" s="128" t="s">
        <v>117</v>
      </c>
      <c r="C18" s="218" t="str">
        <f>'(2) Order admin &amp; planning'!C15</f>
        <v>shipment planning</v>
      </c>
      <c r="D18" s="110" t="str">
        <f>'(2) Order admin &amp; planning'!F17</f>
        <v>NB</v>
      </c>
      <c r="E18" s="188"/>
      <c r="F18" s="142" t="s">
        <v>781</v>
      </c>
      <c r="G18" s="141"/>
    </row>
    <row r="19" spans="1:10" ht="18" x14ac:dyDescent="0.4">
      <c r="A19" s="104"/>
      <c r="B19" s="128" t="s">
        <v>128</v>
      </c>
      <c r="C19" s="218" t="str">
        <f>'(2) Order admin &amp; planning'!C18</f>
        <v>Transport packaging planning</v>
      </c>
      <c r="D19" s="110" t="str">
        <f>'(2) Order admin &amp; planning'!F20</f>
        <v>NB</v>
      </c>
      <c r="E19" s="189"/>
      <c r="F19" s="143" t="s">
        <v>781</v>
      </c>
      <c r="G19" s="141"/>
    </row>
    <row r="20" spans="1:10" s="25" customFormat="1" ht="8" x14ac:dyDescent="0.2">
      <c r="A20" s="121"/>
      <c r="B20" s="214"/>
      <c r="C20" s="122"/>
      <c r="D20" s="122"/>
      <c r="E20" s="122"/>
      <c r="F20" s="122"/>
      <c r="G20" s="123"/>
    </row>
    <row r="21" spans="1:10" ht="18" x14ac:dyDescent="0.4">
      <c r="A21" s="104"/>
      <c r="B21" s="404" t="str">
        <f>'(3) Basic mat., supplier, capa.'!A1</f>
        <v>Module 3 - Basic material, supplier and capacity management</v>
      </c>
      <c r="C21" s="404"/>
      <c r="D21" s="118"/>
      <c r="E21" s="191"/>
      <c r="F21" s="116"/>
      <c r="G21" s="106"/>
      <c r="J21" s="107"/>
    </row>
    <row r="22" spans="1:10" ht="18" x14ac:dyDescent="0.4">
      <c r="A22" s="104"/>
      <c r="B22" s="172" t="s">
        <v>85</v>
      </c>
      <c r="C22" s="113" t="str">
        <f>'(3) Basic mat., supplier, capa.'!C6</f>
        <v xml:space="preserve">Input materials procurement and scheduling </v>
      </c>
      <c r="D22" s="110" t="str">
        <f>'(3) Basic mat., supplier, capa.'!F8</f>
        <v>NB</v>
      </c>
      <c r="E22" s="187"/>
      <c r="F22" s="142" t="s">
        <v>781</v>
      </c>
      <c r="G22" s="141"/>
    </row>
    <row r="23" spans="1:10" ht="28" x14ac:dyDescent="0.4">
      <c r="A23" s="104"/>
      <c r="B23" s="128" t="s">
        <v>96</v>
      </c>
      <c r="C23" s="114" t="str">
        <f>'(3) Basic mat., supplier, capa.'!C9</f>
        <v>Transmission of delivery call-offs to sub suppliers</v>
      </c>
      <c r="D23" s="112" t="str">
        <f>'(3) Basic mat., supplier, capa.'!F11</f>
        <v>NB</v>
      </c>
      <c r="E23" s="188"/>
      <c r="F23" s="142" t="s">
        <v>781</v>
      </c>
      <c r="G23" s="141"/>
    </row>
    <row r="24" spans="1:10" ht="28" x14ac:dyDescent="0.4">
      <c r="A24" s="104"/>
      <c r="B24" s="172" t="s">
        <v>107</v>
      </c>
      <c r="C24" s="114" t="str">
        <f>'(3) Basic mat., supplier, capa.'!C12</f>
        <v>Material range for raw, semi-fabricated and finished products</v>
      </c>
      <c r="D24" s="112" t="str">
        <f>'(3) Basic mat., supplier, capa.'!F14</f>
        <v>NB</v>
      </c>
      <c r="E24" s="188"/>
      <c r="F24" s="142" t="s">
        <v>781</v>
      </c>
      <c r="G24" s="141"/>
    </row>
    <row r="25" spans="1:10" ht="28" x14ac:dyDescent="0.4">
      <c r="A25" s="104"/>
      <c r="B25" s="128" t="s">
        <v>118</v>
      </c>
      <c r="C25" s="114" t="str">
        <f>'(3) Basic mat., supplier, capa.'!C15</f>
        <v>Emergency strategies in input material procurement</v>
      </c>
      <c r="D25" s="112" t="str">
        <f>'(3) Basic mat., supplier, capa.'!F17</f>
        <v>NB</v>
      </c>
      <c r="E25" s="188"/>
      <c r="F25" s="142" t="s">
        <v>781</v>
      </c>
      <c r="G25" s="141"/>
    </row>
    <row r="26" spans="1:10" ht="18" x14ac:dyDescent="0.4">
      <c r="A26" s="104"/>
      <c r="B26" s="173" t="s">
        <v>129</v>
      </c>
      <c r="C26" s="114" t="str">
        <f>'(3) Basic mat., supplier, capa.'!C18</f>
        <v>Supplier management</v>
      </c>
      <c r="D26" s="112" t="str">
        <f>'(3) Basic mat., supplier, capa.'!F20</f>
        <v>NB</v>
      </c>
      <c r="E26" s="188"/>
      <c r="F26" s="142" t="s">
        <v>781</v>
      </c>
      <c r="G26" s="141"/>
    </row>
    <row r="27" spans="1:10" ht="28" x14ac:dyDescent="0.4">
      <c r="A27" s="104"/>
      <c r="B27" s="128" t="s">
        <v>139</v>
      </c>
      <c r="C27" s="114" t="str">
        <f>'(3) Basic mat., supplier, capa.'!C21</f>
        <v>Short-/middle- and long-term capacity analysis (identification of bottlenecks)</v>
      </c>
      <c r="D27" s="112" t="str">
        <f>'(3) Basic mat., supplier, capa.'!F23</f>
        <v>NB</v>
      </c>
      <c r="E27" s="188"/>
      <c r="F27" s="142" t="s">
        <v>781</v>
      </c>
      <c r="G27" s="141"/>
    </row>
    <row r="28" spans="1:10" s="25" customFormat="1" ht="8" x14ac:dyDescent="0.2">
      <c r="A28" s="121"/>
      <c r="B28" s="214"/>
      <c r="C28" s="122"/>
      <c r="D28" s="122"/>
      <c r="E28" s="190"/>
      <c r="F28" s="122"/>
      <c r="G28" s="123"/>
    </row>
    <row r="29" spans="1:10" ht="18" x14ac:dyDescent="0.4">
      <c r="A29" s="104"/>
      <c r="B29" s="404" t="str">
        <f>'(4) Goods receipt, warehouse'!A1</f>
        <v>Module 4 - Goods receipt and warehouse</v>
      </c>
      <c r="C29" s="404"/>
      <c r="D29" s="118"/>
      <c r="E29" s="191"/>
      <c r="F29" s="116"/>
      <c r="G29" s="106"/>
      <c r="J29" s="107"/>
    </row>
    <row r="30" spans="1:10" ht="18" x14ac:dyDescent="0.4">
      <c r="A30" s="104"/>
      <c r="B30" s="172" t="s">
        <v>86</v>
      </c>
      <c r="C30" s="113" t="str">
        <f>'(4) Goods receipt, warehouse'!C6</f>
        <v>Goods receipt</v>
      </c>
      <c r="D30" s="110" t="str">
        <f>'(4) Goods receipt, warehouse'!F8</f>
        <v>NB</v>
      </c>
      <c r="E30" s="187"/>
      <c r="F30" s="142" t="s">
        <v>781</v>
      </c>
      <c r="G30" s="141"/>
    </row>
    <row r="31" spans="1:10" ht="18" x14ac:dyDescent="0.4">
      <c r="A31" s="104"/>
      <c r="B31" s="128" t="s">
        <v>97</v>
      </c>
      <c r="C31" s="113" t="str">
        <f>'(4) Goods receipt, warehouse'!C9</f>
        <v>Incoming goods inspection</v>
      </c>
      <c r="D31" s="110" t="str">
        <f>'(4) Goods receipt, warehouse'!F11</f>
        <v>NB</v>
      </c>
      <c r="E31" s="188"/>
      <c r="F31" s="142" t="s">
        <v>781</v>
      </c>
      <c r="G31" s="141"/>
    </row>
    <row r="32" spans="1:10" ht="18" x14ac:dyDescent="0.4">
      <c r="A32" s="104"/>
      <c r="B32" s="128" t="s">
        <v>108</v>
      </c>
      <c r="C32" s="113" t="str">
        <f>'(4) Goods receipt, warehouse'!C12</f>
        <v>Warehouse infrastructure</v>
      </c>
      <c r="D32" s="110" t="str">
        <f>'(4) Goods receipt, warehouse'!F14</f>
        <v>NB</v>
      </c>
      <c r="E32" s="188"/>
      <c r="F32" s="142" t="s">
        <v>781</v>
      </c>
      <c r="G32" s="141"/>
    </row>
    <row r="33" spans="1:10" ht="18" x14ac:dyDescent="0.4">
      <c r="A33" s="104"/>
      <c r="B33" s="128" t="s">
        <v>119</v>
      </c>
      <c r="C33" s="113" t="str">
        <f>'(4) Goods receipt, warehouse'!C15</f>
        <v>Warehouse management</v>
      </c>
      <c r="D33" s="110" t="str">
        <f>'(4) Goods receipt, warehouse'!F17</f>
        <v>NB</v>
      </c>
      <c r="E33" s="188"/>
      <c r="F33" s="142" t="s">
        <v>781</v>
      </c>
      <c r="G33" s="141"/>
    </row>
    <row r="34" spans="1:10" ht="18" x14ac:dyDescent="0.4">
      <c r="A34" s="104"/>
      <c r="B34" s="128" t="s">
        <v>130</v>
      </c>
      <c r="C34" s="113" t="str">
        <f>'(4) Goods receipt, warehouse'!C18</f>
        <v xml:space="preserve">Capacity situation at the warehouse </v>
      </c>
      <c r="D34" s="110" t="str">
        <f>'(4) Goods receipt, warehouse'!F20</f>
        <v>NB</v>
      </c>
      <c r="E34" s="188"/>
      <c r="F34" s="142" t="s">
        <v>781</v>
      </c>
      <c r="G34" s="141"/>
    </row>
    <row r="35" spans="1:10" ht="28" x14ac:dyDescent="0.4">
      <c r="A35" s="104"/>
      <c r="B35" s="128" t="s">
        <v>140</v>
      </c>
      <c r="C35" s="113" t="str">
        <f>'(4) Goods receipt, warehouse'!C21</f>
        <v>Part handling respecting quality and part protection</v>
      </c>
      <c r="D35" s="110" t="str">
        <f>'(4) Goods receipt, warehouse'!F23</f>
        <v>NB</v>
      </c>
      <c r="E35" s="188"/>
      <c r="F35" s="142" t="s">
        <v>781</v>
      </c>
      <c r="G35" s="141"/>
    </row>
    <row r="36" spans="1:10" ht="18" x14ac:dyDescent="0.4">
      <c r="A36" s="104"/>
      <c r="B36" s="128" t="s">
        <v>146</v>
      </c>
      <c r="C36" s="113" t="str">
        <f>'(4) Goods receipt, warehouse'!C24</f>
        <v>Handling of non-conforming production goods</v>
      </c>
      <c r="D36" s="110" t="str">
        <f>'(4) Goods receipt, warehouse'!F26</f>
        <v>NB</v>
      </c>
      <c r="E36" s="188"/>
      <c r="F36" s="142" t="s">
        <v>781</v>
      </c>
      <c r="G36" s="141"/>
    </row>
    <row r="37" spans="1:10" s="25" customFormat="1" ht="8" x14ac:dyDescent="0.2">
      <c r="A37" s="121"/>
      <c r="B37" s="214"/>
      <c r="C37" s="122"/>
      <c r="D37" s="122"/>
      <c r="E37" s="190"/>
      <c r="F37" s="122"/>
      <c r="G37" s="123"/>
    </row>
    <row r="38" spans="1:10" ht="18" x14ac:dyDescent="0.4">
      <c r="A38" s="104"/>
      <c r="B38" s="404" t="str">
        <f>'(5) Production'!A1</f>
        <v>Module 5 - Production</v>
      </c>
      <c r="C38" s="404"/>
      <c r="D38" s="118"/>
      <c r="E38" s="191"/>
      <c r="F38" s="116"/>
      <c r="G38" s="106"/>
      <c r="J38" s="107"/>
    </row>
    <row r="39" spans="1:10" ht="18" x14ac:dyDescent="0.4">
      <c r="A39" s="104"/>
      <c r="B39" s="172" t="s">
        <v>87</v>
      </c>
      <c r="C39" s="113" t="str">
        <f>'(5) Production'!C6</f>
        <v>Organization of production</v>
      </c>
      <c r="D39" s="110" t="str">
        <f>'(5) Production'!F8</f>
        <v>NB</v>
      </c>
      <c r="E39" s="187"/>
      <c r="F39" s="142" t="s">
        <v>781</v>
      </c>
      <c r="G39" s="141"/>
    </row>
    <row r="40" spans="1:10" ht="18" x14ac:dyDescent="0.4">
      <c r="A40" s="104"/>
      <c r="B40" s="128" t="s">
        <v>98</v>
      </c>
      <c r="C40" s="113" t="str">
        <f>'(5) Production'!C9</f>
        <v>Production control</v>
      </c>
      <c r="D40" s="110" t="str">
        <f>'(5) Production'!F11</f>
        <v>NB</v>
      </c>
      <c r="E40" s="188"/>
      <c r="F40" s="142" t="s">
        <v>781</v>
      </c>
      <c r="G40" s="141"/>
    </row>
    <row r="41" spans="1:10" ht="18" x14ac:dyDescent="0.4">
      <c r="A41" s="104"/>
      <c r="B41" s="173" t="s">
        <v>109</v>
      </c>
      <c r="C41" s="113" t="str">
        <f>'(5) Production'!C12</f>
        <v>Occupational safety and ergonomics</v>
      </c>
      <c r="D41" s="110" t="str">
        <f>'(5) Production'!F14</f>
        <v>NB</v>
      </c>
      <c r="E41" s="188"/>
      <c r="F41" s="142" t="s">
        <v>781</v>
      </c>
      <c r="G41" s="141"/>
    </row>
    <row r="42" spans="1:10" ht="18" x14ac:dyDescent="0.4">
      <c r="A42" s="104"/>
      <c r="B42" s="173" t="s">
        <v>120</v>
      </c>
      <c r="C42" s="113" t="str">
        <f>'(5) Production'!C15</f>
        <v>Maintenance</v>
      </c>
      <c r="D42" s="110" t="str">
        <f>'(5) Production'!F17</f>
        <v>NB</v>
      </c>
      <c r="E42" s="188"/>
      <c r="F42" s="142" t="s">
        <v>781</v>
      </c>
      <c r="G42" s="141"/>
    </row>
    <row r="43" spans="1:10" ht="18" x14ac:dyDescent="0.4">
      <c r="A43" s="104"/>
      <c r="B43" s="173" t="s">
        <v>131</v>
      </c>
      <c r="C43" s="113" t="str">
        <f>'(5) Production'!C18</f>
        <v>Material feed/sequencing</v>
      </c>
      <c r="D43" s="110" t="str">
        <f>'(5) Production'!F20</f>
        <v>NB</v>
      </c>
      <c r="E43" s="188"/>
      <c r="F43" s="142" t="s">
        <v>781</v>
      </c>
      <c r="G43" s="141"/>
    </row>
    <row r="44" spans="1:10" ht="28" x14ac:dyDescent="0.4">
      <c r="A44" s="104"/>
      <c r="B44" s="128" t="s">
        <v>141</v>
      </c>
      <c r="C44" s="113" t="str">
        <f>'(5) Production'!C21</f>
        <v>Emergency concepts for interruptions of operations</v>
      </c>
      <c r="D44" s="110" t="str">
        <f>'(5) Production'!F23</f>
        <v>NB</v>
      </c>
      <c r="E44" s="188"/>
      <c r="F44" s="142" t="s">
        <v>781</v>
      </c>
      <c r="G44" s="141"/>
    </row>
    <row r="45" spans="1:10" s="25" customFormat="1" ht="8" x14ac:dyDescent="0.2">
      <c r="A45" s="121"/>
      <c r="B45" s="214"/>
      <c r="C45" s="122"/>
      <c r="D45" s="124"/>
      <c r="E45" s="190"/>
      <c r="F45" s="122"/>
      <c r="G45" s="123"/>
    </row>
    <row r="46" spans="1:10" ht="18" x14ac:dyDescent="0.4">
      <c r="A46" s="104"/>
      <c r="B46" s="404" t="str">
        <f>'(6) Shipment'!A1</f>
        <v>Module 6 - Shipment and transportation</v>
      </c>
      <c r="C46" s="404"/>
      <c r="D46" s="118"/>
      <c r="E46" s="191"/>
      <c r="F46" s="116"/>
      <c r="G46" s="106"/>
      <c r="J46" s="107"/>
    </row>
    <row r="47" spans="1:10" ht="18" x14ac:dyDescent="0.4">
      <c r="A47" s="104"/>
      <c r="B47" s="172" t="s">
        <v>88</v>
      </c>
      <c r="C47" s="113" t="str">
        <f>'(6) Shipment'!C6</f>
        <v>Coordination of shipments</v>
      </c>
      <c r="D47" s="110" t="str">
        <f>'(6) Shipment'!F8</f>
        <v>NB</v>
      </c>
      <c r="E47" s="187"/>
      <c r="F47" s="142" t="s">
        <v>781</v>
      </c>
      <c r="G47" s="141"/>
    </row>
    <row r="48" spans="1:10" ht="18" x14ac:dyDescent="0.4">
      <c r="A48" s="104"/>
      <c r="B48" s="128" t="s">
        <v>99</v>
      </c>
      <c r="C48" s="113" t="str">
        <f>'(6) Shipment'!C9</f>
        <v>Notification</v>
      </c>
      <c r="D48" s="110" t="str">
        <f>'(6) Shipment'!F11</f>
        <v>NB</v>
      </c>
      <c r="E48" s="188"/>
      <c r="F48" s="142" t="s">
        <v>781</v>
      </c>
      <c r="G48" s="141"/>
    </row>
    <row r="49" spans="1:10" ht="18" x14ac:dyDescent="0.4">
      <c r="A49" s="104"/>
      <c r="B49" s="173" t="s">
        <v>110</v>
      </c>
      <c r="C49" s="113" t="str">
        <f>'(6) Shipment'!C12</f>
        <v>Shipping preparation</v>
      </c>
      <c r="D49" s="110" t="str">
        <f>'(6) Shipment'!F14</f>
        <v>NB</v>
      </c>
      <c r="E49" s="188"/>
      <c r="F49" s="142" t="s">
        <v>781</v>
      </c>
      <c r="G49" s="141"/>
    </row>
    <row r="50" spans="1:10" ht="18" x14ac:dyDescent="0.4">
      <c r="A50" s="104"/>
      <c r="B50" s="173" t="s">
        <v>121</v>
      </c>
      <c r="C50" s="113" t="str">
        <f>'(6) Shipment'!C15</f>
        <v>Container / packaging labelling</v>
      </c>
      <c r="D50" s="110" t="str">
        <f>'(6) Shipment'!F17</f>
        <v>NB</v>
      </c>
      <c r="E50" s="188"/>
      <c r="F50" s="142" t="s">
        <v>781</v>
      </c>
      <c r="G50" s="141"/>
    </row>
    <row r="51" spans="1:10" ht="18" x14ac:dyDescent="0.4">
      <c r="A51" s="104"/>
      <c r="B51" s="128" t="s">
        <v>132</v>
      </c>
      <c r="C51" s="113" t="str">
        <f>'(6) Shipment'!C18</f>
        <v>Empties management / handling</v>
      </c>
      <c r="D51" s="110" t="str">
        <f>'(6) Shipment'!F20</f>
        <v>NB</v>
      </c>
      <c r="E51" s="188"/>
      <c r="F51" s="142" t="s">
        <v>781</v>
      </c>
      <c r="G51" s="141"/>
    </row>
    <row r="52" spans="1:10" s="25" customFormat="1" ht="8" x14ac:dyDescent="0.2">
      <c r="A52" s="121"/>
      <c r="B52" s="214"/>
      <c r="C52" s="122"/>
      <c r="D52" s="122"/>
      <c r="E52" s="190"/>
      <c r="F52" s="122"/>
      <c r="G52" s="123"/>
    </row>
    <row r="53" spans="1:10" ht="18" x14ac:dyDescent="0.4">
      <c r="A53" s="104"/>
      <c r="B53" s="403" t="str">
        <f>'(7) Logistic setup'!A1</f>
        <v>Module 7 - Logistics setup</v>
      </c>
      <c r="C53" s="403"/>
      <c r="D53" s="216"/>
      <c r="E53" s="217"/>
      <c r="F53" s="116"/>
      <c r="G53" s="106"/>
      <c r="J53" s="107"/>
    </row>
    <row r="54" spans="1:10" ht="18" x14ac:dyDescent="0.4">
      <c r="A54" s="104"/>
      <c r="B54" s="172" t="s">
        <v>89</v>
      </c>
      <c r="C54" s="113" t="str">
        <f>'(7) Logistic setup'!C6</f>
        <v>Material flow from GI to GO</v>
      </c>
      <c r="D54" s="110" t="str">
        <f>'(7) Logistic setup'!F8</f>
        <v>NB</v>
      </c>
      <c r="E54" s="187"/>
      <c r="F54" s="142" t="s">
        <v>781</v>
      </c>
      <c r="G54" s="141"/>
    </row>
    <row r="55" spans="1:10" ht="28" x14ac:dyDescent="0.4">
      <c r="A55" s="104"/>
      <c r="B55" s="128" t="s">
        <v>100</v>
      </c>
      <c r="C55" s="113" t="str">
        <f>'(7) Logistic setup'!C9</f>
        <v>Traceability and dealing with generation statuses</v>
      </c>
      <c r="D55" s="110" t="str">
        <f>'(7) Logistic setup'!F11</f>
        <v>NB</v>
      </c>
      <c r="E55" s="188"/>
      <c r="F55" s="142" t="s">
        <v>781</v>
      </c>
      <c r="G55" s="141"/>
    </row>
    <row r="56" spans="1:10" ht="18" x14ac:dyDescent="0.4">
      <c r="A56" s="104"/>
      <c r="B56" s="128" t="s">
        <v>111</v>
      </c>
      <c r="C56" s="113" t="str">
        <f>'(7) Logistic setup'!C12</f>
        <v>FIFO principle</v>
      </c>
      <c r="D56" s="110" t="str">
        <f>'(7) Logistic setup'!F14</f>
        <v>NB</v>
      </c>
      <c r="E56" s="188"/>
      <c r="F56" s="142" t="s">
        <v>781</v>
      </c>
      <c r="G56" s="141"/>
    </row>
    <row r="57" spans="1:10" ht="18" x14ac:dyDescent="0.4">
      <c r="A57" s="104"/>
      <c r="B57" s="128" t="s">
        <v>122</v>
      </c>
      <c r="C57" s="113" t="str">
        <f>'(7) Logistic setup'!C15</f>
        <v>Tidiness, cleanliness</v>
      </c>
      <c r="D57" s="110" t="str">
        <f>'(7) Logistic setup'!F17</f>
        <v>NB</v>
      </c>
      <c r="E57" s="188"/>
      <c r="F57" s="142" t="s">
        <v>781</v>
      </c>
      <c r="G57" s="141"/>
    </row>
    <row r="58" spans="1:10" ht="18" x14ac:dyDescent="0.4">
      <c r="A58" s="104"/>
      <c r="B58" s="128" t="s">
        <v>133</v>
      </c>
      <c r="C58" s="113" t="str">
        <f>'(7) Logistic setup'!C18</f>
        <v>Roofed material handling</v>
      </c>
      <c r="D58" s="110" t="str">
        <f>'(7) Logistic setup'!F20</f>
        <v>NB</v>
      </c>
      <c r="E58" s="188"/>
      <c r="F58" s="142" t="s">
        <v>781</v>
      </c>
      <c r="G58" s="141"/>
    </row>
    <row r="59" spans="1:10" ht="18" x14ac:dyDescent="0.4">
      <c r="A59" s="104"/>
      <c r="B59" s="128" t="s">
        <v>142</v>
      </c>
      <c r="C59" s="114" t="str">
        <f>'(7) Logistic setup'!C21</f>
        <v>Internal container labeling</v>
      </c>
      <c r="D59" s="110" t="str">
        <f>'(7) Logistic setup'!F23</f>
        <v>NB</v>
      </c>
      <c r="E59" s="188"/>
      <c r="F59" s="285" t="s">
        <v>781</v>
      </c>
      <c r="G59" s="141"/>
    </row>
    <row r="60" spans="1:10" s="25" customFormat="1" ht="8.5" thickBot="1" x14ac:dyDescent="0.25">
      <c r="A60" s="29"/>
      <c r="B60" s="213"/>
      <c r="C60" s="30"/>
      <c r="D60" s="30"/>
      <c r="E60" s="30"/>
      <c r="F60" s="30"/>
      <c r="G60" s="32"/>
    </row>
  </sheetData>
  <mergeCells count="8">
    <mergeCell ref="A1:G1"/>
    <mergeCell ref="B53:C53"/>
    <mergeCell ref="B46:C46"/>
    <mergeCell ref="B38:C38"/>
    <mergeCell ref="B5:C5"/>
    <mergeCell ref="B21:C21"/>
    <mergeCell ref="B29:C29"/>
    <mergeCell ref="B14:C14"/>
  </mergeCells>
  <conditionalFormatting sqref="E5:E11 E28:E32 E37:E43 E45:E48 E52:E59 E13:E26">
    <cfRule type="expression" dxfId="6" priority="9">
      <formula>OR($D5="--",$D5="-")</formula>
    </cfRule>
  </conditionalFormatting>
  <conditionalFormatting sqref="E27">
    <cfRule type="expression" dxfId="5" priority="7">
      <formula>OR($D27="--",$D27="-")</formula>
    </cfRule>
  </conditionalFormatting>
  <conditionalFormatting sqref="E33:E36">
    <cfRule type="expression" dxfId="4" priority="6">
      <formula>OR($D33="--",$D33="-")</formula>
    </cfRule>
  </conditionalFormatting>
  <conditionalFormatting sqref="E49:E50">
    <cfRule type="expression" dxfId="3" priority="4">
      <formula>OR($D49="--",$D49="-")</formula>
    </cfRule>
  </conditionalFormatting>
  <conditionalFormatting sqref="E51">
    <cfRule type="expression" dxfId="2" priority="3">
      <formula>OR($D51="--",$D51="-")</formula>
    </cfRule>
  </conditionalFormatting>
  <conditionalFormatting sqref="E44">
    <cfRule type="expression" dxfId="1" priority="2">
      <formula>OR($D44="--",$D44="-")</formula>
    </cfRule>
  </conditionalFormatting>
  <conditionalFormatting sqref="E12">
    <cfRule type="expression" dxfId="0" priority="1">
      <formula>OR($D12="--",$D12="-")</formula>
    </cfRule>
  </conditionalFormatting>
  <hyperlinks>
    <hyperlink ref="F6" location="'(1) Projectmanagement'!C6" display="«" xr:uid="{00000000-0004-0000-0A00-000000000000}"/>
    <hyperlink ref="F7" location="'(1) Projectmanagement'!C9" display="«" xr:uid="{00000000-0004-0000-0A00-000001000000}"/>
    <hyperlink ref="F8" location="'(1) Projectmanagement'!C12" display="«" xr:uid="{00000000-0004-0000-0A00-000002000000}"/>
    <hyperlink ref="F9" location="'(1) Projectmanagement'!C15" display="«" xr:uid="{00000000-0004-0000-0A00-000003000000}"/>
    <hyperlink ref="F10" location="'(1) Projectmanagement'!C18" display="«" xr:uid="{00000000-0004-0000-0A00-000004000000}"/>
    <hyperlink ref="F22" location="'(3) Basic mat., supplier, capa.'!C6" display="«" xr:uid="{00000000-0004-0000-0A00-000005000000}"/>
    <hyperlink ref="F23" location="'(3) Basic mat., supplier, capa.'!C9" display="«" xr:uid="{00000000-0004-0000-0A00-000006000000}"/>
    <hyperlink ref="F24" location="'(3) Basic mat., supplier, capa.'!C12" display="«" xr:uid="{00000000-0004-0000-0A00-000007000000}"/>
    <hyperlink ref="F25" location="'(3) Basic mat., supplier, capa.'!C15" display="«" xr:uid="{00000000-0004-0000-0A00-000008000000}"/>
    <hyperlink ref="F26" location="'(3) Basic mat., supplier, capa.'!C18" display="«" xr:uid="{00000000-0004-0000-0A00-000009000000}"/>
    <hyperlink ref="F30" location="'(4) Goods receipt, warehouse'!C6" display="«" xr:uid="{00000000-0004-0000-0A00-00000A000000}"/>
    <hyperlink ref="F31" location="'(4) Goods receipt, warehouse'!C9" display="«" xr:uid="{00000000-0004-0000-0A00-00000B000000}"/>
    <hyperlink ref="F32" location="'(4) Goods receipt, warehouse'!C12" display="«" xr:uid="{00000000-0004-0000-0A00-00000C000000}"/>
    <hyperlink ref="F33" location="'(4) Goods receipt, warehouse'!C15" display="«" xr:uid="{00000000-0004-0000-0A00-00000D000000}"/>
    <hyperlink ref="F39" location="'(5) Production'!C6" display="«" xr:uid="{00000000-0004-0000-0A00-00000E000000}"/>
    <hyperlink ref="F40" location="'(5) Production'!C9" display="«" xr:uid="{00000000-0004-0000-0A00-00000F000000}"/>
    <hyperlink ref="F41" location="'(5) Production'!C12" display="«" xr:uid="{00000000-0004-0000-0A00-000010000000}"/>
    <hyperlink ref="F43" location="'(5) Production'!C18" display="«" xr:uid="{00000000-0004-0000-0A00-000011000000}"/>
    <hyperlink ref="F44" location="'(5) Production'!C21" display="«" xr:uid="{00000000-0004-0000-0A00-000012000000}"/>
    <hyperlink ref="F47" location="'(6) Shipment'!C6" display="«" xr:uid="{00000000-0004-0000-0A00-000013000000}"/>
    <hyperlink ref="F48" location="'(6) Shipment'!C9" display="«" xr:uid="{00000000-0004-0000-0A00-000014000000}"/>
    <hyperlink ref="F54" location="'(7) Logistic setup'!C6" display="«" xr:uid="{00000000-0004-0000-0A00-000015000000}"/>
    <hyperlink ref="F55" location="'(7) Logistic setup'!C9" display="«" xr:uid="{00000000-0004-0000-0A00-000016000000}"/>
    <hyperlink ref="F56" location="'(7) Logistic setup'!C12" display="«" xr:uid="{00000000-0004-0000-0A00-000017000000}"/>
    <hyperlink ref="F57" location="'(7) Logistic setup'!C15" display="«" xr:uid="{00000000-0004-0000-0A00-000018000000}"/>
    <hyperlink ref="F58" location="'(7) Logistic setup'!C18" display="«" xr:uid="{00000000-0004-0000-0A00-000019000000}"/>
    <hyperlink ref="F59" location="'(7) Logistic setup'!C21" display="«" xr:uid="{00000000-0004-0000-0A00-00001A000000}"/>
    <hyperlink ref="F34" location="'(4) Goods receipt, warehouse'!C18" display="«" xr:uid="{00000000-0004-0000-0A00-00001B000000}"/>
    <hyperlink ref="F15" location="'(2) Order admin &amp; planning'!C6" display="«" xr:uid="{00000000-0004-0000-0A00-00001C000000}"/>
    <hyperlink ref="F16" location="'(2) Order admin &amp; planning'!C9" display="«" xr:uid="{00000000-0004-0000-0A00-00001D000000}"/>
    <hyperlink ref="F17" location="'(2) Order admin &amp; planning'!C12" display="«" xr:uid="{00000000-0004-0000-0A00-00001E000000}"/>
    <hyperlink ref="F18" location="'(2) Order admin &amp; planning'!C15" display="«" xr:uid="{00000000-0004-0000-0A00-00001F000000}"/>
    <hyperlink ref="F19" location="'(2) Order admin &amp; planning'!C18" display="«" xr:uid="{00000000-0004-0000-0A00-000020000000}"/>
    <hyperlink ref="F11" location="'(1) Projectmanagement'!C21" display="«" xr:uid="{00000000-0004-0000-0A00-000021000000}"/>
    <hyperlink ref="F12" location="'(1) Projectmanagement'!C24" display="«" xr:uid="{00000000-0004-0000-0A00-000022000000}"/>
    <hyperlink ref="F49" location="'(6) Shipment'!C12" display="«" xr:uid="{00000000-0004-0000-0A00-000023000000}"/>
    <hyperlink ref="F50" location="'(6) Shipment'!C15" display="«" xr:uid="{00000000-0004-0000-0A00-000024000000}"/>
    <hyperlink ref="F51" location="'(6) Shipment'!C18" display="«" xr:uid="{00000000-0004-0000-0A00-000025000000}"/>
    <hyperlink ref="F42" location="'(5) Production'!C15" display="«" xr:uid="{00000000-0004-0000-0A00-000026000000}"/>
    <hyperlink ref="F27" location="'(3) Basic mat., supplier, capa.'!C21" display="«" xr:uid="{00000000-0004-0000-0A00-000027000000}"/>
    <hyperlink ref="F35" location="'(4) Goods receipt, warehouse'!C21" display="«" xr:uid="{00000000-0004-0000-0A00-000028000000}"/>
    <hyperlink ref="F36" location="'(4) Goods receipt, warehouse'!C24" display="«" xr:uid="{00000000-0004-0000-0A00-000029000000}"/>
  </hyperlinks>
  <printOptions horizontalCentered="1"/>
  <pageMargins left="0.70866141732283472" right="0.70866141732283472" top="0.9055118110236221" bottom="0.78740157480314965" header="0.31496062992125984" footer="0.31496062992125984"/>
  <pageSetup paperSize="9" scale="60" fitToHeight="0"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pageSetUpPr fitToPage="1"/>
  </sheetPr>
  <dimension ref="A1:W24"/>
  <sheetViews>
    <sheetView tabSelected="1" zoomScale="70" zoomScaleNormal="70" workbookViewId="0">
      <selection activeCell="J18" sqref="A18:J18"/>
    </sheetView>
  </sheetViews>
  <sheetFormatPr defaultColWidth="11" defaultRowHeight="13" x14ac:dyDescent="0.3"/>
  <cols>
    <col min="1" max="1" width="2.58203125" style="2" customWidth="1"/>
    <col min="2" max="2" width="54.83203125" style="2" customWidth="1"/>
    <col min="3" max="4" width="15.08203125" style="2" customWidth="1"/>
    <col min="5" max="5" width="2.58203125" style="2" customWidth="1"/>
    <col min="6" max="22" width="11" style="2"/>
    <col min="23" max="23" width="69.33203125" style="2" customWidth="1"/>
    <col min="24" max="16384" width="11" style="2"/>
  </cols>
  <sheetData>
    <row r="1" spans="1:21" ht="35.5" thickBot="1" x14ac:dyDescent="0.75">
      <c r="A1" s="371" t="s">
        <v>35</v>
      </c>
      <c r="B1" s="371"/>
      <c r="C1" s="371"/>
      <c r="D1" s="371"/>
      <c r="E1" s="371"/>
      <c r="F1" s="45"/>
      <c r="G1" s="8"/>
      <c r="H1" s="8"/>
      <c r="I1" s="8"/>
      <c r="J1" s="8"/>
      <c r="K1" s="8"/>
      <c r="L1" s="8"/>
      <c r="M1" s="8"/>
      <c r="N1" s="8"/>
      <c r="O1" s="8"/>
      <c r="P1" s="8"/>
      <c r="Q1" s="8"/>
      <c r="R1" s="8"/>
      <c r="S1" s="8"/>
      <c r="T1" s="8"/>
      <c r="U1" s="8"/>
    </row>
    <row r="2" spans="1:21" ht="25.5" x14ac:dyDescent="0.55000000000000004">
      <c r="A2" s="3"/>
      <c r="B2" s="4" t="s">
        <v>36</v>
      </c>
      <c r="C2" s="5"/>
      <c r="D2" s="34"/>
      <c r="E2" s="6"/>
    </row>
    <row r="3" spans="1:21" s="25" customFormat="1" ht="8.5" thickBot="1" x14ac:dyDescent="0.25">
      <c r="A3" s="21"/>
      <c r="B3" s="22"/>
      <c r="C3" s="22"/>
      <c r="D3" s="22"/>
      <c r="E3" s="23"/>
    </row>
    <row r="4" spans="1:21" ht="18.5" thickBot="1" x14ac:dyDescent="0.45">
      <c r="A4" s="7"/>
      <c r="B4" s="219" t="str">
        <f>IF(AND(A15&gt;1,SUMIF(D5:D11,"0",C5:C11)&gt;0),"Achtung - nicht alle Module sind bisher bewertet!","")</f>
        <v/>
      </c>
      <c r="C4" s="137" t="s">
        <v>37</v>
      </c>
      <c r="D4" s="138" t="s">
        <v>38</v>
      </c>
      <c r="E4" s="141"/>
    </row>
    <row r="5" spans="1:21" ht="18" x14ac:dyDescent="0.4">
      <c r="A5" s="7"/>
      <c r="B5" s="139" t="s">
        <v>39</v>
      </c>
      <c r="C5" s="279">
        <f>Datenquelle!E5</f>
        <v>0.15</v>
      </c>
      <c r="D5" s="280">
        <f>ROUND('(1) Projectmanagement'!F28,2)</f>
        <v>0</v>
      </c>
      <c r="E5" s="141"/>
    </row>
    <row r="6" spans="1:21" ht="28" x14ac:dyDescent="0.6">
      <c r="A6" s="7"/>
      <c r="B6" s="277" t="s">
        <v>40</v>
      </c>
      <c r="C6" s="281">
        <f>Datenquelle!J5</f>
        <v>0.14000000000000001</v>
      </c>
      <c r="D6" s="282">
        <f>ROUND('(2) Order admin &amp; planning'!F22,2)</f>
        <v>0</v>
      </c>
      <c r="E6" s="278"/>
    </row>
    <row r="7" spans="1:21" ht="28" x14ac:dyDescent="0.6">
      <c r="A7" s="7"/>
      <c r="B7" s="277" t="s">
        <v>41</v>
      </c>
      <c r="C7" s="281">
        <f>Datenquelle!O5</f>
        <v>0.15</v>
      </c>
      <c r="D7" s="282">
        <f>ROUND('(3) Basic mat., supplier, capa.'!F25,2)</f>
        <v>0</v>
      </c>
      <c r="E7" s="278"/>
    </row>
    <row r="8" spans="1:21" ht="18" x14ac:dyDescent="0.4">
      <c r="A8" s="7"/>
      <c r="B8" s="140" t="s">
        <v>42</v>
      </c>
      <c r="C8" s="281">
        <f>Datenquelle!T5</f>
        <v>0.16</v>
      </c>
      <c r="D8" s="282">
        <f>ROUND('(4) Goods receipt, warehouse'!F28,2)</f>
        <v>0</v>
      </c>
      <c r="E8" s="141"/>
    </row>
    <row r="9" spans="1:21" ht="18" x14ac:dyDescent="0.4">
      <c r="A9" s="7"/>
      <c r="B9" s="140" t="s">
        <v>43</v>
      </c>
      <c r="C9" s="281">
        <f>Datenquelle!Y5</f>
        <v>0.14000000000000001</v>
      </c>
      <c r="D9" s="282">
        <f>ROUND('(5) Production'!F25,2)</f>
        <v>0</v>
      </c>
      <c r="E9" s="141"/>
    </row>
    <row r="10" spans="1:21" ht="18" x14ac:dyDescent="0.4">
      <c r="A10" s="7"/>
      <c r="B10" s="140" t="s">
        <v>44</v>
      </c>
      <c r="C10" s="281">
        <f>Datenquelle!AD5</f>
        <v>0.1</v>
      </c>
      <c r="D10" s="282">
        <f>ROUND('(6) Shipment'!F22,2)</f>
        <v>0</v>
      </c>
      <c r="E10" s="141"/>
    </row>
    <row r="11" spans="1:21" ht="18.5" thickBot="1" x14ac:dyDescent="0.45">
      <c r="A11" s="7"/>
      <c r="B11" s="200" t="s">
        <v>45</v>
      </c>
      <c r="C11" s="283">
        <f>Datenquelle!AI5</f>
        <v>0.16</v>
      </c>
      <c r="D11" s="284">
        <f>ROUND('(7) Logistic setup'!F25,2)</f>
        <v>0</v>
      </c>
      <c r="E11" s="141"/>
    </row>
    <row r="12" spans="1:21" s="25" customFormat="1" ht="8.5" thickBot="1" x14ac:dyDescent="0.25">
      <c r="A12" s="29"/>
      <c r="B12" s="30"/>
      <c r="C12" s="30"/>
      <c r="D12" s="30"/>
      <c r="E12" s="32"/>
    </row>
    <row r="13" spans="1:21" s="25" customFormat="1" ht="8.5" thickBot="1" x14ac:dyDescent="0.25">
      <c r="A13" s="50"/>
      <c r="B13" s="51"/>
      <c r="C13" s="51"/>
      <c r="D13" s="51"/>
      <c r="E13" s="52"/>
    </row>
    <row r="14" spans="1:21" ht="25.5" x14ac:dyDescent="0.55000000000000004">
      <c r="A14" s="7"/>
      <c r="B14" s="377" t="s">
        <v>46</v>
      </c>
      <c r="C14" s="373">
        <f>SUM(D5:D11)</f>
        <v>0</v>
      </c>
      <c r="D14" s="374"/>
      <c r="E14" s="38"/>
    </row>
    <row r="15" spans="1:21" ht="18.75" customHeight="1" thickBot="1" x14ac:dyDescent="0.45">
      <c r="A15" s="168">
        <f>Datenquelle!AN20</f>
        <v>0</v>
      </c>
      <c r="B15" s="377"/>
      <c r="C15" s="375"/>
      <c r="D15" s="376"/>
      <c r="E15" s="141"/>
    </row>
    <row r="16" spans="1:21" s="25" customFormat="1" ht="11" thickBot="1" x14ac:dyDescent="0.3">
      <c r="A16" s="29"/>
      <c r="B16" s="55"/>
      <c r="C16" s="30"/>
      <c r="D16" s="30"/>
      <c r="E16" s="32"/>
    </row>
    <row r="17" spans="1:23" ht="25.5" x14ac:dyDescent="0.55000000000000004">
      <c r="A17" s="3"/>
      <c r="B17" s="4" t="s">
        <v>47</v>
      </c>
      <c r="C17" s="5"/>
      <c r="D17" s="34"/>
      <c r="E17" s="6"/>
    </row>
    <row r="18" spans="1:23" ht="182" x14ac:dyDescent="0.3">
      <c r="A18" s="7"/>
      <c r="B18" s="356"/>
      <c r="C18" s="372"/>
      <c r="D18" s="372"/>
      <c r="E18" s="9"/>
      <c r="V18" s="46" t="s">
        <v>48</v>
      </c>
      <c r="W18" s="186">
        <f>B18</f>
        <v>0</v>
      </c>
    </row>
    <row r="19" spans="1:23" s="25" customFormat="1" ht="8.5" thickBot="1" x14ac:dyDescent="0.25">
      <c r="A19" s="29"/>
      <c r="B19" s="53"/>
      <c r="C19" s="30"/>
      <c r="D19" s="30"/>
      <c r="E19" s="32"/>
    </row>
    <row r="20" spans="1:23" ht="25.5" x14ac:dyDescent="0.55000000000000004">
      <c r="A20" s="3"/>
      <c r="B20" s="4" t="s">
        <v>49</v>
      </c>
      <c r="C20" s="4"/>
      <c r="D20" s="4"/>
      <c r="E20" s="54"/>
    </row>
    <row r="21" spans="1:23" x14ac:dyDescent="0.3">
      <c r="A21" s="7"/>
      <c r="B21" s="60" t="s">
        <v>50</v>
      </c>
      <c r="C21" s="47">
        <v>0.9</v>
      </c>
      <c r="D21" s="48">
        <v>1</v>
      </c>
      <c r="E21" s="9"/>
    </row>
    <row r="22" spans="1:23" x14ac:dyDescent="0.3">
      <c r="A22" s="7"/>
      <c r="B22" s="60" t="s">
        <v>51</v>
      </c>
      <c r="C22" s="47">
        <v>0.8</v>
      </c>
      <c r="D22" s="49">
        <v>0.89900000000000002</v>
      </c>
      <c r="E22" s="9"/>
    </row>
    <row r="23" spans="1:23" x14ac:dyDescent="0.3">
      <c r="A23" s="7"/>
      <c r="B23" s="60" t="s">
        <v>52</v>
      </c>
      <c r="C23" s="47">
        <v>0</v>
      </c>
      <c r="D23" s="49">
        <v>0.79900000000000004</v>
      </c>
      <c r="E23" s="9"/>
    </row>
    <row r="24" spans="1:23" s="25" customFormat="1" ht="8.5" thickBot="1" x14ac:dyDescent="0.25">
      <c r="A24" s="29"/>
      <c r="B24" s="30"/>
      <c r="C24" s="30"/>
      <c r="D24" s="30"/>
      <c r="E24" s="32"/>
    </row>
  </sheetData>
  <sheetProtection sheet="1" objects="1" scenarios="1" formatCells="0" formatColumns="0" formatRows="0"/>
  <mergeCells count="4">
    <mergeCell ref="A1:E1"/>
    <mergeCell ref="B18:D18"/>
    <mergeCell ref="C14:D15"/>
    <mergeCell ref="B14:B15"/>
  </mergeCells>
  <conditionalFormatting sqref="C14:D15">
    <cfRule type="cellIs" dxfId="141" priority="6" operator="greaterThanOrEqual">
      <formula>A_min</formula>
    </cfRule>
    <cfRule type="cellIs" dxfId="140" priority="7" operator="lessThan">
      <formula>B_min</formula>
    </cfRule>
  </conditionalFormatting>
  <printOptions horizontalCentered="1"/>
  <pageMargins left="0.70866141732283472" right="0.70866141732283472" top="0.9055118110236221" bottom="0.78740157480314965" header="0.31496062992125984" footer="0.31496062992125984"/>
  <pageSetup paperSize="9" scale="89"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pageSetUpPr fitToPage="1"/>
  </sheetPr>
  <dimension ref="A1:Q70"/>
  <sheetViews>
    <sheetView zoomScale="85" zoomScaleNormal="85" workbookViewId="0">
      <pane ySplit="5" topLeftCell="A21" activePane="bottomLeft" state="frozen"/>
      <selection activeCell="B3" sqref="B3"/>
      <selection pane="bottomLeft" activeCell="L25" sqref="L25"/>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606</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0" t="s">
        <v>608</v>
      </c>
      <c r="C3" s="381" t="s">
        <v>609</v>
      </c>
      <c r="D3" s="382" t="s">
        <v>610</v>
      </c>
      <c r="E3" s="8"/>
      <c r="F3" s="387"/>
      <c r="G3" s="183" t="str">
        <f>Datenquelle!$AP$7</f>
        <v>○</v>
      </c>
    </row>
    <row r="4" spans="1:17" x14ac:dyDescent="0.3">
      <c r="A4" s="7"/>
      <c r="B4" s="380"/>
      <c r="C4" s="381"/>
      <c r="D4" s="382"/>
      <c r="E4" s="8"/>
      <c r="F4" s="388" t="s">
        <v>611</v>
      </c>
      <c r="G4" s="183" t="str">
        <f>Datenquelle!$AP$8</f>
        <v>-</v>
      </c>
    </row>
    <row r="5" spans="1:17" s="25" customFormat="1" ht="8.5" customHeight="1" thickBot="1" x14ac:dyDescent="0.25">
      <c r="A5" s="21"/>
      <c r="B5" s="22"/>
      <c r="C5" s="22"/>
      <c r="D5" s="22"/>
      <c r="E5" s="22"/>
      <c r="F5" s="389"/>
      <c r="G5" s="23"/>
      <c r="Q5" s="169"/>
    </row>
    <row r="6" spans="1:17" ht="25.5" x14ac:dyDescent="0.55000000000000004">
      <c r="A6" s="3"/>
      <c r="B6" s="92" t="s">
        <v>83</v>
      </c>
      <c r="C6" s="179" t="s">
        <v>612</v>
      </c>
      <c r="D6" s="93"/>
      <c r="E6" s="93"/>
      <c r="F6" s="95">
        <f>Datenquelle!E7</f>
        <v>2.1000000000000001E-2</v>
      </c>
      <c r="G6" s="6"/>
      <c r="J6" s="66"/>
    </row>
    <row r="7" spans="1:17" ht="75" x14ac:dyDescent="1.5">
      <c r="A7" s="7"/>
      <c r="B7" s="71"/>
      <c r="C7" s="99" t="s">
        <v>613</v>
      </c>
      <c r="D7" s="15"/>
      <c r="E7" s="144" t="s">
        <v>614</v>
      </c>
      <c r="F7" s="97">
        <f>Datenquelle!G7</f>
        <v>0</v>
      </c>
      <c r="G7" s="180"/>
      <c r="J7" s="65"/>
      <c r="Q7" s="170" t="s">
        <v>615</v>
      </c>
    </row>
    <row r="8" spans="1:17" ht="21" x14ac:dyDescent="0.3">
      <c r="A8" s="90"/>
      <c r="B8" s="85"/>
      <c r="C8" s="86" t="s">
        <v>616</v>
      </c>
      <c r="D8" s="87"/>
      <c r="E8" s="87"/>
      <c r="F8" s="184" t="str">
        <f>VLOOKUP(Datenquelle!F7,Datenquelle!$AN$5:$AP$13,3,FALSE)</f>
        <v>NB</v>
      </c>
      <c r="G8" s="91"/>
    </row>
    <row r="9" spans="1:17" ht="28" x14ac:dyDescent="0.6">
      <c r="A9" s="88"/>
      <c r="B9" s="82" t="s">
        <v>94</v>
      </c>
      <c r="C9" s="175" t="s">
        <v>617</v>
      </c>
      <c r="D9" s="84"/>
      <c r="E9" s="84"/>
      <c r="F9" s="96">
        <f>Datenquelle!E8</f>
        <v>2.8000000000000001E-2</v>
      </c>
      <c r="G9" s="174"/>
      <c r="J9" s="66"/>
    </row>
    <row r="10" spans="1:17" ht="52" x14ac:dyDescent="0.7">
      <c r="A10" s="7"/>
      <c r="B10" s="71"/>
      <c r="C10" s="16" t="s">
        <v>618</v>
      </c>
      <c r="D10" s="15"/>
      <c r="E10" s="144" t="s">
        <v>614</v>
      </c>
      <c r="F10" s="97">
        <f>Datenquelle!G8</f>
        <v>0</v>
      </c>
      <c r="G10" s="9"/>
      <c r="J10" s="65"/>
      <c r="Q10" s="170" t="s">
        <v>619</v>
      </c>
    </row>
    <row r="11" spans="1:17" ht="21" x14ac:dyDescent="0.3">
      <c r="A11" s="90"/>
      <c r="B11" s="85"/>
      <c r="C11" s="86" t="s">
        <v>620</v>
      </c>
      <c r="D11" s="87"/>
      <c r="E11" s="87"/>
      <c r="F11" s="184" t="str">
        <f>VLOOKUP(Datenquelle!F8,Datenquelle!$AN$5:$AP$13,3,FALSE)</f>
        <v>NB</v>
      </c>
      <c r="G11" s="91"/>
    </row>
    <row r="12" spans="1:17" ht="25.5" x14ac:dyDescent="0.55000000000000004">
      <c r="A12" s="88"/>
      <c r="B12" s="82" t="s">
        <v>105</v>
      </c>
      <c r="C12" s="175" t="s">
        <v>621</v>
      </c>
      <c r="D12" s="84"/>
      <c r="E12" s="84"/>
      <c r="F12" s="96">
        <f>Datenquelle!E9</f>
        <v>1.7999999999999999E-2</v>
      </c>
      <c r="G12" s="89"/>
      <c r="J12" s="66"/>
    </row>
    <row r="13" spans="1:17" ht="52" x14ac:dyDescent="0.9">
      <c r="A13" s="7"/>
      <c r="B13" s="71"/>
      <c r="C13" s="16" t="s">
        <v>622</v>
      </c>
      <c r="D13" s="61"/>
      <c r="E13" s="144" t="s">
        <v>614</v>
      </c>
      <c r="F13" s="97">
        <f>Datenquelle!G9</f>
        <v>0</v>
      </c>
      <c r="G13" s="132"/>
      <c r="J13" s="65"/>
      <c r="Q13" s="170" t="s">
        <v>623</v>
      </c>
    </row>
    <row r="14" spans="1:17" ht="21" x14ac:dyDescent="0.3">
      <c r="A14" s="90"/>
      <c r="B14" s="85"/>
      <c r="C14" s="86" t="s">
        <v>624</v>
      </c>
      <c r="D14" s="87"/>
      <c r="E14" s="87"/>
      <c r="F14" s="184" t="str">
        <f>VLOOKUP(Datenquelle!F9,Datenquelle!$AN$5:$AP$13,3,FALSE)</f>
        <v>NB</v>
      </c>
      <c r="G14" s="91"/>
    </row>
    <row r="15" spans="1:17" ht="25.5" x14ac:dyDescent="0.55000000000000004">
      <c r="A15" s="88"/>
      <c r="B15" s="82" t="s">
        <v>116</v>
      </c>
      <c r="C15" s="175" t="s">
        <v>625</v>
      </c>
      <c r="D15" s="84"/>
      <c r="E15" s="84"/>
      <c r="F15" s="96">
        <f>Datenquelle!E10</f>
        <v>1.9E-2</v>
      </c>
      <c r="G15" s="89"/>
      <c r="J15" s="66"/>
    </row>
    <row r="16" spans="1:17" ht="45" x14ac:dyDescent="0.9">
      <c r="A16" s="7"/>
      <c r="B16" s="71"/>
      <c r="C16" s="70" t="s">
        <v>626</v>
      </c>
      <c r="D16" s="61"/>
      <c r="E16" s="144" t="s">
        <v>614</v>
      </c>
      <c r="F16" s="98">
        <f>Datenquelle!G10</f>
        <v>0</v>
      </c>
      <c r="G16" s="132"/>
      <c r="J16" s="65"/>
      <c r="Q16" s="170" t="s">
        <v>627</v>
      </c>
    </row>
    <row r="17" spans="1:17" ht="21" x14ac:dyDescent="0.3">
      <c r="A17" s="90"/>
      <c r="B17" s="85"/>
      <c r="C17" s="86" t="s">
        <v>628</v>
      </c>
      <c r="D17" s="87"/>
      <c r="E17" s="87"/>
      <c r="F17" s="184" t="str">
        <f>VLOOKUP(Datenquelle!F10,Datenquelle!$AN$5:$AP$13,3,FALSE)</f>
        <v>NB</v>
      </c>
      <c r="G17" s="91"/>
    </row>
    <row r="18" spans="1:17" ht="25.5" x14ac:dyDescent="0.55000000000000004">
      <c r="A18" s="88"/>
      <c r="B18" s="82" t="s">
        <v>127</v>
      </c>
      <c r="C18" s="175" t="s">
        <v>629</v>
      </c>
      <c r="D18" s="84"/>
      <c r="E18" s="84"/>
      <c r="F18" s="96">
        <f>Datenquelle!E11</f>
        <v>2.1000000000000001E-2</v>
      </c>
      <c r="G18" s="89"/>
      <c r="J18" s="66"/>
    </row>
    <row r="19" spans="1:17" ht="45" x14ac:dyDescent="0.9">
      <c r="A19" s="7"/>
      <c r="B19" s="71"/>
      <c r="C19" s="16" t="s">
        <v>630</v>
      </c>
      <c r="D19" s="61"/>
      <c r="E19" s="144" t="s">
        <v>614</v>
      </c>
      <c r="F19" s="97">
        <f>Datenquelle!G11</f>
        <v>0</v>
      </c>
      <c r="G19" s="132"/>
      <c r="J19" s="65"/>
      <c r="Q19" s="170" t="s">
        <v>631</v>
      </c>
    </row>
    <row r="20" spans="1:17" ht="21" x14ac:dyDescent="0.3">
      <c r="A20" s="90"/>
      <c r="B20" s="85"/>
      <c r="C20" s="86" t="s">
        <v>632</v>
      </c>
      <c r="D20" s="87"/>
      <c r="E20" s="87"/>
      <c r="F20" s="184" t="str">
        <f>VLOOKUP(Datenquelle!F11,Datenquelle!$AN$5:$AP$13,3,FALSE)</f>
        <v>NB</v>
      </c>
      <c r="G20" s="91"/>
    </row>
    <row r="21" spans="1:17" ht="25.5" x14ac:dyDescent="0.55000000000000004">
      <c r="A21" s="88"/>
      <c r="B21" s="82" t="s">
        <v>138</v>
      </c>
      <c r="C21" s="83" t="s">
        <v>633</v>
      </c>
      <c r="D21" s="84"/>
      <c r="E21" s="84"/>
      <c r="F21" s="96">
        <f>Datenquelle!E12</f>
        <v>1.4999999999999999E-2</v>
      </c>
      <c r="G21" s="89"/>
      <c r="J21" s="66"/>
    </row>
    <row r="22" spans="1:17" ht="60" x14ac:dyDescent="1.2">
      <c r="A22" s="7"/>
      <c r="B22" s="71"/>
      <c r="C22" s="16" t="s">
        <v>634</v>
      </c>
      <c r="D22" s="61"/>
      <c r="E22" s="144" t="s">
        <v>614</v>
      </c>
      <c r="F22" s="100">
        <f>Datenquelle!G12</f>
        <v>0</v>
      </c>
      <c r="G22" s="176"/>
      <c r="J22" s="65"/>
      <c r="Q22" s="170" t="s">
        <v>635</v>
      </c>
    </row>
    <row r="23" spans="1:17" ht="21" x14ac:dyDescent="0.3">
      <c r="A23" s="90"/>
      <c r="B23" s="85"/>
      <c r="C23" s="86" t="s">
        <v>636</v>
      </c>
      <c r="D23" s="87"/>
      <c r="E23" s="87"/>
      <c r="F23" s="184" t="str">
        <f>VLOOKUP(Datenquelle!F12,Datenquelle!$AN$5:$AP$13,3,FALSE)</f>
        <v>NB</v>
      </c>
      <c r="G23" s="91"/>
    </row>
    <row r="24" spans="1:17" ht="25.5" x14ac:dyDescent="0.55000000000000004">
      <c r="A24" s="88"/>
      <c r="B24" s="82" t="s">
        <v>145</v>
      </c>
      <c r="C24" s="83" t="s">
        <v>637</v>
      </c>
      <c r="D24" s="84"/>
      <c r="E24" s="84"/>
      <c r="F24" s="96">
        <f>Datenquelle!E13</f>
        <v>2.8000000000000001E-2</v>
      </c>
      <c r="G24" s="89"/>
      <c r="J24" s="66"/>
    </row>
    <row r="25" spans="1:17" ht="45" x14ac:dyDescent="0.9">
      <c r="A25" s="7"/>
      <c r="B25" s="71"/>
      <c r="C25" s="16" t="s">
        <v>638</v>
      </c>
      <c r="D25" s="61"/>
      <c r="E25" s="144" t="s">
        <v>614</v>
      </c>
      <c r="F25" s="100">
        <f>Datenquelle!G13</f>
        <v>0</v>
      </c>
      <c r="G25" s="132"/>
      <c r="J25" s="65"/>
      <c r="Q25" s="170" t="s">
        <v>639</v>
      </c>
    </row>
    <row r="26" spans="1:17" ht="21.5" thickBot="1" x14ac:dyDescent="0.35">
      <c r="A26" s="90"/>
      <c r="B26" s="85"/>
      <c r="C26" s="86" t="s">
        <v>640</v>
      </c>
      <c r="D26" s="87"/>
      <c r="E26" s="87"/>
      <c r="F26" s="184" t="str">
        <f>VLOOKUP(Datenquelle!F13,Datenquelle!$AN$5:$AP$13,3,FALSE)</f>
        <v>NB</v>
      </c>
      <c r="G26" s="91"/>
    </row>
    <row r="27" spans="1:17" ht="23.5" thickBot="1" x14ac:dyDescent="0.55000000000000004">
      <c r="A27" s="383" t="str">
        <f>IF(COUNTIF(Datenquelle!F7:F13,6)&lt;=Max_Nichtantworten,"",CONCATENATE("Module currently not assessable! ",COUNTIF(Datenquelle!F7:F13,6)," of ",Datenquelle!F6, " questions have not been rated yet." ))</f>
        <v>Module currently not assessable! 7 of 7 questions have not been rated yet.</v>
      </c>
      <c r="B27" s="384"/>
      <c r="C27" s="384"/>
      <c r="D27" s="384"/>
      <c r="E27" s="384"/>
      <c r="F27" s="384"/>
      <c r="G27" s="385"/>
      <c r="J27" s="67"/>
    </row>
    <row r="28" spans="1:17" ht="28" x14ac:dyDescent="0.6">
      <c r="A28" s="73"/>
      <c r="B28" s="74"/>
      <c r="C28" s="378" t="s">
        <v>641</v>
      </c>
      <c r="D28" s="378"/>
      <c r="E28" s="378"/>
      <c r="F28" s="75">
        <f>IF(AND(Datenquelle!F5&lt;&gt;0, COUNTIF(Datenquelle!F7:F13,6)&lt;=Max_Nichtantworten),Datenquelle!G5/Datenquelle!F5*Datenquelle!E5,0)</f>
        <v>0</v>
      </c>
      <c r="G28" s="76"/>
      <c r="J28" s="72"/>
    </row>
    <row r="29" spans="1:17" ht="14" x14ac:dyDescent="0.3">
      <c r="A29" s="73"/>
      <c r="B29" s="74"/>
      <c r="C29" s="77" t="str">
        <f>CONCATENATE("Maximum: ",ROUND(Datenquelle!E5*100,2), "%")</f>
        <v>Maximum: 15%</v>
      </c>
      <c r="D29" s="74"/>
      <c r="E29" s="74"/>
      <c r="F29" s="74"/>
      <c r="G29" s="76"/>
    </row>
    <row r="30" spans="1:17" ht="13.5" thickBot="1" x14ac:dyDescent="0.35">
      <c r="A30" s="78"/>
      <c r="B30" s="79"/>
      <c r="C30" s="80"/>
      <c r="D30" s="79"/>
      <c r="E30" s="79"/>
      <c r="F30" s="79"/>
      <c r="G30" s="81"/>
    </row>
    <row r="67" spans="5:5" ht="17.5" x14ac:dyDescent="0.35">
      <c r="E67" s="198"/>
    </row>
    <row r="70" spans="5:5" ht="17.5" x14ac:dyDescent="0.35">
      <c r="E70" s="198"/>
    </row>
  </sheetData>
  <mergeCells count="8">
    <mergeCell ref="C28:E28"/>
    <mergeCell ref="A1:G1"/>
    <mergeCell ref="B3:B4"/>
    <mergeCell ref="C3:C4"/>
    <mergeCell ref="D3:D4"/>
    <mergeCell ref="A27:G27"/>
    <mergeCell ref="F2:F3"/>
    <mergeCell ref="F4:F5"/>
  </mergeCells>
  <conditionalFormatting sqref="A28:C30 F28:G30 D29:E30">
    <cfRule type="expression" dxfId="139" priority="9">
      <formula>$F$28=0</formula>
    </cfRule>
  </conditionalFormatting>
  <conditionalFormatting sqref="F6:F8">
    <cfRule type="expression" dxfId="138" priority="10">
      <formula>OR($F$8=$G$2, RIGHT($F$8,1)=$G$2)</formula>
    </cfRule>
    <cfRule type="expression" dxfId="137" priority="11">
      <formula>OR($F$8=$G$3, RIGHT($F$8,1)=$G$3)</formula>
    </cfRule>
    <cfRule type="expression" dxfId="136" priority="12">
      <formula>OR($F$8=$G$4, RIGHT($F$8,1)=$G$4)</formula>
    </cfRule>
  </conditionalFormatting>
  <conditionalFormatting sqref="F9:F11">
    <cfRule type="expression" dxfId="135" priority="13">
      <formula>OR($F$11=$G$2, RIGHT($F$11,1)=$G$2)</formula>
    </cfRule>
    <cfRule type="expression" dxfId="134" priority="14">
      <formula>OR($F$11=$G$3, RIGHT($F$11,1)=$G$3)</formula>
    </cfRule>
    <cfRule type="expression" dxfId="133" priority="15">
      <formula>OR($F$11=$G$4, RIGHT($F$11,1)=$G$4)</formula>
    </cfRule>
  </conditionalFormatting>
  <conditionalFormatting sqref="F12:F14">
    <cfRule type="expression" dxfId="132" priority="22">
      <formula>OR($F$14=$G$2, RIGHT($F$14,1)=$G$2)</formula>
    </cfRule>
    <cfRule type="expression" dxfId="131" priority="23">
      <formula>OR($F$14=$G$3, RIGHT($F$14,1)=$G$3)</formula>
    </cfRule>
    <cfRule type="expression" dxfId="130" priority="24">
      <formula>OR($F$14=$G$4, RIGHT($F$14,1)=$G$4)</formula>
    </cfRule>
  </conditionalFormatting>
  <conditionalFormatting sqref="F15:F17">
    <cfRule type="expression" dxfId="129" priority="25">
      <formula>OR($F$17=$G$2, RIGHT($F$17,1)=$G$2)</formula>
    </cfRule>
    <cfRule type="expression" dxfId="128" priority="26">
      <formula>OR($F$17=$G$3, RIGHT($F$17,1)=$G$3)</formula>
    </cfRule>
    <cfRule type="expression" dxfId="127" priority="27">
      <formula>OR($F$17=$G$4, RIGHT($F$17,1)=$G$4)</formula>
    </cfRule>
  </conditionalFormatting>
  <conditionalFormatting sqref="F18:F20">
    <cfRule type="expression" dxfId="126" priority="28">
      <formula>OR($F$20=$G$2, RIGHT($F$20,1)=$G$2)</formula>
    </cfRule>
    <cfRule type="expression" dxfId="125" priority="29">
      <formula>OR($F$20=$G$3, RIGHT($F$20,1)=$G$3)</formula>
    </cfRule>
    <cfRule type="expression" dxfId="124" priority="30">
      <formula>OR($F$20=$G$4, RIGHT($F$20,1)=$G$4)</formula>
    </cfRule>
  </conditionalFormatting>
  <conditionalFormatting sqref="F21:F23">
    <cfRule type="expression" dxfId="123" priority="31">
      <formula>OR($F$23=$G$2, RIGHT($F$23,1)=$G$2)</formula>
    </cfRule>
    <cfRule type="expression" dxfId="122" priority="32">
      <formula>OR($F$23=$G$3, RIGHT($F$23,1)=$G$3)</formula>
    </cfRule>
    <cfRule type="expression" dxfId="121" priority="33">
      <formula>OR($F$23=$G$4, RIGHT($F$23,1)=$G$4)</formula>
    </cfRule>
  </conditionalFormatting>
  <conditionalFormatting sqref="F24:F26">
    <cfRule type="expression" dxfId="120" priority="34">
      <formula>OR($F$26=$G$2, RIGHT($F$26,1)=$G$2)</formula>
    </cfRule>
    <cfRule type="expression" dxfId="119" priority="35">
      <formula>OR($F$26=$G$3, RIGHT($F$26,1)=$G$3)</formula>
    </cfRule>
    <cfRule type="expression" dxfId="118" priority="36">
      <formula>OR($F$26=$G$4, RIGHT($F$26,1)=$G$4)</formula>
    </cfRule>
  </conditionalFormatting>
  <hyperlinks>
    <hyperlink ref="E7" location="'Remarks'!E6" display="»" xr:uid="{00000000-0004-0000-0300-000000000000}"/>
    <hyperlink ref="E10" location="'Remarks'!E7" display="»" xr:uid="{00000000-0004-0000-0300-000001000000}"/>
    <hyperlink ref="E13" location="'Remarks'!E8" display="»" xr:uid="{00000000-0004-0000-0300-000002000000}"/>
    <hyperlink ref="E16" location="'Remarks'!E9" display="»" xr:uid="{00000000-0004-0000-0300-000003000000}"/>
    <hyperlink ref="E19" location="'Remarks'!E10" display="»" xr:uid="{00000000-0004-0000-0300-000004000000}"/>
    <hyperlink ref="E22" location="'Remarks'!E11" display="»" xr:uid="{00000000-0004-0000-0300-000005000000}"/>
    <hyperlink ref="E25" location="'Remarks'!E12" display="»" xr:uid="{00000000-0004-0000-0300-000006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F28"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38" r:id="rId5" name="Drop Down 14">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1040" r:id="rId6" name="Drop Down 16">
              <controlPr defaultSize="0" autoLine="0" autoPict="0">
                <anchor moveWithCells="1">
                  <from>
                    <xdr:col>3</xdr:col>
                    <xdr:colOff>114300</xdr:colOff>
                    <xdr:row>9</xdr:row>
                    <xdr:rowOff>69850</xdr:rowOff>
                  </from>
                  <to>
                    <xdr:col>3</xdr:col>
                    <xdr:colOff>1371600</xdr:colOff>
                    <xdr:row>9</xdr:row>
                    <xdr:rowOff>285750</xdr:rowOff>
                  </to>
                </anchor>
              </controlPr>
            </control>
          </mc:Choice>
        </mc:AlternateContent>
        <mc:AlternateContent xmlns:mc="http://schemas.openxmlformats.org/markup-compatibility/2006">
          <mc:Choice Requires="x14">
            <control shapeId="1043" r:id="rId7" name="Drop Down 19">
              <controlPr defaultSize="0" autoLine="0" autoPict="0">
                <anchor moveWithCells="1">
                  <from>
                    <xdr:col>3</xdr:col>
                    <xdr:colOff>114300</xdr:colOff>
                    <xdr:row>12</xdr:row>
                    <xdr:rowOff>63500</xdr:rowOff>
                  </from>
                  <to>
                    <xdr:col>3</xdr:col>
                    <xdr:colOff>1371600</xdr:colOff>
                    <xdr:row>12</xdr:row>
                    <xdr:rowOff>279400</xdr:rowOff>
                  </to>
                </anchor>
              </controlPr>
            </control>
          </mc:Choice>
        </mc:AlternateContent>
        <mc:AlternateContent xmlns:mc="http://schemas.openxmlformats.org/markup-compatibility/2006">
          <mc:Choice Requires="x14">
            <control shapeId="1044" r:id="rId8" name="Drop Down 20">
              <controlPr defaultSize="0" autoLine="0" autoPict="0">
                <anchor moveWithCells="1">
                  <from>
                    <xdr:col>3</xdr:col>
                    <xdr:colOff>114300</xdr:colOff>
                    <xdr:row>15</xdr:row>
                    <xdr:rowOff>57150</xdr:rowOff>
                  </from>
                  <to>
                    <xdr:col>3</xdr:col>
                    <xdr:colOff>1371600</xdr:colOff>
                    <xdr:row>15</xdr:row>
                    <xdr:rowOff>273050</xdr:rowOff>
                  </to>
                </anchor>
              </controlPr>
            </control>
          </mc:Choice>
        </mc:AlternateContent>
        <mc:AlternateContent xmlns:mc="http://schemas.openxmlformats.org/markup-compatibility/2006">
          <mc:Choice Requires="x14">
            <control shapeId="1045" r:id="rId9" name="Drop Down 21">
              <controlPr defaultSize="0" autoLine="0" autoPict="0">
                <anchor moveWithCells="1">
                  <from>
                    <xdr:col>3</xdr:col>
                    <xdr:colOff>114300</xdr:colOff>
                    <xdr:row>18</xdr:row>
                    <xdr:rowOff>63500</xdr:rowOff>
                  </from>
                  <to>
                    <xdr:col>3</xdr:col>
                    <xdr:colOff>1371600</xdr:colOff>
                    <xdr:row>18</xdr:row>
                    <xdr:rowOff>279400</xdr:rowOff>
                  </to>
                </anchor>
              </controlPr>
            </control>
          </mc:Choice>
        </mc:AlternateContent>
        <mc:AlternateContent xmlns:mc="http://schemas.openxmlformats.org/markup-compatibility/2006">
          <mc:Choice Requires="x14">
            <control shapeId="1046" r:id="rId10" name="Drop Down 22">
              <controlPr defaultSize="0" autoLine="0" autoPict="0">
                <anchor moveWithCells="1">
                  <from>
                    <xdr:col>3</xdr:col>
                    <xdr:colOff>114300</xdr:colOff>
                    <xdr:row>21</xdr:row>
                    <xdr:rowOff>69850</xdr:rowOff>
                  </from>
                  <to>
                    <xdr:col>3</xdr:col>
                    <xdr:colOff>1371600</xdr:colOff>
                    <xdr:row>21</xdr:row>
                    <xdr:rowOff>285750</xdr:rowOff>
                  </to>
                </anchor>
              </controlPr>
            </control>
          </mc:Choice>
        </mc:AlternateContent>
        <mc:AlternateContent xmlns:mc="http://schemas.openxmlformats.org/markup-compatibility/2006">
          <mc:Choice Requires="x14">
            <control shapeId="1047" r:id="rId11" name="Drop Down 23">
              <controlPr defaultSize="0" autoLine="0" autoPict="0">
                <anchor moveWithCells="1">
                  <from>
                    <xdr:col>3</xdr:col>
                    <xdr:colOff>114300</xdr:colOff>
                    <xdr:row>24</xdr:row>
                    <xdr:rowOff>63500</xdr:rowOff>
                  </from>
                  <to>
                    <xdr:col>3</xdr:col>
                    <xdr:colOff>1371600</xdr:colOff>
                    <xdr:row>24</xdr:row>
                    <xdr:rowOff>279400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0">
    <pageSetUpPr fitToPage="1"/>
  </sheetPr>
  <dimension ref="A1:Q55"/>
  <sheetViews>
    <sheetView zoomScale="85" zoomScaleNormal="85" workbookViewId="0">
      <pane ySplit="5" topLeftCell="A15" activePane="bottomLeft" state="frozen"/>
      <selection activeCell="B3" sqref="B3"/>
      <selection pane="bottomLeft" activeCell="C19" sqref="C19"/>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642</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2" t="s">
        <v>608</v>
      </c>
      <c r="C3" s="381" t="s">
        <v>609</v>
      </c>
      <c r="D3" s="382" t="s">
        <v>610</v>
      </c>
      <c r="E3" s="8"/>
      <c r="F3" s="387"/>
      <c r="G3" s="183" t="str">
        <f>Datenquelle!$AP$7</f>
        <v>○</v>
      </c>
    </row>
    <row r="4" spans="1:17" x14ac:dyDescent="0.3">
      <c r="A4" s="7"/>
      <c r="B4" s="382"/>
      <c r="C4" s="381"/>
      <c r="D4" s="382"/>
      <c r="E4" s="8"/>
      <c r="F4" s="388" t="s">
        <v>611</v>
      </c>
      <c r="G4" s="183" t="str">
        <f>Datenquelle!$AP$8</f>
        <v>-</v>
      </c>
    </row>
    <row r="5" spans="1:17" s="25" customFormat="1" ht="8.5" customHeight="1" thickBot="1" x14ac:dyDescent="0.25">
      <c r="A5" s="29"/>
      <c r="B5" s="30"/>
      <c r="C5" s="30"/>
      <c r="D5" s="30"/>
      <c r="E5" s="30"/>
      <c r="F5" s="389"/>
      <c r="G5" s="32"/>
      <c r="Q5" s="169"/>
    </row>
    <row r="6" spans="1:17" ht="25.5" x14ac:dyDescent="0.55000000000000004">
      <c r="A6" s="7"/>
      <c r="B6" s="71" t="s">
        <v>84</v>
      </c>
      <c r="C6" s="179" t="s">
        <v>643</v>
      </c>
      <c r="D6" s="15"/>
      <c r="E6" s="15"/>
      <c r="F6" s="96">
        <f>Datenquelle!J7</f>
        <v>3.3000000000000002E-2</v>
      </c>
      <c r="G6" s="9"/>
      <c r="I6" s="109"/>
      <c r="J6" s="66"/>
      <c r="Q6" s="291"/>
    </row>
    <row r="7" spans="1:17" ht="78" x14ac:dyDescent="0.9">
      <c r="A7" s="7"/>
      <c r="B7" s="71"/>
      <c r="C7" s="99" t="s">
        <v>644</v>
      </c>
      <c r="D7" s="15"/>
      <c r="E7" s="144" t="s">
        <v>614</v>
      </c>
      <c r="F7" s="97">
        <f>Datenquelle!L7</f>
        <v>0</v>
      </c>
      <c r="G7" s="132"/>
      <c r="I7" s="109"/>
      <c r="J7" s="65"/>
      <c r="Q7" s="170" t="s">
        <v>645</v>
      </c>
    </row>
    <row r="8" spans="1:17" ht="21" x14ac:dyDescent="0.3">
      <c r="A8" s="90"/>
      <c r="B8" s="85"/>
      <c r="C8" s="86" t="s">
        <v>646</v>
      </c>
      <c r="D8" s="87"/>
      <c r="E8" s="87"/>
      <c r="F8" s="184" t="str">
        <f>VLOOKUP(Datenquelle!K7,Datenquelle!$AN$5:$AP$13,3,FALSE)</f>
        <v>NB</v>
      </c>
      <c r="G8" s="91"/>
      <c r="I8" s="109"/>
    </row>
    <row r="9" spans="1:17" ht="25.5" x14ac:dyDescent="0.55000000000000004">
      <c r="A9" s="88"/>
      <c r="B9" s="269" t="s">
        <v>95</v>
      </c>
      <c r="C9" s="175" t="s">
        <v>647</v>
      </c>
      <c r="D9" s="84"/>
      <c r="E9" s="84"/>
      <c r="F9" s="96">
        <f>Datenquelle!J8</f>
        <v>2.9000000000000001E-2</v>
      </c>
      <c r="G9" s="89"/>
      <c r="I9" s="109"/>
      <c r="J9" s="66"/>
    </row>
    <row r="10" spans="1:17" ht="45" x14ac:dyDescent="0.9">
      <c r="A10" s="7"/>
      <c r="B10" s="71"/>
      <c r="C10" s="99" t="s">
        <v>648</v>
      </c>
      <c r="D10" s="15"/>
      <c r="E10" s="144" t="s">
        <v>614</v>
      </c>
      <c r="F10" s="97">
        <f>Datenquelle!L8</f>
        <v>0</v>
      </c>
      <c r="G10" s="132"/>
      <c r="I10" s="109"/>
      <c r="J10" s="65"/>
      <c r="Q10" s="170" t="s">
        <v>649</v>
      </c>
    </row>
    <row r="11" spans="1:17" ht="21" x14ac:dyDescent="0.3">
      <c r="A11" s="90"/>
      <c r="B11" s="85"/>
      <c r="C11" s="86" t="s">
        <v>650</v>
      </c>
      <c r="D11" s="87"/>
      <c r="E11" s="87"/>
      <c r="F11" s="184" t="str">
        <f>VLOOKUP(Datenquelle!K8,Datenquelle!$AN$5:$AP$13,3,FALSE)</f>
        <v>NB</v>
      </c>
      <c r="G11" s="91"/>
      <c r="I11" s="109"/>
    </row>
    <row r="12" spans="1:17" ht="25.5" x14ac:dyDescent="0.55000000000000004">
      <c r="A12" s="88"/>
      <c r="B12" s="269" t="s">
        <v>106</v>
      </c>
      <c r="C12" s="266" t="s">
        <v>651</v>
      </c>
      <c r="D12" s="84"/>
      <c r="E12" s="84"/>
      <c r="F12" s="96">
        <f>Datenquelle!J9</f>
        <v>3.4000000000000002E-2</v>
      </c>
      <c r="G12" s="89"/>
      <c r="I12" s="109"/>
      <c r="J12" s="66"/>
    </row>
    <row r="13" spans="1:17" ht="45" x14ac:dyDescent="0.9">
      <c r="A13" s="7"/>
      <c r="B13" s="71"/>
      <c r="C13" s="99" t="s">
        <v>652</v>
      </c>
      <c r="D13" s="15"/>
      <c r="E13" s="144" t="s">
        <v>614</v>
      </c>
      <c r="F13" s="97">
        <f>Datenquelle!L9</f>
        <v>0</v>
      </c>
      <c r="G13" s="132"/>
      <c r="I13" s="109"/>
      <c r="J13" s="65"/>
      <c r="Q13" s="170" t="s">
        <v>653</v>
      </c>
    </row>
    <row r="14" spans="1:17" ht="21" x14ac:dyDescent="0.3">
      <c r="A14" s="90"/>
      <c r="B14" s="85"/>
      <c r="C14" s="86" t="s">
        <v>654</v>
      </c>
      <c r="D14" s="87"/>
      <c r="E14" s="87"/>
      <c r="F14" s="184" t="str">
        <f>VLOOKUP(Datenquelle!K9,Datenquelle!$AN$5:$AP$13,3,FALSE)</f>
        <v>NB</v>
      </c>
      <c r="G14" s="91"/>
      <c r="I14" s="109"/>
    </row>
    <row r="15" spans="1:17" ht="25.5" x14ac:dyDescent="0.55000000000000004">
      <c r="A15" s="88"/>
      <c r="B15" s="269" t="s">
        <v>117</v>
      </c>
      <c r="C15" s="175" t="s">
        <v>655</v>
      </c>
      <c r="D15" s="84"/>
      <c r="E15" s="84"/>
      <c r="F15" s="96">
        <f>Datenquelle!J10</f>
        <v>2.1999999999999999E-2</v>
      </c>
      <c r="G15" s="89"/>
      <c r="I15" s="109"/>
      <c r="J15" s="66"/>
    </row>
    <row r="16" spans="1:17" ht="45" x14ac:dyDescent="0.9">
      <c r="A16" s="7"/>
      <c r="B16" s="71"/>
      <c r="C16" s="16" t="s">
        <v>656</v>
      </c>
      <c r="D16" s="15"/>
      <c r="E16" s="144" t="s">
        <v>614</v>
      </c>
      <c r="F16" s="97">
        <f>Datenquelle!L10</f>
        <v>0</v>
      </c>
      <c r="G16" s="132"/>
      <c r="I16" s="109"/>
      <c r="J16" s="65"/>
      <c r="Q16" s="170" t="s">
        <v>657</v>
      </c>
    </row>
    <row r="17" spans="1:17" ht="21" x14ac:dyDescent="0.3">
      <c r="A17" s="90"/>
      <c r="B17" s="85"/>
      <c r="C17" s="86" t="s">
        <v>658</v>
      </c>
      <c r="D17" s="87"/>
      <c r="E17" s="87"/>
      <c r="F17" s="184" t="str">
        <f>VLOOKUP(Datenquelle!K10,Datenquelle!$AN$5:$AP$13,3,FALSE)</f>
        <v>NB</v>
      </c>
      <c r="G17" s="91"/>
      <c r="I17" s="109"/>
    </row>
    <row r="18" spans="1:17" ht="25.5" x14ac:dyDescent="0.55000000000000004">
      <c r="A18" s="7"/>
      <c r="B18" s="71" t="s">
        <v>128</v>
      </c>
      <c r="C18" s="266" t="s">
        <v>659</v>
      </c>
      <c r="D18" s="15"/>
      <c r="E18" s="15"/>
      <c r="F18" s="96">
        <f>Datenquelle!J11</f>
        <v>2.1999999999999999E-2</v>
      </c>
      <c r="G18" s="9"/>
      <c r="J18" s="66"/>
    </row>
    <row r="19" spans="1:17" ht="112" x14ac:dyDescent="2.2000000000000002">
      <c r="A19" s="7"/>
      <c r="B19" s="71"/>
      <c r="C19" s="16" t="s">
        <v>660</v>
      </c>
      <c r="D19" s="61"/>
      <c r="E19" s="144" t="s">
        <v>614</v>
      </c>
      <c r="F19" s="97">
        <f>Datenquelle!L11</f>
        <v>0</v>
      </c>
      <c r="G19" s="288"/>
      <c r="J19" s="65"/>
      <c r="Q19" s="170" t="s">
        <v>661</v>
      </c>
    </row>
    <row r="20" spans="1:17" ht="21.5" thickBot="1" x14ac:dyDescent="0.35">
      <c r="A20" s="90"/>
      <c r="B20" s="85"/>
      <c r="C20" s="86" t="s">
        <v>662</v>
      </c>
      <c r="D20" s="87"/>
      <c r="E20" s="87"/>
      <c r="F20" s="184" t="str">
        <f>VLOOKUP(Datenquelle!K11,Datenquelle!$AN$5:$AP$13,3,FALSE)</f>
        <v>NB</v>
      </c>
      <c r="G20" s="91"/>
    </row>
    <row r="21" spans="1:17" ht="23.5" thickBot="1" x14ac:dyDescent="0.55000000000000004">
      <c r="A21" s="383" t="str">
        <f>IF(COUNTIF(Datenquelle!K7:K11,6)&lt;=Max_Nichtantworten,"",CONCATENATE("Module currently not assessable! ",COUNTIF(Datenquelle!K7:K11,6)," of ",Datenquelle!K6, " questions have not been rated yet." ))</f>
        <v>Module currently not assessable! 5 of 5 questions have not been rated yet.</v>
      </c>
      <c r="B21" s="384"/>
      <c r="C21" s="384"/>
      <c r="D21" s="384"/>
      <c r="E21" s="384"/>
      <c r="F21" s="384"/>
      <c r="G21" s="385"/>
      <c r="J21" s="67"/>
    </row>
    <row r="22" spans="1:17" ht="28" x14ac:dyDescent="0.6">
      <c r="A22" s="73"/>
      <c r="B22" s="74"/>
      <c r="C22" s="390" t="s">
        <v>663</v>
      </c>
      <c r="D22" s="390"/>
      <c r="E22" s="390"/>
      <c r="F22" s="75">
        <f>IF(AND(Datenquelle!K5&lt;&gt;0, COUNTIF(Datenquelle!K7:K11,6)&lt;=Max_Nichtantworten),Datenquelle!L5/Datenquelle!K5*Datenquelle!J5,0)</f>
        <v>0</v>
      </c>
      <c r="G22" s="228"/>
      <c r="J22" s="72"/>
    </row>
    <row r="23" spans="1:17" ht="14" x14ac:dyDescent="0.3">
      <c r="A23" s="73"/>
      <c r="B23" s="74"/>
      <c r="C23" s="77" t="str">
        <f>CONCATENATE("Maximum: ",ROUND(Datenquelle!J5*100,2), "%")</f>
        <v>Maximum: 14%</v>
      </c>
      <c r="D23" s="74"/>
      <c r="E23" s="74"/>
      <c r="F23" s="74"/>
      <c r="G23" s="76"/>
    </row>
    <row r="24" spans="1:17" ht="13.5" thickBot="1" x14ac:dyDescent="0.35">
      <c r="A24" s="78"/>
      <c r="B24" s="79"/>
      <c r="C24" s="80"/>
      <c r="D24" s="79"/>
      <c r="E24" s="79"/>
      <c r="F24" s="79"/>
      <c r="G24" s="81"/>
    </row>
    <row r="55" spans="5:5" ht="17.5" x14ac:dyDescent="0.35">
      <c r="E55" s="198"/>
    </row>
  </sheetData>
  <mergeCells count="8">
    <mergeCell ref="A21:G21"/>
    <mergeCell ref="C22:E22"/>
    <mergeCell ref="A1:G1"/>
    <mergeCell ref="F2:F3"/>
    <mergeCell ref="B3:B4"/>
    <mergeCell ref="C3:C4"/>
    <mergeCell ref="D3:D4"/>
    <mergeCell ref="F4:F5"/>
  </mergeCells>
  <conditionalFormatting sqref="A22:C24 F22:G24 D23:E24">
    <cfRule type="expression" dxfId="117" priority="139">
      <formula>$F$22=0</formula>
    </cfRule>
  </conditionalFormatting>
  <conditionalFormatting sqref="F6:F8">
    <cfRule type="expression" dxfId="116" priority="140">
      <formula>OR($F$8=$G$2, RIGHT($F$8,1)=$G$2)</formula>
    </cfRule>
    <cfRule type="expression" dxfId="115" priority="141">
      <formula>OR($F$8=$G$3, RIGHT($F$8,1)=$G$3)</formula>
    </cfRule>
    <cfRule type="expression" dxfId="114" priority="142">
      <formula>OR($F$8=$G$4, RIGHT($F$8,1)=$G$4)</formula>
    </cfRule>
  </conditionalFormatting>
  <conditionalFormatting sqref="F9:F11">
    <cfRule type="expression" dxfId="113" priority="143">
      <formula>OR($F$11=$G$2, RIGHT($F$11,1)=$G$2)</formula>
    </cfRule>
    <cfRule type="expression" dxfId="112" priority="144">
      <formula>OR($F$11=$G$3, RIGHT($F$11,1)=$G$3)</formula>
    </cfRule>
    <cfRule type="expression" dxfId="111" priority="145">
      <formula>OR($F$11=$G$4, RIGHT($F$11,1)=$G$4)</formula>
    </cfRule>
  </conditionalFormatting>
  <conditionalFormatting sqref="F12:F14">
    <cfRule type="expression" dxfId="110" priority="146">
      <formula>OR($F$14=$G$2, RIGHT($F$14,1)=$G$2)</formula>
    </cfRule>
    <cfRule type="expression" dxfId="109" priority="147">
      <formula>OR($F$14=$G$3, RIGHT($F$14,1)=$G$3)</formula>
    </cfRule>
    <cfRule type="expression" dxfId="108" priority="148">
      <formula>OR($F$14=$G$4, RIGHT($F$14,1)=$G$4)</formula>
    </cfRule>
  </conditionalFormatting>
  <conditionalFormatting sqref="F15:F17">
    <cfRule type="expression" dxfId="107" priority="149">
      <formula>OR($F$17=$G$2, RIGHT($F$17,1)=$G$2)</formula>
    </cfRule>
    <cfRule type="expression" dxfId="106" priority="150">
      <formula>OR($F$17=$G$3, RIGHT($F$17,1)=$G$3)</formula>
    </cfRule>
    <cfRule type="expression" dxfId="105" priority="151">
      <formula>OR($F$17=$G$4, RIGHT($F$17,1)=$G$4)</formula>
    </cfRule>
  </conditionalFormatting>
  <conditionalFormatting sqref="F18:F20">
    <cfRule type="expression" dxfId="104" priority="152">
      <formula>OR($F$20=$G$2, RIGHT($F$20,1)=$G$2)</formula>
    </cfRule>
    <cfRule type="expression" dxfId="103" priority="153">
      <formula>OR($F$20=$G$3, RIGHT($F$20,1)=$G$3)</formula>
    </cfRule>
    <cfRule type="expression" dxfId="102" priority="154">
      <formula>OR($F$20=$G$4, RIGHT($F$20,1)=$G$4)</formula>
    </cfRule>
  </conditionalFormatting>
  <hyperlinks>
    <hyperlink ref="E19" location="'Remarks'!E19" display="»" xr:uid="{00000000-0004-0000-0400-000000000000}"/>
    <hyperlink ref="E7" location="'Remarks'!E15" display="»" xr:uid="{00000000-0004-0000-0400-000001000000}"/>
    <hyperlink ref="E10" location="'Remarks'!E16" display="»" xr:uid="{00000000-0004-0000-0400-000002000000}"/>
    <hyperlink ref="E13" location="'Remarks'!E17" display="»" xr:uid="{00000000-0004-0000-0400-000003000000}"/>
    <hyperlink ref="E16" location="'Remarks'!E18" display="»" xr:uid="{00000000-0004-0000-0400-000004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F22"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5097" r:id="rId5" name="Drop Down 41">
              <controlPr defaultSize="0" autoLine="0" autoPict="0">
                <anchor moveWithCells="1">
                  <from>
                    <xdr:col>3</xdr:col>
                    <xdr:colOff>114300</xdr:colOff>
                    <xdr:row>9</xdr:row>
                    <xdr:rowOff>63500</xdr:rowOff>
                  </from>
                  <to>
                    <xdr:col>3</xdr:col>
                    <xdr:colOff>1371600</xdr:colOff>
                    <xdr:row>9</xdr:row>
                    <xdr:rowOff>279400</xdr:rowOff>
                  </to>
                </anchor>
              </controlPr>
            </control>
          </mc:Choice>
        </mc:AlternateContent>
        <mc:AlternateContent xmlns:mc="http://schemas.openxmlformats.org/markup-compatibility/2006">
          <mc:Choice Requires="x14">
            <control shapeId="45099" r:id="rId6" name="Drop Down 43">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45100" r:id="rId7" name="Drop Down 44">
              <controlPr defaultSize="0" autoLine="0" autoPict="0">
                <anchor moveWithCells="1">
                  <from>
                    <xdr:col>3</xdr:col>
                    <xdr:colOff>114300</xdr:colOff>
                    <xdr:row>12</xdr:row>
                    <xdr:rowOff>69850</xdr:rowOff>
                  </from>
                  <to>
                    <xdr:col>3</xdr:col>
                    <xdr:colOff>1371600</xdr:colOff>
                    <xdr:row>12</xdr:row>
                    <xdr:rowOff>285750</xdr:rowOff>
                  </to>
                </anchor>
              </controlPr>
            </control>
          </mc:Choice>
        </mc:AlternateContent>
        <mc:AlternateContent xmlns:mc="http://schemas.openxmlformats.org/markup-compatibility/2006">
          <mc:Choice Requires="x14">
            <control shapeId="45101" r:id="rId8" name="Drop Down 45">
              <controlPr defaultSize="0" autoLine="0" autoPict="0">
                <anchor moveWithCells="1">
                  <from>
                    <xdr:col>3</xdr:col>
                    <xdr:colOff>114300</xdr:colOff>
                    <xdr:row>15</xdr:row>
                    <xdr:rowOff>76200</xdr:rowOff>
                  </from>
                  <to>
                    <xdr:col>3</xdr:col>
                    <xdr:colOff>1371600</xdr:colOff>
                    <xdr:row>15</xdr:row>
                    <xdr:rowOff>292100</xdr:rowOff>
                  </to>
                </anchor>
              </controlPr>
            </control>
          </mc:Choice>
        </mc:AlternateContent>
        <mc:AlternateContent xmlns:mc="http://schemas.openxmlformats.org/markup-compatibility/2006">
          <mc:Choice Requires="x14">
            <control shapeId="45102" r:id="rId9" name="Drop Down 46">
              <controlPr defaultSize="0" autoLine="0" autoPict="0">
                <anchor moveWithCells="1">
                  <from>
                    <xdr:col>3</xdr:col>
                    <xdr:colOff>114300</xdr:colOff>
                    <xdr:row>18</xdr:row>
                    <xdr:rowOff>82550</xdr:rowOff>
                  </from>
                  <to>
                    <xdr:col>3</xdr:col>
                    <xdr:colOff>1371600</xdr:colOff>
                    <xdr:row>18</xdr:row>
                    <xdr:rowOff>298450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pageSetUpPr fitToPage="1"/>
  </sheetPr>
  <dimension ref="A1:Q27"/>
  <sheetViews>
    <sheetView zoomScale="85" zoomScaleNormal="85" workbookViewId="0">
      <pane ySplit="5" topLeftCell="A21" activePane="bottomLeft" state="frozen"/>
      <selection activeCell="B3" sqref="B3"/>
      <selection pane="bottomLeft" activeCell="B3" sqref="B3:B4"/>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664</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2" t="s">
        <v>608</v>
      </c>
      <c r="C3" s="381" t="s">
        <v>609</v>
      </c>
      <c r="D3" s="382" t="s">
        <v>610</v>
      </c>
      <c r="E3" s="8"/>
      <c r="F3" s="387"/>
      <c r="G3" s="183" t="str">
        <f>Datenquelle!$AP$7</f>
        <v>○</v>
      </c>
    </row>
    <row r="4" spans="1:17" x14ac:dyDescent="0.3">
      <c r="A4" s="7"/>
      <c r="B4" s="382"/>
      <c r="C4" s="381"/>
      <c r="D4" s="382"/>
      <c r="E4" s="8"/>
      <c r="F4" s="388" t="s">
        <v>611</v>
      </c>
      <c r="G4" s="183" t="str">
        <f>Datenquelle!$AP$8</f>
        <v>-</v>
      </c>
    </row>
    <row r="5" spans="1:17" s="25" customFormat="1" ht="8.5" customHeight="1" thickBot="1" x14ac:dyDescent="0.25">
      <c r="A5" s="21"/>
      <c r="B5" s="22"/>
      <c r="C5" s="22"/>
      <c r="D5" s="22"/>
      <c r="E5" s="22"/>
      <c r="F5" s="389"/>
      <c r="G5" s="23"/>
      <c r="Q5" s="169"/>
    </row>
    <row r="6" spans="1:17" ht="25.5" x14ac:dyDescent="0.55000000000000004">
      <c r="A6" s="3"/>
      <c r="B6" s="271" t="s">
        <v>85</v>
      </c>
      <c r="C6" s="179" t="s">
        <v>665</v>
      </c>
      <c r="D6" s="93"/>
      <c r="E6" s="93"/>
      <c r="F6" s="95">
        <f>Datenquelle!O7</f>
        <v>3.2000000000000001E-2</v>
      </c>
      <c r="G6" s="6"/>
      <c r="J6" s="66"/>
    </row>
    <row r="7" spans="1:17" ht="75" x14ac:dyDescent="1.5">
      <c r="A7" s="7"/>
      <c r="B7" s="71"/>
      <c r="C7" s="178" t="s">
        <v>666</v>
      </c>
      <c r="D7" s="15"/>
      <c r="E7" s="144" t="s">
        <v>614</v>
      </c>
      <c r="F7" s="97">
        <f>Datenquelle!Q7</f>
        <v>0</v>
      </c>
      <c r="G7" s="180"/>
      <c r="J7" s="65"/>
      <c r="Q7" s="170" t="s">
        <v>667</v>
      </c>
    </row>
    <row r="8" spans="1:17" ht="21" x14ac:dyDescent="0.3">
      <c r="A8" s="90"/>
      <c r="B8" s="85"/>
      <c r="C8" s="86" t="s">
        <v>668</v>
      </c>
      <c r="D8" s="87"/>
      <c r="E8" s="87"/>
      <c r="F8" s="184" t="str">
        <f>VLOOKUP(Datenquelle!P7,Datenquelle!$AN$5:$AP$13,3,FALSE)</f>
        <v>NB</v>
      </c>
      <c r="G8" s="91"/>
      <c r="J8" s="177"/>
    </row>
    <row r="9" spans="1:17" ht="25.5" x14ac:dyDescent="0.55000000000000004">
      <c r="A9" s="88"/>
      <c r="B9" s="269" t="s">
        <v>96</v>
      </c>
      <c r="C9" s="83" t="s">
        <v>669</v>
      </c>
      <c r="D9" s="84"/>
      <c r="E9" s="84"/>
      <c r="F9" s="96">
        <f>Datenquelle!O8</f>
        <v>1.9E-2</v>
      </c>
      <c r="G9" s="89"/>
      <c r="I9" s="109"/>
      <c r="J9" s="66"/>
    </row>
    <row r="10" spans="1:17" ht="35" x14ac:dyDescent="0.7">
      <c r="A10" s="7"/>
      <c r="B10" s="71"/>
      <c r="C10" s="99" t="s">
        <v>670</v>
      </c>
      <c r="D10" s="15"/>
      <c r="E10" s="144" t="s">
        <v>614</v>
      </c>
      <c r="F10" s="97">
        <f>Datenquelle!Q8</f>
        <v>0</v>
      </c>
      <c r="G10" s="9"/>
      <c r="I10" s="109"/>
      <c r="J10" s="65"/>
      <c r="Q10" s="170" t="s">
        <v>671</v>
      </c>
    </row>
    <row r="11" spans="1:17" ht="21" x14ac:dyDescent="0.3">
      <c r="A11" s="90"/>
      <c r="B11" s="85"/>
      <c r="C11" s="86" t="s">
        <v>672</v>
      </c>
      <c r="D11" s="87"/>
      <c r="E11" s="87"/>
      <c r="F11" s="184" t="str">
        <f>VLOOKUP(Datenquelle!P8,Datenquelle!$AN$5:$AP$13,3,FALSE)</f>
        <v>NB</v>
      </c>
      <c r="G11" s="91"/>
      <c r="I11" s="109"/>
    </row>
    <row r="12" spans="1:17" ht="25.5" x14ac:dyDescent="0.55000000000000004">
      <c r="A12" s="88"/>
      <c r="B12" s="269" t="s">
        <v>107</v>
      </c>
      <c r="C12" s="391" t="s">
        <v>673</v>
      </c>
      <c r="D12" s="391"/>
      <c r="E12" s="84"/>
      <c r="F12" s="96">
        <f>Datenquelle!O9</f>
        <v>0.02</v>
      </c>
      <c r="G12" s="89"/>
      <c r="I12" s="109"/>
      <c r="J12" s="66"/>
    </row>
    <row r="13" spans="1:17" ht="35" x14ac:dyDescent="0.7">
      <c r="A13" s="7"/>
      <c r="B13" s="71"/>
      <c r="C13" s="16" t="s">
        <v>674</v>
      </c>
      <c r="D13" s="61"/>
      <c r="E13" s="144" t="s">
        <v>614</v>
      </c>
      <c r="F13" s="97">
        <f>Datenquelle!Q9</f>
        <v>0</v>
      </c>
      <c r="G13" s="9"/>
      <c r="J13" s="65"/>
      <c r="Q13" s="170" t="s">
        <v>675</v>
      </c>
    </row>
    <row r="14" spans="1:17" ht="21" x14ac:dyDescent="0.3">
      <c r="A14" s="90"/>
      <c r="B14" s="85"/>
      <c r="C14" s="86" t="s">
        <v>676</v>
      </c>
      <c r="D14" s="87"/>
      <c r="E14" s="87"/>
      <c r="F14" s="184" t="str">
        <f>VLOOKUP(Datenquelle!P9,Datenquelle!$AN$5:$AP$13,3,FALSE)</f>
        <v>NB</v>
      </c>
      <c r="G14" s="91"/>
    </row>
    <row r="15" spans="1:17" ht="25.5" x14ac:dyDescent="0.55000000000000004">
      <c r="A15" s="88"/>
      <c r="B15" s="269" t="s">
        <v>118</v>
      </c>
      <c r="C15" s="175" t="s">
        <v>677</v>
      </c>
      <c r="D15" s="84"/>
      <c r="E15" s="84"/>
      <c r="F15" s="96">
        <f>Datenquelle!O10</f>
        <v>2.4E-2</v>
      </c>
      <c r="G15" s="199"/>
      <c r="J15" s="66"/>
    </row>
    <row r="16" spans="1:17" ht="45" x14ac:dyDescent="0.9">
      <c r="A16" s="7"/>
      <c r="B16" s="71"/>
      <c r="C16" s="16" t="s">
        <v>678</v>
      </c>
      <c r="D16" s="61"/>
      <c r="E16" s="144" t="s">
        <v>614</v>
      </c>
      <c r="F16" s="97">
        <f>Datenquelle!Q10</f>
        <v>0</v>
      </c>
      <c r="G16" s="132"/>
      <c r="J16" s="65"/>
      <c r="Q16" s="170" t="s">
        <v>679</v>
      </c>
    </row>
    <row r="17" spans="1:17" ht="21" x14ac:dyDescent="0.3">
      <c r="A17" s="90"/>
      <c r="B17" s="85"/>
      <c r="C17" s="86" t="s">
        <v>680</v>
      </c>
      <c r="D17" s="87"/>
      <c r="E17" s="87"/>
      <c r="F17" s="184" t="str">
        <f>VLOOKUP(Datenquelle!P10,Datenquelle!$AN$5:$AP$13,3,FALSE)</f>
        <v>NB</v>
      </c>
      <c r="G17" s="91"/>
    </row>
    <row r="18" spans="1:17" ht="25.5" x14ac:dyDescent="0.55000000000000004">
      <c r="A18" s="88"/>
      <c r="B18" s="269" t="s">
        <v>129</v>
      </c>
      <c r="C18" s="83" t="s">
        <v>681</v>
      </c>
      <c r="D18" s="84"/>
      <c r="E18" s="84"/>
      <c r="F18" s="96">
        <f>Datenquelle!O11</f>
        <v>2.5999999999999999E-2</v>
      </c>
      <c r="G18" s="89"/>
      <c r="J18" s="66"/>
    </row>
    <row r="19" spans="1:17" ht="90" x14ac:dyDescent="1.8">
      <c r="A19" s="7"/>
      <c r="B19" s="71"/>
      <c r="C19" s="16" t="s">
        <v>682</v>
      </c>
      <c r="D19" s="61"/>
      <c r="E19" s="144" t="s">
        <v>614</v>
      </c>
      <c r="F19" s="98">
        <f>Datenquelle!Q11</f>
        <v>0</v>
      </c>
      <c r="G19" s="270"/>
      <c r="J19" s="65"/>
      <c r="Q19" s="170" t="s">
        <v>615</v>
      </c>
    </row>
    <row r="20" spans="1:17" ht="21" x14ac:dyDescent="0.3">
      <c r="A20" s="90"/>
      <c r="B20" s="85"/>
      <c r="C20" s="86" t="s">
        <v>683</v>
      </c>
      <c r="D20" s="87"/>
      <c r="E20" s="87"/>
      <c r="F20" s="184" t="str">
        <f>VLOOKUP(Datenquelle!P11,Datenquelle!$AN$5:$AP$13,3,FALSE)</f>
        <v>NB</v>
      </c>
      <c r="G20" s="91"/>
    </row>
    <row r="21" spans="1:17" ht="35" x14ac:dyDescent="0.55000000000000004">
      <c r="A21" s="88"/>
      <c r="B21" s="269" t="s">
        <v>139</v>
      </c>
      <c r="C21" s="83" t="s">
        <v>684</v>
      </c>
      <c r="D21" s="84"/>
      <c r="E21" s="289"/>
      <c r="F21" s="96">
        <f>Datenquelle!O12</f>
        <v>2.9000000000000001E-2</v>
      </c>
      <c r="G21" s="89"/>
      <c r="J21" s="66"/>
    </row>
    <row r="22" spans="1:17" ht="45" x14ac:dyDescent="0.9">
      <c r="A22" s="7"/>
      <c r="B22" s="71"/>
      <c r="C22" s="16" t="s">
        <v>685</v>
      </c>
      <c r="D22" s="61"/>
      <c r="E22" s="144" t="s">
        <v>614</v>
      </c>
      <c r="F22" s="98">
        <f>Datenquelle!Q12</f>
        <v>0</v>
      </c>
      <c r="G22" s="132"/>
      <c r="J22" s="65"/>
      <c r="Q22" s="170" t="s">
        <v>686</v>
      </c>
    </row>
    <row r="23" spans="1:17" ht="21.5" thickBot="1" x14ac:dyDescent="0.35">
      <c r="A23" s="90"/>
      <c r="B23" s="85"/>
      <c r="C23" s="86" t="s">
        <v>687</v>
      </c>
      <c r="D23" s="87"/>
      <c r="E23" s="87"/>
      <c r="F23" s="184" t="str">
        <f>VLOOKUP(Datenquelle!P12,Datenquelle!$AN$5:$AP$13,3,FALSE)</f>
        <v>NB</v>
      </c>
      <c r="G23" s="91"/>
    </row>
    <row r="24" spans="1:17" ht="23.5" thickBot="1" x14ac:dyDescent="0.55000000000000004">
      <c r="A24" s="383" t="str">
        <f>IF(COUNTIF(Datenquelle!P7:P12,6)&lt;=Max_Nichtantworten,"",CONCATENATE("Module currently not assessable! ",COUNTIF(Datenquelle!P7:P12,6)," of ",Datenquelle!P6, " questions have not been rated yet." ))</f>
        <v>Module currently not assessable! 6 of 6 questions have not been rated yet.</v>
      </c>
      <c r="B24" s="384"/>
      <c r="C24" s="384"/>
      <c r="D24" s="384"/>
      <c r="E24" s="384"/>
      <c r="F24" s="384"/>
      <c r="G24" s="385"/>
      <c r="J24" s="67"/>
    </row>
    <row r="25" spans="1:17" ht="45" x14ac:dyDescent="0.9">
      <c r="A25" s="73"/>
      <c r="B25" s="74"/>
      <c r="C25" s="390" t="s">
        <v>688</v>
      </c>
      <c r="D25" s="390"/>
      <c r="E25" s="390"/>
      <c r="F25" s="75">
        <f>IF(AND(Datenquelle!P5&lt;&gt;0, COUNTIF(Datenquelle!P7:P12,6)&lt;=Max_Nichtantworten),Datenquelle!Q5/Datenquelle!P5*Datenquelle!O5,0)</f>
        <v>0</v>
      </c>
      <c r="G25" s="181"/>
      <c r="J25" s="72"/>
    </row>
    <row r="26" spans="1:17" ht="14" x14ac:dyDescent="0.3">
      <c r="A26" s="73"/>
      <c r="B26" s="74"/>
      <c r="C26" s="77" t="str">
        <f>CONCATENATE("Maximum: ",ROUND(Datenquelle!O5*100,2), "%")</f>
        <v>Maximum: 15%</v>
      </c>
      <c r="D26" s="74"/>
      <c r="E26" s="74"/>
      <c r="F26" s="74"/>
      <c r="G26" s="76"/>
    </row>
    <row r="27" spans="1:17" ht="13.5" thickBot="1" x14ac:dyDescent="0.35">
      <c r="A27" s="78"/>
      <c r="B27" s="79"/>
      <c r="C27" s="80"/>
      <c r="D27" s="79"/>
      <c r="E27" s="79"/>
      <c r="F27" s="79"/>
      <c r="G27" s="81"/>
    </row>
  </sheetData>
  <mergeCells count="9">
    <mergeCell ref="C25:E25"/>
    <mergeCell ref="A24:G24"/>
    <mergeCell ref="A1:G1"/>
    <mergeCell ref="F2:F3"/>
    <mergeCell ref="B3:B4"/>
    <mergeCell ref="C3:C4"/>
    <mergeCell ref="D3:D4"/>
    <mergeCell ref="F4:F5"/>
    <mergeCell ref="C12:D12"/>
  </mergeCells>
  <conditionalFormatting sqref="A25:C27 F25:G27 D26:E27">
    <cfRule type="expression" dxfId="101" priority="25">
      <formula>$F$25=0</formula>
    </cfRule>
  </conditionalFormatting>
  <conditionalFormatting sqref="F6:F8">
    <cfRule type="expression" dxfId="100" priority="26">
      <formula>OR($F$8=$G$2, RIGHT($F$8,1)=$G$2)</formula>
    </cfRule>
    <cfRule type="expression" dxfId="99" priority="27">
      <formula>OR($F$8=$G$3, RIGHT($F$8,1)=$G$3)</formula>
    </cfRule>
    <cfRule type="expression" dxfId="98" priority="28">
      <formula>OR($F$8=$G$4, RIGHT($F$8,1)=$G$4)</formula>
    </cfRule>
  </conditionalFormatting>
  <conditionalFormatting sqref="F9:F11">
    <cfRule type="expression" dxfId="97" priority="29">
      <formula>OR($F$11=$G$2, RIGHT($F$11,1)=$G$2)</formula>
    </cfRule>
    <cfRule type="expression" dxfId="96" priority="30">
      <formula>OR($F$11=$G$3, RIGHT($F$11,1)=$G$3)</formula>
    </cfRule>
    <cfRule type="expression" dxfId="95" priority="31">
      <formula>OR($F$11=$G$4, RIGHT($F$11,1)=$G$4)</formula>
    </cfRule>
  </conditionalFormatting>
  <conditionalFormatting sqref="F12:F14">
    <cfRule type="expression" dxfId="94" priority="32">
      <formula>OR($F$14=$G$2, RIGHT($F$14,1)=$G$2)</formula>
    </cfRule>
    <cfRule type="expression" dxfId="93" priority="33">
      <formula>OR($F$14=$G$3, RIGHT($F$14,1)=$G$3)</formula>
    </cfRule>
    <cfRule type="expression" dxfId="92" priority="34">
      <formula>OR($F$14=$G$4, RIGHT($F$14,1)=$G$4)</formula>
    </cfRule>
  </conditionalFormatting>
  <conditionalFormatting sqref="F15:F17">
    <cfRule type="expression" dxfId="91" priority="35">
      <formula>OR($F$17=$G$2, RIGHT($F$17,1)=$G$2)</formula>
    </cfRule>
    <cfRule type="expression" dxfId="90" priority="36">
      <formula>OR($F$17=$G$3, RIGHT($F$17,1)=$G$3)</formula>
    </cfRule>
    <cfRule type="expression" dxfId="89" priority="37">
      <formula>OR($F$17=$G$4, RIGHT($F$17,1)=$G$4)</formula>
    </cfRule>
  </conditionalFormatting>
  <conditionalFormatting sqref="F18:F20">
    <cfRule type="expression" dxfId="88" priority="38">
      <formula>OR($F$20=$G$2, RIGHT($F$20,1)=$G$2)</formula>
    </cfRule>
    <cfRule type="expression" dxfId="87" priority="39">
      <formula>OR($F$20=$G$3, RIGHT($F$20,1)=$G$3)</formula>
    </cfRule>
    <cfRule type="expression" dxfId="86" priority="40">
      <formula>OR($F$20=$G$4, RIGHT($F$20,1)=$G$4)</formula>
    </cfRule>
  </conditionalFormatting>
  <conditionalFormatting sqref="F21:F23">
    <cfRule type="expression" dxfId="85" priority="41">
      <formula>OR($F$23=$G$2, RIGHT($F$23,1)=$G$2)</formula>
    </cfRule>
    <cfRule type="expression" dxfId="84" priority="42">
      <formula>OR($F$23=$G$3, RIGHT($F$23,1)=$G$3)</formula>
    </cfRule>
    <cfRule type="expression" dxfId="83" priority="43">
      <formula>OR($F$23=$G$4, RIGHT($F$23,1)=$G$4)</formula>
    </cfRule>
  </conditionalFormatting>
  <hyperlinks>
    <hyperlink ref="E7" location="'Remarks'!E22" display="»" xr:uid="{00000000-0004-0000-0500-000000000000}"/>
    <hyperlink ref="E10" location="'Remarks'!E23" display="»" xr:uid="{00000000-0004-0000-0500-000001000000}"/>
    <hyperlink ref="E13" location="'Remarks'!E24" display="»" xr:uid="{00000000-0004-0000-0500-000002000000}"/>
    <hyperlink ref="E16" location="'Remarks'!E25" display="»" xr:uid="{00000000-0004-0000-0500-000003000000}"/>
    <hyperlink ref="E19" location="'Remarks'!E26" display="»" xr:uid="{00000000-0004-0000-0500-000004000000}"/>
    <hyperlink ref="E22" location="'Remarks'!E27" display="»" xr:uid="{00000000-0004-0000-0500-000005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F25"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3" r:id="rId5" name="Drop Down 1">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3083" r:id="rId6" name="Drop Down 11">
              <controlPr defaultSize="0" autoLine="0" autoPict="0">
                <anchor moveWithCells="1">
                  <from>
                    <xdr:col>3</xdr:col>
                    <xdr:colOff>114300</xdr:colOff>
                    <xdr:row>9</xdr:row>
                    <xdr:rowOff>76200</xdr:rowOff>
                  </from>
                  <to>
                    <xdr:col>3</xdr:col>
                    <xdr:colOff>1371600</xdr:colOff>
                    <xdr:row>9</xdr:row>
                    <xdr:rowOff>292100</xdr:rowOff>
                  </to>
                </anchor>
              </controlPr>
            </control>
          </mc:Choice>
        </mc:AlternateContent>
        <mc:AlternateContent xmlns:mc="http://schemas.openxmlformats.org/markup-compatibility/2006">
          <mc:Choice Requires="x14">
            <control shapeId="3084" r:id="rId7" name="Drop Down 12">
              <controlPr defaultSize="0" autoLine="0" autoPict="0">
                <anchor moveWithCells="1">
                  <from>
                    <xdr:col>3</xdr:col>
                    <xdr:colOff>114300</xdr:colOff>
                    <xdr:row>12</xdr:row>
                    <xdr:rowOff>82550</xdr:rowOff>
                  </from>
                  <to>
                    <xdr:col>3</xdr:col>
                    <xdr:colOff>1371600</xdr:colOff>
                    <xdr:row>12</xdr:row>
                    <xdr:rowOff>298450</xdr:rowOff>
                  </to>
                </anchor>
              </controlPr>
            </control>
          </mc:Choice>
        </mc:AlternateContent>
        <mc:AlternateContent xmlns:mc="http://schemas.openxmlformats.org/markup-compatibility/2006">
          <mc:Choice Requires="x14">
            <control shapeId="3085" r:id="rId8" name="Drop Down 13">
              <controlPr defaultSize="0" autoLine="0" autoPict="0">
                <anchor moveWithCells="1">
                  <from>
                    <xdr:col>3</xdr:col>
                    <xdr:colOff>114300</xdr:colOff>
                    <xdr:row>15</xdr:row>
                    <xdr:rowOff>88900</xdr:rowOff>
                  </from>
                  <to>
                    <xdr:col>3</xdr:col>
                    <xdr:colOff>1371600</xdr:colOff>
                    <xdr:row>15</xdr:row>
                    <xdr:rowOff>304800</xdr:rowOff>
                  </to>
                </anchor>
              </controlPr>
            </control>
          </mc:Choice>
        </mc:AlternateContent>
        <mc:AlternateContent xmlns:mc="http://schemas.openxmlformats.org/markup-compatibility/2006">
          <mc:Choice Requires="x14">
            <control shapeId="3086" r:id="rId9" name="Drop Down 14">
              <controlPr defaultSize="0" autoLine="0" autoPict="0">
                <anchor moveWithCells="1">
                  <from>
                    <xdr:col>3</xdr:col>
                    <xdr:colOff>114300</xdr:colOff>
                    <xdr:row>18</xdr:row>
                    <xdr:rowOff>95250</xdr:rowOff>
                  </from>
                  <to>
                    <xdr:col>3</xdr:col>
                    <xdr:colOff>1371600</xdr:colOff>
                    <xdr:row>18</xdr:row>
                    <xdr:rowOff>311150</xdr:rowOff>
                  </to>
                </anchor>
              </controlPr>
            </control>
          </mc:Choice>
        </mc:AlternateContent>
        <mc:AlternateContent xmlns:mc="http://schemas.openxmlformats.org/markup-compatibility/2006">
          <mc:Choice Requires="x14">
            <control shapeId="3087" r:id="rId10" name="Drop Down 15">
              <controlPr defaultSize="0" autoLine="0" autoPict="0">
                <anchor moveWithCells="1">
                  <from>
                    <xdr:col>3</xdr:col>
                    <xdr:colOff>114300</xdr:colOff>
                    <xdr:row>21</xdr:row>
                    <xdr:rowOff>95250</xdr:rowOff>
                  </from>
                  <to>
                    <xdr:col>3</xdr:col>
                    <xdr:colOff>1371600</xdr:colOff>
                    <xdr:row>21</xdr:row>
                    <xdr:rowOff>311150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pageSetUpPr fitToPage="1"/>
  </sheetPr>
  <dimension ref="A1:Q30"/>
  <sheetViews>
    <sheetView zoomScale="85" zoomScaleNormal="85" workbookViewId="0">
      <pane ySplit="5" topLeftCell="A12" activePane="bottomLeft" state="frozen"/>
      <selection activeCell="B3" sqref="B3"/>
      <selection pane="bottomLeft" activeCell="J14" sqref="I14:J14"/>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689</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2" t="s">
        <v>608</v>
      </c>
      <c r="C3" s="381" t="s">
        <v>609</v>
      </c>
      <c r="D3" s="382" t="s">
        <v>610</v>
      </c>
      <c r="E3" s="8"/>
      <c r="F3" s="387"/>
      <c r="G3" s="183" t="str">
        <f>Datenquelle!$AP$7</f>
        <v>○</v>
      </c>
    </row>
    <row r="4" spans="1:17" x14ac:dyDescent="0.3">
      <c r="A4" s="7"/>
      <c r="B4" s="382"/>
      <c r="C4" s="381"/>
      <c r="D4" s="382"/>
      <c r="E4" s="8"/>
      <c r="F4" s="388" t="s">
        <v>611</v>
      </c>
      <c r="G4" s="183" t="str">
        <f>Datenquelle!$AP$8</f>
        <v>-</v>
      </c>
    </row>
    <row r="5" spans="1:17" s="25" customFormat="1" ht="8.5" customHeight="1" thickBot="1" x14ac:dyDescent="0.25">
      <c r="A5" s="29"/>
      <c r="B5" s="30"/>
      <c r="C5" s="30"/>
      <c r="D5" s="30"/>
      <c r="E5" s="30"/>
      <c r="F5" s="389"/>
      <c r="G5" s="32"/>
      <c r="Q5" s="169"/>
    </row>
    <row r="6" spans="1:17" ht="25.5" x14ac:dyDescent="0.55000000000000004">
      <c r="A6" s="7"/>
      <c r="B6" s="71" t="s">
        <v>86</v>
      </c>
      <c r="C6" s="266" t="s">
        <v>690</v>
      </c>
      <c r="D6" s="15"/>
      <c r="E6" s="15"/>
      <c r="F6" s="96">
        <f>Datenquelle!T7</f>
        <v>2.1999999999999999E-2</v>
      </c>
      <c r="G6" s="9"/>
      <c r="J6" s="66"/>
    </row>
    <row r="7" spans="1:17" ht="45" x14ac:dyDescent="0.9">
      <c r="A7" s="7"/>
      <c r="B7" s="71"/>
      <c r="C7" s="16" t="s">
        <v>691</v>
      </c>
      <c r="D7" s="15"/>
      <c r="E7" s="144" t="s">
        <v>614</v>
      </c>
      <c r="F7" s="97">
        <f>Datenquelle!V7</f>
        <v>0</v>
      </c>
      <c r="G7" s="132"/>
      <c r="J7" s="65"/>
      <c r="Q7" s="170" t="s">
        <v>667</v>
      </c>
    </row>
    <row r="8" spans="1:17" ht="15.5" x14ac:dyDescent="0.3">
      <c r="A8" s="90"/>
      <c r="B8" s="85"/>
      <c r="C8" s="86" t="s">
        <v>692</v>
      </c>
      <c r="D8" s="87"/>
      <c r="E8" s="87"/>
      <c r="F8" s="184" t="str">
        <f>VLOOKUP(Datenquelle!U7,Datenquelle!$AN$5:$AP$13,3,FALSE)</f>
        <v>NB</v>
      </c>
      <c r="G8" s="91"/>
    </row>
    <row r="9" spans="1:17" ht="25.5" x14ac:dyDescent="0.55000000000000004">
      <c r="A9" s="88"/>
      <c r="B9" s="269" t="s">
        <v>97</v>
      </c>
      <c r="C9" s="175" t="s">
        <v>693</v>
      </c>
      <c r="D9" s="84"/>
      <c r="E9" s="84"/>
      <c r="F9" s="96">
        <f>Datenquelle!T8</f>
        <v>1.7000000000000001E-2</v>
      </c>
      <c r="G9" s="89"/>
      <c r="J9" s="66"/>
    </row>
    <row r="10" spans="1:17" ht="45" x14ac:dyDescent="0.9">
      <c r="A10" s="7"/>
      <c r="B10" s="71"/>
      <c r="C10" s="16" t="s">
        <v>694</v>
      </c>
      <c r="D10" s="15"/>
      <c r="E10" s="144" t="s">
        <v>614</v>
      </c>
      <c r="F10" s="97">
        <f>Datenquelle!V8</f>
        <v>0</v>
      </c>
      <c r="G10" s="132"/>
      <c r="J10" s="65"/>
      <c r="Q10" s="170" t="s">
        <v>675</v>
      </c>
    </row>
    <row r="11" spans="1:17" ht="15.5" x14ac:dyDescent="0.3">
      <c r="A11" s="90"/>
      <c r="B11" s="85"/>
      <c r="C11" s="86" t="s">
        <v>695</v>
      </c>
      <c r="D11" s="87"/>
      <c r="E11" s="87"/>
      <c r="F11" s="184" t="str">
        <f>VLOOKUP(Datenquelle!U8,Datenquelle!$AN$5:$AP$13,3,FALSE)</f>
        <v>NB</v>
      </c>
      <c r="G11" s="91"/>
    </row>
    <row r="12" spans="1:17" ht="25.5" x14ac:dyDescent="0.55000000000000004">
      <c r="A12" s="88"/>
      <c r="B12" s="269" t="s">
        <v>108</v>
      </c>
      <c r="C12" s="266" t="s">
        <v>696</v>
      </c>
      <c r="D12" s="84"/>
      <c r="E12" s="84"/>
      <c r="F12" s="96">
        <f>Datenquelle!T9</f>
        <v>2.5000000000000001E-2</v>
      </c>
      <c r="G12" s="89"/>
      <c r="I12" s="109"/>
      <c r="J12" s="66"/>
    </row>
    <row r="13" spans="1:17" ht="52" x14ac:dyDescent="0.9">
      <c r="A13" s="7"/>
      <c r="B13" s="71"/>
      <c r="C13" s="99" t="s">
        <v>697</v>
      </c>
      <c r="D13" s="15"/>
      <c r="E13" s="144" t="s">
        <v>614</v>
      </c>
      <c r="F13" s="97">
        <f>Datenquelle!V9</f>
        <v>0</v>
      </c>
      <c r="G13" s="132"/>
      <c r="I13" s="109"/>
      <c r="J13" s="65"/>
      <c r="Q13" s="170" t="s">
        <v>698</v>
      </c>
    </row>
    <row r="14" spans="1:17" ht="21" x14ac:dyDescent="0.3">
      <c r="A14" s="90"/>
      <c r="B14" s="85"/>
      <c r="C14" s="86" t="s">
        <v>699</v>
      </c>
      <c r="D14" s="87"/>
      <c r="E14" s="87"/>
      <c r="F14" s="184" t="str">
        <f>VLOOKUP(Datenquelle!U9,Datenquelle!$AN$5:$AP$13,3,FALSE)</f>
        <v>NB</v>
      </c>
      <c r="G14" s="91"/>
      <c r="I14" s="109"/>
    </row>
    <row r="15" spans="1:17" ht="25.5" x14ac:dyDescent="0.55000000000000004">
      <c r="A15" s="88"/>
      <c r="B15" s="269" t="s">
        <v>119</v>
      </c>
      <c r="C15" s="175" t="s">
        <v>806</v>
      </c>
      <c r="D15" s="84"/>
      <c r="E15" s="84"/>
      <c r="F15" s="96">
        <f>Datenquelle!T10</f>
        <v>3.5000000000000003E-2</v>
      </c>
      <c r="G15" s="89"/>
      <c r="I15" s="109"/>
      <c r="J15" s="66"/>
    </row>
    <row r="16" spans="1:17" ht="52" x14ac:dyDescent="0.9">
      <c r="A16" s="7"/>
      <c r="B16" s="71"/>
      <c r="C16" s="99" t="s">
        <v>700</v>
      </c>
      <c r="D16" s="15"/>
      <c r="E16" s="144" t="s">
        <v>614</v>
      </c>
      <c r="F16" s="97">
        <f>Datenquelle!V10</f>
        <v>0</v>
      </c>
      <c r="G16" s="132"/>
      <c r="I16" s="109"/>
      <c r="J16" s="65"/>
      <c r="Q16" s="170" t="s">
        <v>701</v>
      </c>
    </row>
    <row r="17" spans="1:17" ht="21" x14ac:dyDescent="0.3">
      <c r="A17" s="90"/>
      <c r="B17" s="85"/>
      <c r="C17" s="86" t="s">
        <v>702</v>
      </c>
      <c r="D17" s="87"/>
      <c r="E17" s="87"/>
      <c r="F17" s="184" t="str">
        <f>VLOOKUP(Datenquelle!U10,Datenquelle!$AN$5:$AP$13,3,FALSE)</f>
        <v>NB</v>
      </c>
      <c r="G17" s="91"/>
      <c r="I17" s="109"/>
    </row>
    <row r="18" spans="1:17" ht="25.5" x14ac:dyDescent="0.55000000000000004">
      <c r="A18" s="88"/>
      <c r="B18" s="269" t="s">
        <v>130</v>
      </c>
      <c r="C18" s="175" t="s">
        <v>703</v>
      </c>
      <c r="D18" s="84"/>
      <c r="E18" s="84"/>
      <c r="F18" s="96">
        <f>Datenquelle!T11</f>
        <v>2.1000000000000001E-2</v>
      </c>
      <c r="G18" s="89"/>
      <c r="I18" s="109"/>
      <c r="J18" s="66"/>
    </row>
    <row r="19" spans="1:17" ht="45" x14ac:dyDescent="0.9">
      <c r="A19" s="7"/>
      <c r="B19" s="71"/>
      <c r="C19" s="16" t="s">
        <v>704</v>
      </c>
      <c r="D19" s="15"/>
      <c r="E19" s="144" t="s">
        <v>614</v>
      </c>
      <c r="F19" s="97">
        <f>Datenquelle!V11</f>
        <v>0</v>
      </c>
      <c r="G19" s="132"/>
      <c r="I19" s="109"/>
      <c r="J19" s="65"/>
      <c r="Q19" s="170" t="s">
        <v>679</v>
      </c>
    </row>
    <row r="20" spans="1:17" ht="21" x14ac:dyDescent="0.3">
      <c r="A20" s="90"/>
      <c r="B20" s="85"/>
      <c r="C20" s="86" t="s">
        <v>705</v>
      </c>
      <c r="D20" s="87"/>
      <c r="E20" s="87"/>
      <c r="F20" s="184" t="str">
        <f>VLOOKUP(Datenquelle!U11,Datenquelle!$AN$5:$AP$13,3,FALSE)</f>
        <v>NB</v>
      </c>
      <c r="G20" s="91"/>
      <c r="I20" s="109"/>
    </row>
    <row r="21" spans="1:17" ht="25.5" x14ac:dyDescent="0.55000000000000004">
      <c r="A21" s="88"/>
      <c r="B21" s="269" t="s">
        <v>140</v>
      </c>
      <c r="C21" s="175" t="s">
        <v>706</v>
      </c>
      <c r="D21" s="84"/>
      <c r="E21" s="84"/>
      <c r="F21" s="96">
        <f>Datenquelle!T12</f>
        <v>0.02</v>
      </c>
      <c r="G21" s="89"/>
      <c r="I21" s="109"/>
      <c r="J21" s="66"/>
    </row>
    <row r="22" spans="1:17" ht="60" x14ac:dyDescent="1.2">
      <c r="A22" s="7"/>
      <c r="B22" s="71"/>
      <c r="C22" s="16" t="s">
        <v>707</v>
      </c>
      <c r="D22" s="15"/>
      <c r="E22" s="144" t="s">
        <v>614</v>
      </c>
      <c r="F22" s="97">
        <f>Datenquelle!V12</f>
        <v>0</v>
      </c>
      <c r="G22" s="176"/>
      <c r="I22" s="109"/>
      <c r="J22" s="65"/>
      <c r="Q22" s="170" t="s">
        <v>708</v>
      </c>
    </row>
    <row r="23" spans="1:17" ht="15.5" x14ac:dyDescent="0.3">
      <c r="A23" s="90"/>
      <c r="B23" s="85"/>
      <c r="C23" s="86" t="s">
        <v>709</v>
      </c>
      <c r="D23" s="87"/>
      <c r="E23" s="87"/>
      <c r="F23" s="184" t="str">
        <f>VLOOKUP(Datenquelle!U12,Datenquelle!$AN$5:$AP$13,3,FALSE)</f>
        <v>NB</v>
      </c>
      <c r="G23" s="91"/>
      <c r="I23" s="109"/>
    </row>
    <row r="24" spans="1:17" ht="25.5" x14ac:dyDescent="0.55000000000000004">
      <c r="A24" s="88"/>
      <c r="B24" s="269" t="s">
        <v>146</v>
      </c>
      <c r="C24" s="175" t="s">
        <v>710</v>
      </c>
      <c r="D24" s="84"/>
      <c r="E24" s="84"/>
      <c r="F24" s="96">
        <f>Datenquelle!T13</f>
        <v>0.02</v>
      </c>
      <c r="G24" s="89"/>
      <c r="I24" s="109"/>
      <c r="J24" s="66"/>
    </row>
    <row r="25" spans="1:17" ht="60" x14ac:dyDescent="1.2">
      <c r="A25" s="7"/>
      <c r="B25" s="71"/>
      <c r="C25" s="16" t="s">
        <v>711</v>
      </c>
      <c r="D25" s="61"/>
      <c r="E25" s="144" t="s">
        <v>614</v>
      </c>
      <c r="F25" s="97">
        <f>Datenquelle!V13</f>
        <v>0</v>
      </c>
      <c r="G25" s="176"/>
      <c r="J25" s="65"/>
      <c r="Q25" s="170" t="s">
        <v>671</v>
      </c>
    </row>
    <row r="26" spans="1:17" ht="21.5" thickBot="1" x14ac:dyDescent="0.35">
      <c r="A26" s="90"/>
      <c r="B26" s="85"/>
      <c r="C26" s="86" t="s">
        <v>712</v>
      </c>
      <c r="D26" s="87"/>
      <c r="E26" s="87"/>
      <c r="F26" s="184" t="str">
        <f>VLOOKUP(Datenquelle!U13,Datenquelle!$AN$5:$AP$13,3,FALSE)</f>
        <v>NB</v>
      </c>
      <c r="G26" s="91"/>
    </row>
    <row r="27" spans="1:17" ht="23.5" thickBot="1" x14ac:dyDescent="0.55000000000000004">
      <c r="A27" s="383" t="str">
        <f>IF(COUNTIF(Datenquelle!U7:U13,6)&lt;=Max_Nichtantworten,"",CONCATENATE("Module currently not assessable! ",COUNTIF(Datenquelle!U7:U13,6)," of ",Datenquelle!U6, " questions have not been rated yet." ))</f>
        <v>Module currently not assessable! 7 of 7 questions have not been rated yet.</v>
      </c>
      <c r="B27" s="384"/>
      <c r="C27" s="384"/>
      <c r="D27" s="384"/>
      <c r="E27" s="384"/>
      <c r="F27" s="384"/>
      <c r="G27" s="385"/>
      <c r="J27" s="67"/>
    </row>
    <row r="28" spans="1:17" ht="28" x14ac:dyDescent="0.6">
      <c r="A28" s="73"/>
      <c r="B28" s="74"/>
      <c r="C28" s="378" t="s">
        <v>713</v>
      </c>
      <c r="D28" s="378"/>
      <c r="E28" s="378"/>
      <c r="F28" s="75">
        <f>IF(AND(Datenquelle!U5&lt;&gt;0, COUNTIF(Datenquelle!U7:U11,6)&lt;=Max_Nichtantworten),Datenquelle!V5/Datenquelle!U5*Datenquelle!T5,0)</f>
        <v>0</v>
      </c>
      <c r="G28" s="76"/>
      <c r="J28" s="72"/>
    </row>
    <row r="29" spans="1:17" ht="14" x14ac:dyDescent="0.3">
      <c r="A29" s="73"/>
      <c r="B29" s="74"/>
      <c r="C29" s="77" t="str">
        <f>CONCATENATE("Maximum: ",ROUND(Datenquelle!T5*100,2), "%")</f>
        <v>Maximum: 16%</v>
      </c>
      <c r="D29" s="74"/>
      <c r="E29" s="74"/>
      <c r="F29" s="74"/>
      <c r="G29" s="76"/>
    </row>
    <row r="30" spans="1:17" ht="13.5" thickBot="1" x14ac:dyDescent="0.35">
      <c r="A30" s="78"/>
      <c r="B30" s="79"/>
      <c r="C30" s="80"/>
      <c r="D30" s="79"/>
      <c r="E30" s="79"/>
      <c r="F30" s="79"/>
      <c r="G30" s="81"/>
    </row>
  </sheetData>
  <mergeCells count="8">
    <mergeCell ref="A27:G27"/>
    <mergeCell ref="C28:E28"/>
    <mergeCell ref="A1:G1"/>
    <mergeCell ref="F2:F3"/>
    <mergeCell ref="B3:B4"/>
    <mergeCell ref="C3:C4"/>
    <mergeCell ref="D3:D4"/>
    <mergeCell ref="F4:F5"/>
  </mergeCells>
  <conditionalFormatting sqref="A28:C30 F28:G30 D29:E30">
    <cfRule type="expression" dxfId="82" priority="31">
      <formula>$F$28=0</formula>
    </cfRule>
  </conditionalFormatting>
  <conditionalFormatting sqref="F6:F8">
    <cfRule type="expression" dxfId="81" priority="32">
      <formula>OR($F$8=$G$2, RIGHT($F$8,1)=$G$2)</formula>
    </cfRule>
    <cfRule type="expression" dxfId="80" priority="33">
      <formula>OR($F$8=$G$3, RIGHT($F$8,1)=$G$3)</formula>
    </cfRule>
    <cfRule type="expression" dxfId="79" priority="34">
      <formula>OR($F$8=$G$4, RIGHT($F$8,1)=$G$4)</formula>
    </cfRule>
  </conditionalFormatting>
  <conditionalFormatting sqref="F9:F11">
    <cfRule type="expression" dxfId="78" priority="35">
      <formula>OR($F$11=$G$2, RIGHT($F$11,1)=$G$2)</formula>
    </cfRule>
    <cfRule type="expression" dxfId="77" priority="36">
      <formula>OR($F$11=$G$3, RIGHT($F$11,1)=$G$3)</formula>
    </cfRule>
    <cfRule type="expression" dxfId="76" priority="37">
      <formula>OR($F$11=$G$4, RIGHT($F$11,1)=$G$4)</formula>
    </cfRule>
  </conditionalFormatting>
  <conditionalFormatting sqref="F12:F14">
    <cfRule type="expression" dxfId="75" priority="38">
      <formula>OR($F$14=$G$2, RIGHT($F$14,1)=$G$2)</formula>
    </cfRule>
    <cfRule type="expression" dxfId="74" priority="39">
      <formula>OR($F$14=$G$3, RIGHT($F$14,1)=$G$3)</formula>
    </cfRule>
    <cfRule type="expression" dxfId="73" priority="40">
      <formula>OR($F$14=$G$4, RIGHT($F$14,1)=$G$4)</formula>
    </cfRule>
  </conditionalFormatting>
  <conditionalFormatting sqref="F15:F17">
    <cfRule type="expression" dxfId="72" priority="41">
      <formula>OR($F$17=$G$2, RIGHT($F$17,1)=$G$2)</formula>
    </cfRule>
    <cfRule type="expression" dxfId="71" priority="42">
      <formula>OR($F$17=$G$3, RIGHT($F$17,1)=$G$3)</formula>
    </cfRule>
    <cfRule type="expression" dxfId="70" priority="43">
      <formula>OR($F$17=$G$4, RIGHT($F$17,1)=$G$4)</formula>
    </cfRule>
  </conditionalFormatting>
  <conditionalFormatting sqref="F18:F20">
    <cfRule type="expression" dxfId="69" priority="44">
      <formula>OR($F$20=$G$2, RIGHT($F$20,1)=$G$2)</formula>
    </cfRule>
    <cfRule type="expression" dxfId="68" priority="45">
      <formula>OR($F$20=$G$3, RIGHT($F$20,1)=$G$3)</formula>
    </cfRule>
    <cfRule type="expression" dxfId="67" priority="46">
      <formula>OR($F$20=$G$4, RIGHT($F$20,1)=$G$4)</formula>
    </cfRule>
  </conditionalFormatting>
  <conditionalFormatting sqref="F21:F23">
    <cfRule type="expression" dxfId="66" priority="47">
      <formula>OR($F$23=$G$2, RIGHT($F$23,1)=$G$2)</formula>
    </cfRule>
    <cfRule type="expression" dxfId="65" priority="48">
      <formula>OR($F$23=$G$3, RIGHT($F$23,1)=$G$3)</formula>
    </cfRule>
    <cfRule type="expression" dxfId="64" priority="49">
      <formula>OR($F$23=$G$4, RIGHT($F$23,1)=$G$4)</formula>
    </cfRule>
  </conditionalFormatting>
  <conditionalFormatting sqref="F24:F26">
    <cfRule type="expression" dxfId="63" priority="50">
      <formula>OR($F$26=$G$2, RIGHT($F$26,1)=$G$2)</formula>
    </cfRule>
    <cfRule type="expression" dxfId="62" priority="51">
      <formula>OR($F$26=$G$3, RIGHT($F$26,1)=$G$3)</formula>
    </cfRule>
    <cfRule type="expression" dxfId="61" priority="52">
      <formula>OR($F$26=$G$4, RIGHT($F$26,1)=$G$4)</formula>
    </cfRule>
  </conditionalFormatting>
  <hyperlinks>
    <hyperlink ref="E7" location="'Remarks'!E30" display="»" xr:uid="{00000000-0004-0000-0600-000000000000}"/>
    <hyperlink ref="E13" location="'Remarks'!E32" display="»" xr:uid="{00000000-0004-0000-0600-000001000000}"/>
    <hyperlink ref="E22" location="'Remarks'!E35" display="»" xr:uid="{00000000-0004-0000-0600-000002000000}"/>
    <hyperlink ref="E25" location="'Remarks'!E36" display="»" xr:uid="{00000000-0004-0000-0600-000003000000}"/>
    <hyperlink ref="E16" location="'Remarks'!E33" display="»" xr:uid="{00000000-0004-0000-0600-000004000000}"/>
    <hyperlink ref="E10" location="'Remarks'!E31" display="»" xr:uid="{00000000-0004-0000-0600-000005000000}"/>
    <hyperlink ref="E19" location="'Remarks'!E34" display="»" xr:uid="{00000000-0004-0000-0600-000006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F28"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5" r:id="rId5" name="Drop Down 1">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6152" r:id="rId6" name="Drop Down 8">
              <controlPr defaultSize="0" autoLine="0" autoPict="0">
                <anchor moveWithCells="1">
                  <from>
                    <xdr:col>3</xdr:col>
                    <xdr:colOff>114300</xdr:colOff>
                    <xdr:row>12</xdr:row>
                    <xdr:rowOff>69850</xdr:rowOff>
                  </from>
                  <to>
                    <xdr:col>3</xdr:col>
                    <xdr:colOff>1371600</xdr:colOff>
                    <xdr:row>12</xdr:row>
                    <xdr:rowOff>285750</xdr:rowOff>
                  </to>
                </anchor>
              </controlPr>
            </control>
          </mc:Choice>
        </mc:AlternateContent>
        <mc:AlternateContent xmlns:mc="http://schemas.openxmlformats.org/markup-compatibility/2006">
          <mc:Choice Requires="x14">
            <control shapeId="6153" r:id="rId7" name="Drop Down 9">
              <controlPr defaultSize="0" autoLine="0" autoPict="0">
                <anchor moveWithCells="1">
                  <from>
                    <xdr:col>3</xdr:col>
                    <xdr:colOff>114300</xdr:colOff>
                    <xdr:row>15</xdr:row>
                    <xdr:rowOff>63500</xdr:rowOff>
                  </from>
                  <to>
                    <xdr:col>3</xdr:col>
                    <xdr:colOff>1371600</xdr:colOff>
                    <xdr:row>15</xdr:row>
                    <xdr:rowOff>279400</xdr:rowOff>
                  </to>
                </anchor>
              </controlPr>
            </control>
          </mc:Choice>
        </mc:AlternateContent>
        <mc:AlternateContent xmlns:mc="http://schemas.openxmlformats.org/markup-compatibility/2006">
          <mc:Choice Requires="x14">
            <control shapeId="6154" r:id="rId8" name="Drop Down 10">
              <controlPr defaultSize="0" autoLine="0" autoPict="0">
                <anchor moveWithCells="1">
                  <from>
                    <xdr:col>3</xdr:col>
                    <xdr:colOff>114300</xdr:colOff>
                    <xdr:row>21</xdr:row>
                    <xdr:rowOff>63500</xdr:rowOff>
                  </from>
                  <to>
                    <xdr:col>3</xdr:col>
                    <xdr:colOff>1371600</xdr:colOff>
                    <xdr:row>21</xdr:row>
                    <xdr:rowOff>279400</xdr:rowOff>
                  </to>
                </anchor>
              </controlPr>
            </control>
          </mc:Choice>
        </mc:AlternateContent>
        <mc:AlternateContent xmlns:mc="http://schemas.openxmlformats.org/markup-compatibility/2006">
          <mc:Choice Requires="x14">
            <control shapeId="6155" r:id="rId9" name="Drop Down 11">
              <controlPr defaultSize="0" autoLine="0" autoPict="0">
                <anchor moveWithCells="1">
                  <from>
                    <xdr:col>3</xdr:col>
                    <xdr:colOff>114300</xdr:colOff>
                    <xdr:row>24</xdr:row>
                    <xdr:rowOff>76200</xdr:rowOff>
                  </from>
                  <to>
                    <xdr:col>3</xdr:col>
                    <xdr:colOff>1371600</xdr:colOff>
                    <xdr:row>24</xdr:row>
                    <xdr:rowOff>292100</xdr:rowOff>
                  </to>
                </anchor>
              </controlPr>
            </control>
          </mc:Choice>
        </mc:AlternateContent>
        <mc:AlternateContent xmlns:mc="http://schemas.openxmlformats.org/markup-compatibility/2006">
          <mc:Choice Requires="x14">
            <control shapeId="6156" r:id="rId10" name="Drop Down 12">
              <controlPr defaultSize="0" autoLine="0" autoPict="0">
                <anchor moveWithCells="1">
                  <from>
                    <xdr:col>3</xdr:col>
                    <xdr:colOff>114300</xdr:colOff>
                    <xdr:row>9</xdr:row>
                    <xdr:rowOff>69850</xdr:rowOff>
                  </from>
                  <to>
                    <xdr:col>3</xdr:col>
                    <xdr:colOff>1371600</xdr:colOff>
                    <xdr:row>9</xdr:row>
                    <xdr:rowOff>285750</xdr:rowOff>
                  </to>
                </anchor>
              </controlPr>
            </control>
          </mc:Choice>
        </mc:AlternateContent>
        <mc:AlternateContent xmlns:mc="http://schemas.openxmlformats.org/markup-compatibility/2006">
          <mc:Choice Requires="x14">
            <control shapeId="6157" r:id="rId11" name="Drop Down 13">
              <controlPr defaultSize="0" autoLine="0" autoPict="0">
                <anchor moveWithCells="1">
                  <from>
                    <xdr:col>3</xdr:col>
                    <xdr:colOff>114300</xdr:colOff>
                    <xdr:row>18</xdr:row>
                    <xdr:rowOff>57150</xdr:rowOff>
                  </from>
                  <to>
                    <xdr:col>3</xdr:col>
                    <xdr:colOff>1371600</xdr:colOff>
                    <xdr:row>18</xdr:row>
                    <xdr:rowOff>273050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pageSetUpPr fitToPage="1"/>
  </sheetPr>
  <dimension ref="A1:Q27"/>
  <sheetViews>
    <sheetView zoomScale="85" zoomScaleNormal="85" workbookViewId="0">
      <pane ySplit="5" topLeftCell="A6" activePane="bottomLeft" state="frozen"/>
      <selection activeCell="B3" sqref="B3"/>
      <selection pane="bottomLeft" activeCell="K9" sqref="K9"/>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714</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2" t="s">
        <v>608</v>
      </c>
      <c r="C3" s="381" t="s">
        <v>609</v>
      </c>
      <c r="D3" s="382" t="s">
        <v>610</v>
      </c>
      <c r="E3" s="8"/>
      <c r="F3" s="387"/>
      <c r="G3" s="183" t="str">
        <f>Datenquelle!$AP$7</f>
        <v>○</v>
      </c>
    </row>
    <row r="4" spans="1:17" x14ac:dyDescent="0.3">
      <c r="A4" s="7"/>
      <c r="B4" s="382"/>
      <c r="C4" s="381"/>
      <c r="D4" s="382"/>
      <c r="E4" s="8"/>
      <c r="F4" s="388" t="s">
        <v>611</v>
      </c>
      <c r="G4" s="183" t="str">
        <f>Datenquelle!$AP$8</f>
        <v>-</v>
      </c>
    </row>
    <row r="5" spans="1:17" s="25" customFormat="1" ht="8.5" customHeight="1" thickBot="1" x14ac:dyDescent="0.25">
      <c r="A5" s="29"/>
      <c r="B5" s="30"/>
      <c r="C5" s="30"/>
      <c r="D5" s="30"/>
      <c r="E5" s="30"/>
      <c r="F5" s="389"/>
      <c r="G5" s="32"/>
      <c r="Q5" s="169"/>
    </row>
    <row r="6" spans="1:17" ht="25.5" x14ac:dyDescent="0.55000000000000004">
      <c r="A6" s="274"/>
      <c r="B6" s="71" t="s">
        <v>87</v>
      </c>
      <c r="C6" s="83" t="s">
        <v>715</v>
      </c>
      <c r="D6" s="15"/>
      <c r="E6" s="15"/>
      <c r="F6" s="96">
        <f>Datenquelle!Y7</f>
        <v>2.8000000000000001E-2</v>
      </c>
      <c r="G6" s="275"/>
      <c r="J6" s="66"/>
    </row>
    <row r="7" spans="1:17" ht="60" x14ac:dyDescent="1.2">
      <c r="A7" s="7"/>
      <c r="B7" s="71"/>
      <c r="C7" s="99" t="s">
        <v>716</v>
      </c>
      <c r="D7" s="15"/>
      <c r="E7" s="144" t="s">
        <v>614</v>
      </c>
      <c r="F7" s="97">
        <f>Datenquelle!AA7</f>
        <v>0</v>
      </c>
      <c r="G7" s="176"/>
      <c r="J7" s="65"/>
      <c r="Q7" s="170" t="s">
        <v>667</v>
      </c>
    </row>
    <row r="8" spans="1:17" ht="21" x14ac:dyDescent="0.3">
      <c r="A8" s="90"/>
      <c r="B8" s="85"/>
      <c r="C8" s="86" t="s">
        <v>717</v>
      </c>
      <c r="D8" s="87"/>
      <c r="E8" s="87"/>
      <c r="F8" s="184" t="str">
        <f>VLOOKUP(Datenquelle!Z7,Datenquelle!$AN$5:$AP$13,3,FALSE)</f>
        <v>NB</v>
      </c>
      <c r="G8" s="91"/>
    </row>
    <row r="9" spans="1:17" ht="25.5" x14ac:dyDescent="0.55000000000000004">
      <c r="A9" s="88"/>
      <c r="B9" s="269" t="s">
        <v>98</v>
      </c>
      <c r="C9" s="83" t="s">
        <v>718</v>
      </c>
      <c r="D9" s="84"/>
      <c r="E9" s="84"/>
      <c r="F9" s="96">
        <f>Datenquelle!Y8</f>
        <v>0.03</v>
      </c>
      <c r="G9" s="89"/>
      <c r="I9" s="109"/>
      <c r="J9" s="66"/>
    </row>
    <row r="10" spans="1:17" ht="65" x14ac:dyDescent="0.7">
      <c r="A10" s="7"/>
      <c r="B10" s="71"/>
      <c r="C10" s="178" t="s">
        <v>719</v>
      </c>
      <c r="D10" s="15"/>
      <c r="E10" s="144" t="s">
        <v>614</v>
      </c>
      <c r="F10" s="97">
        <f>Datenquelle!AA8</f>
        <v>0</v>
      </c>
      <c r="G10" s="9"/>
      <c r="I10" s="109"/>
      <c r="J10" s="65"/>
      <c r="Q10" s="170" t="s">
        <v>720</v>
      </c>
    </row>
    <row r="11" spans="1:17" ht="21" x14ac:dyDescent="0.3">
      <c r="A11" s="90"/>
      <c r="B11" s="85"/>
      <c r="C11" s="86" t="s">
        <v>721</v>
      </c>
      <c r="D11" s="87"/>
      <c r="E11" s="87"/>
      <c r="F11" s="184" t="str">
        <f>VLOOKUP(Datenquelle!Z8,Datenquelle!$AN$5:$AP$13,3,FALSE)</f>
        <v>NB</v>
      </c>
      <c r="G11" s="91"/>
      <c r="I11" s="109"/>
    </row>
    <row r="12" spans="1:17" ht="25.5" x14ac:dyDescent="0.55000000000000004">
      <c r="A12" s="88"/>
      <c r="B12" s="269" t="s">
        <v>109</v>
      </c>
      <c r="C12" s="175" t="s">
        <v>722</v>
      </c>
      <c r="D12" s="84"/>
      <c r="E12" s="84"/>
      <c r="F12" s="96">
        <f>Datenquelle!Y9</f>
        <v>0.02</v>
      </c>
      <c r="G12" s="89"/>
      <c r="I12" s="109"/>
      <c r="J12" s="66"/>
    </row>
    <row r="13" spans="1:17" ht="60" x14ac:dyDescent="1.2">
      <c r="A13" s="7"/>
      <c r="B13" s="71"/>
      <c r="C13" s="16" t="s">
        <v>723</v>
      </c>
      <c r="D13" s="15"/>
      <c r="E13" s="144" t="s">
        <v>614</v>
      </c>
      <c r="F13" s="97">
        <f>Datenquelle!AA9</f>
        <v>0</v>
      </c>
      <c r="G13" s="176"/>
      <c r="I13" s="109"/>
      <c r="J13" s="65"/>
      <c r="Q13" s="170" t="s">
        <v>724</v>
      </c>
    </row>
    <row r="14" spans="1:17" ht="21" x14ac:dyDescent="0.3">
      <c r="A14" s="90"/>
      <c r="B14" s="85"/>
      <c r="C14" s="86" t="s">
        <v>725</v>
      </c>
      <c r="D14" s="87"/>
      <c r="E14" s="87"/>
      <c r="F14" s="184" t="str">
        <f>VLOOKUP(Datenquelle!Z9,Datenquelle!$AN$5:$AP$13,3,FALSE)</f>
        <v>NB</v>
      </c>
      <c r="G14" s="91"/>
      <c r="I14" s="109"/>
    </row>
    <row r="15" spans="1:17" ht="25.5" x14ac:dyDescent="0.55000000000000004">
      <c r="A15" s="88"/>
      <c r="B15" s="269" t="s">
        <v>120</v>
      </c>
      <c r="C15" s="175" t="s">
        <v>726</v>
      </c>
      <c r="D15" s="84"/>
      <c r="E15" s="84"/>
      <c r="F15" s="96">
        <f>Datenquelle!Y10</f>
        <v>1.4999999999999999E-2</v>
      </c>
      <c r="G15" s="89"/>
      <c r="I15" s="109"/>
      <c r="J15" s="66"/>
    </row>
    <row r="16" spans="1:17" ht="45" x14ac:dyDescent="0.9">
      <c r="A16" s="7"/>
      <c r="B16" s="71"/>
      <c r="C16" s="16" t="s">
        <v>727</v>
      </c>
      <c r="D16" s="15"/>
      <c r="E16" s="144" t="s">
        <v>614</v>
      </c>
      <c r="F16" s="97">
        <f>Datenquelle!AA10</f>
        <v>0</v>
      </c>
      <c r="G16" s="132"/>
      <c r="I16" s="109"/>
      <c r="J16" s="65"/>
      <c r="Q16" s="170" t="s">
        <v>635</v>
      </c>
    </row>
    <row r="17" spans="1:17" ht="21" x14ac:dyDescent="0.3">
      <c r="A17" s="90"/>
      <c r="B17" s="85"/>
      <c r="C17" s="86" t="s">
        <v>728</v>
      </c>
      <c r="D17" s="87"/>
      <c r="E17" s="87"/>
      <c r="F17" s="184" t="str">
        <f>VLOOKUP(Datenquelle!Z10,Datenquelle!$AN$5:$AP$13,3,FALSE)</f>
        <v>NB</v>
      </c>
      <c r="G17" s="91"/>
      <c r="I17" s="109"/>
    </row>
    <row r="18" spans="1:17" ht="25.5" x14ac:dyDescent="0.55000000000000004">
      <c r="A18" s="272"/>
      <c r="B18" s="269" t="s">
        <v>131</v>
      </c>
      <c r="C18" s="175" t="s">
        <v>729</v>
      </c>
      <c r="D18" s="84"/>
      <c r="E18" s="273"/>
      <c r="F18" s="96">
        <f>Datenquelle!Y11</f>
        <v>2.5000000000000001E-2</v>
      </c>
      <c r="G18" s="89"/>
      <c r="I18" s="109"/>
      <c r="J18" s="66"/>
    </row>
    <row r="19" spans="1:17" ht="45" x14ac:dyDescent="0.9">
      <c r="A19" s="7"/>
      <c r="B19" s="71"/>
      <c r="C19" s="16" t="s">
        <v>730</v>
      </c>
      <c r="D19" s="15"/>
      <c r="E19" s="144" t="s">
        <v>614</v>
      </c>
      <c r="F19" s="97">
        <f>Datenquelle!AA11</f>
        <v>0</v>
      </c>
      <c r="G19" s="132"/>
      <c r="I19" s="109"/>
      <c r="J19" s="65"/>
      <c r="Q19" s="170" t="s">
        <v>623</v>
      </c>
    </row>
    <row r="20" spans="1:17" ht="15.5" x14ac:dyDescent="0.3">
      <c r="A20" s="90"/>
      <c r="B20" s="85"/>
      <c r="C20" s="86" t="s">
        <v>731</v>
      </c>
      <c r="D20" s="87"/>
      <c r="E20" s="87"/>
      <c r="F20" s="184" t="str">
        <f>VLOOKUP(Datenquelle!Z11,Datenquelle!$AN$5:$AP$13,3,FALSE)</f>
        <v>NB</v>
      </c>
      <c r="G20" s="91"/>
      <c r="I20" s="109"/>
    </row>
    <row r="21" spans="1:17" ht="25.5" x14ac:dyDescent="0.55000000000000004">
      <c r="A21" s="88"/>
      <c r="B21" s="269" t="s">
        <v>141</v>
      </c>
      <c r="C21" s="83" t="s">
        <v>732</v>
      </c>
      <c r="D21" s="84"/>
      <c r="E21" s="84"/>
      <c r="F21" s="96">
        <f>Datenquelle!Y12</f>
        <v>2.1999999999999999E-2</v>
      </c>
      <c r="G21" s="89"/>
      <c r="I21" s="109"/>
      <c r="J21" s="66"/>
    </row>
    <row r="22" spans="1:17" ht="60" x14ac:dyDescent="1.2">
      <c r="A22" s="7"/>
      <c r="B22" s="71"/>
      <c r="C22" s="16" t="s">
        <v>733</v>
      </c>
      <c r="D22" s="61"/>
      <c r="E22" s="144" t="s">
        <v>614</v>
      </c>
      <c r="F22" s="97">
        <f>Datenquelle!AA12</f>
        <v>0</v>
      </c>
      <c r="G22" s="176"/>
      <c r="J22" s="65"/>
      <c r="Q22" s="170" t="s">
        <v>627</v>
      </c>
    </row>
    <row r="23" spans="1:17" ht="21.5" thickBot="1" x14ac:dyDescent="0.35">
      <c r="A23" s="90"/>
      <c r="B23" s="85"/>
      <c r="C23" s="86" t="s">
        <v>734</v>
      </c>
      <c r="D23" s="87"/>
      <c r="E23" s="87"/>
      <c r="F23" s="184" t="str">
        <f>VLOOKUP(Datenquelle!Z12,Datenquelle!$AN$5:$AP$13,3,FALSE)</f>
        <v>NB</v>
      </c>
      <c r="G23" s="91"/>
    </row>
    <row r="24" spans="1:17" ht="23.5" thickBot="1" x14ac:dyDescent="0.55000000000000004">
      <c r="A24" s="383" t="str">
        <f>IF(COUNTIF(Datenquelle!Z7:Z12,6)&lt;=Max_Nichtantworten,"",CONCATENATE("Module currently not assessable! ",COUNTIF(Datenquelle!Z7:Z12,6)," of ",Datenquelle!Z6, " questions have not been rated yet." ))</f>
        <v>Module currently not assessable! 6 of 6 questions have not been rated yet.</v>
      </c>
      <c r="B24" s="384"/>
      <c r="C24" s="384"/>
      <c r="D24" s="384"/>
      <c r="E24" s="384"/>
      <c r="F24" s="384"/>
      <c r="G24" s="385"/>
      <c r="J24" s="67"/>
    </row>
    <row r="25" spans="1:17" ht="28" x14ac:dyDescent="0.6">
      <c r="A25" s="73"/>
      <c r="B25" s="74"/>
      <c r="C25" s="378" t="s">
        <v>735</v>
      </c>
      <c r="D25" s="378"/>
      <c r="E25" s="378"/>
      <c r="F25" s="75">
        <f>IF(AND(Datenquelle!Z5&lt;&gt;0, COUNTIF(Datenquelle!Z7:Z12,6)&lt;=Max_Nichtantworten),Datenquelle!AA5/Datenquelle!Z5*Datenquelle!Y5,0)</f>
        <v>0</v>
      </c>
      <c r="G25" s="76"/>
      <c r="J25" s="72"/>
    </row>
    <row r="26" spans="1:17" ht="14" x14ac:dyDescent="0.3">
      <c r="A26" s="73"/>
      <c r="B26" s="74"/>
      <c r="C26" s="77" t="str">
        <f>CONCATENATE("Maximum: ",ROUND(Datenquelle!Y5*100,2), "%")</f>
        <v>Maximum: 14%</v>
      </c>
      <c r="D26" s="74"/>
      <c r="E26" s="74"/>
      <c r="F26" s="74"/>
      <c r="G26" s="76"/>
    </row>
    <row r="27" spans="1:17" ht="13.5" thickBot="1" x14ac:dyDescent="0.35">
      <c r="A27" s="78"/>
      <c r="B27" s="79"/>
      <c r="C27" s="80"/>
      <c r="D27" s="79"/>
      <c r="E27" s="79"/>
      <c r="F27" s="79"/>
      <c r="G27" s="81"/>
    </row>
  </sheetData>
  <mergeCells count="8">
    <mergeCell ref="A24:G24"/>
    <mergeCell ref="C25:E25"/>
    <mergeCell ref="A1:G1"/>
    <mergeCell ref="F2:F3"/>
    <mergeCell ref="B3:B4"/>
    <mergeCell ref="C3:C4"/>
    <mergeCell ref="D3:D4"/>
    <mergeCell ref="F4:F5"/>
  </mergeCells>
  <conditionalFormatting sqref="A25:C27 F25:G27 D26:E27">
    <cfRule type="expression" dxfId="60" priority="49">
      <formula>$F$25=0</formula>
    </cfRule>
  </conditionalFormatting>
  <conditionalFormatting sqref="F6:F8">
    <cfRule type="expression" dxfId="59" priority="50">
      <formula>OR($F$8=$G$2, RIGHT($F$8,1)=$G$2)</formula>
    </cfRule>
    <cfRule type="expression" dxfId="58" priority="51">
      <formula>OR($F$8=$G$3, RIGHT($F$8,1)=$G$3)</formula>
    </cfRule>
    <cfRule type="expression" dxfId="57" priority="52">
      <formula>OR($F$8=$G$4, RIGHT($F$8,1)=$G$4)</formula>
    </cfRule>
  </conditionalFormatting>
  <conditionalFormatting sqref="F9:F11">
    <cfRule type="expression" dxfId="56" priority="53">
      <formula>OR($F$11=$G$2, RIGHT($F$11,1)=$G$2)</formula>
    </cfRule>
    <cfRule type="expression" dxfId="55" priority="54">
      <formula>OR($F$11=$G$3, RIGHT($F$11,1)=$G$3)</formula>
    </cfRule>
    <cfRule type="expression" dxfId="54" priority="55">
      <formula>OR($F$11=$G$4, RIGHT($F$11,1)=$G$4)</formula>
    </cfRule>
  </conditionalFormatting>
  <conditionalFormatting sqref="F12:F14">
    <cfRule type="expression" dxfId="53" priority="56">
      <formula>OR($F$14=$G$2, RIGHT($F$14,1)=$G$2)</formula>
    </cfRule>
    <cfRule type="expression" dxfId="52" priority="57">
      <formula>OR($F$14=$G$3, RIGHT($F$14,1)=$G$3)</formula>
    </cfRule>
    <cfRule type="expression" dxfId="51" priority="58">
      <formula>OR($F$14=$G$4, RIGHT($F$14,1)=$G$4)</formula>
    </cfRule>
  </conditionalFormatting>
  <conditionalFormatting sqref="F15:F17">
    <cfRule type="expression" dxfId="50" priority="59">
      <formula>OR($F$17=$G$2, RIGHT($F$17,1)=$G$2)</formula>
    </cfRule>
    <cfRule type="expression" dxfId="49" priority="60">
      <formula>OR($F$17=$G$3, RIGHT($F$17,1)=$G$3)</formula>
    </cfRule>
    <cfRule type="expression" dxfId="48" priority="61">
      <formula>OR($F$17=$G$4, RIGHT($F$17,1)=$G$4)</formula>
    </cfRule>
  </conditionalFormatting>
  <conditionalFormatting sqref="F18:F20">
    <cfRule type="expression" dxfId="47" priority="62">
      <formula>OR($F$20=$G$2, RIGHT($F$20,1)=$G$2)</formula>
    </cfRule>
    <cfRule type="expression" dxfId="46" priority="63">
      <formula>OR($F$20=$G$3, RIGHT($F$20,1)=$G$3)</formula>
    </cfRule>
    <cfRule type="expression" dxfId="45" priority="64">
      <formula>OR($F$20=$G$4, RIGHT($F$20,1)=$G$4)</formula>
    </cfRule>
  </conditionalFormatting>
  <conditionalFormatting sqref="F21:F23">
    <cfRule type="expression" dxfId="44" priority="65">
      <formula>OR($F$23=$G$2, RIGHT($F$23,1)=$G$2)</formula>
    </cfRule>
    <cfRule type="expression" dxfId="43" priority="66">
      <formula>OR($F$23=$G$3, RIGHT($F$23,1)=$G$3)</formula>
    </cfRule>
    <cfRule type="expression" dxfId="42" priority="67">
      <formula>OR($F$23=$G$4, RIGHT($F$23,1)=$G$4)</formula>
    </cfRule>
  </conditionalFormatting>
  <hyperlinks>
    <hyperlink ref="E7" location="'Remarks'!E39" display="»" xr:uid="{00000000-0004-0000-0700-000000000000}"/>
    <hyperlink ref="E10" location="'Remarks'!E40" display="»" xr:uid="{00000000-0004-0000-0700-000001000000}"/>
    <hyperlink ref="E19" location="'Remarks'!E43" display="»" xr:uid="{00000000-0004-0000-0700-000002000000}"/>
    <hyperlink ref="E22" location="'Remarks'!E44" display="»" xr:uid="{00000000-0004-0000-0700-000003000000}"/>
    <hyperlink ref="E13" location="'Remarks'!E41" display="»" xr:uid="{00000000-0004-0000-0700-000004000000}"/>
    <hyperlink ref="E16" location="'Remarks'!E42" display="»" xr:uid="{00000000-0004-0000-0700-000005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F25"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69" r:id="rId5" name="Drop Down 1">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7185" r:id="rId6" name="Drop Down 17">
              <controlPr defaultSize="0" autoLine="0" autoPict="0">
                <anchor moveWithCells="1">
                  <from>
                    <xdr:col>3</xdr:col>
                    <xdr:colOff>114300</xdr:colOff>
                    <xdr:row>9</xdr:row>
                    <xdr:rowOff>63500</xdr:rowOff>
                  </from>
                  <to>
                    <xdr:col>3</xdr:col>
                    <xdr:colOff>1371600</xdr:colOff>
                    <xdr:row>9</xdr:row>
                    <xdr:rowOff>279400</xdr:rowOff>
                  </to>
                </anchor>
              </controlPr>
            </control>
          </mc:Choice>
        </mc:AlternateContent>
        <mc:AlternateContent xmlns:mc="http://schemas.openxmlformats.org/markup-compatibility/2006">
          <mc:Choice Requires="x14">
            <control shapeId="7186" r:id="rId7" name="Drop Down 18">
              <controlPr defaultSize="0" autoLine="0" autoPict="0">
                <anchor moveWithCells="1">
                  <from>
                    <xdr:col>3</xdr:col>
                    <xdr:colOff>114300</xdr:colOff>
                    <xdr:row>12</xdr:row>
                    <xdr:rowOff>69850</xdr:rowOff>
                  </from>
                  <to>
                    <xdr:col>3</xdr:col>
                    <xdr:colOff>1371600</xdr:colOff>
                    <xdr:row>12</xdr:row>
                    <xdr:rowOff>285750</xdr:rowOff>
                  </to>
                </anchor>
              </controlPr>
            </control>
          </mc:Choice>
        </mc:AlternateContent>
        <mc:AlternateContent xmlns:mc="http://schemas.openxmlformats.org/markup-compatibility/2006">
          <mc:Choice Requires="x14">
            <control shapeId="7187" r:id="rId8" name="Drop Down 19">
              <controlPr defaultSize="0" autoLine="0" autoPict="0">
                <anchor moveWithCells="1">
                  <from>
                    <xdr:col>3</xdr:col>
                    <xdr:colOff>114300</xdr:colOff>
                    <xdr:row>18</xdr:row>
                    <xdr:rowOff>69850</xdr:rowOff>
                  </from>
                  <to>
                    <xdr:col>3</xdr:col>
                    <xdr:colOff>1371600</xdr:colOff>
                    <xdr:row>18</xdr:row>
                    <xdr:rowOff>285750</xdr:rowOff>
                  </to>
                </anchor>
              </controlPr>
            </control>
          </mc:Choice>
        </mc:AlternateContent>
        <mc:AlternateContent xmlns:mc="http://schemas.openxmlformats.org/markup-compatibility/2006">
          <mc:Choice Requires="x14">
            <control shapeId="7188" r:id="rId9" name="Drop Down 20">
              <controlPr defaultSize="0" autoLine="0" autoPict="0">
                <anchor moveWithCells="1">
                  <from>
                    <xdr:col>3</xdr:col>
                    <xdr:colOff>114300</xdr:colOff>
                    <xdr:row>21</xdr:row>
                    <xdr:rowOff>69850</xdr:rowOff>
                  </from>
                  <to>
                    <xdr:col>3</xdr:col>
                    <xdr:colOff>1371600</xdr:colOff>
                    <xdr:row>21</xdr:row>
                    <xdr:rowOff>285750</xdr:rowOff>
                  </to>
                </anchor>
              </controlPr>
            </control>
          </mc:Choice>
        </mc:AlternateContent>
        <mc:AlternateContent xmlns:mc="http://schemas.openxmlformats.org/markup-compatibility/2006">
          <mc:Choice Requires="x14">
            <control shapeId="7190" r:id="rId10" name="Drop Down 22">
              <controlPr defaultSize="0" autoLine="0" autoPict="0">
                <anchor moveWithCells="1">
                  <from>
                    <xdr:col>3</xdr:col>
                    <xdr:colOff>114300</xdr:colOff>
                    <xdr:row>15</xdr:row>
                    <xdr:rowOff>63500</xdr:rowOff>
                  </from>
                  <to>
                    <xdr:col>3</xdr:col>
                    <xdr:colOff>1371600</xdr:colOff>
                    <xdr:row>15</xdr:row>
                    <xdr:rowOff>279400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pageSetUpPr fitToPage="1"/>
  </sheetPr>
  <dimension ref="A1:Q163"/>
  <sheetViews>
    <sheetView zoomScale="85" zoomScaleNormal="85" workbookViewId="0">
      <pane ySplit="5" topLeftCell="A6" activePane="bottomLeft" state="frozen"/>
      <selection activeCell="B3" sqref="B3"/>
      <selection pane="bottomLeft" activeCell="B3" sqref="B3:B4"/>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736</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2" t="s">
        <v>608</v>
      </c>
      <c r="C3" s="381" t="s">
        <v>609</v>
      </c>
      <c r="D3" s="382" t="s">
        <v>610</v>
      </c>
      <c r="E3" s="8"/>
      <c r="F3" s="387"/>
      <c r="G3" s="183" t="str">
        <f>Datenquelle!$AP$7</f>
        <v>○</v>
      </c>
    </row>
    <row r="4" spans="1:17" x14ac:dyDescent="0.3">
      <c r="A4" s="7"/>
      <c r="B4" s="382"/>
      <c r="C4" s="381"/>
      <c r="D4" s="382"/>
      <c r="E4" s="8"/>
      <c r="F4" s="388" t="s">
        <v>611</v>
      </c>
      <c r="G4" s="183" t="str">
        <f>Datenquelle!$AP$8</f>
        <v>-</v>
      </c>
    </row>
    <row r="5" spans="1:17" s="25" customFormat="1" ht="8.5" customHeight="1" thickBot="1" x14ac:dyDescent="0.25">
      <c r="A5" s="29"/>
      <c r="B5" s="22"/>
      <c r="C5" s="22"/>
      <c r="D5" s="22"/>
      <c r="E5" s="22"/>
      <c r="F5" s="389"/>
      <c r="G5" s="32"/>
      <c r="Q5" s="169"/>
    </row>
    <row r="6" spans="1:17" ht="25.5" x14ac:dyDescent="0.55000000000000004">
      <c r="A6" s="221"/>
      <c r="B6" s="271" t="s">
        <v>88</v>
      </c>
      <c r="C6" s="179" t="s">
        <v>737</v>
      </c>
      <c r="D6" s="93"/>
      <c r="E6" s="93"/>
      <c r="F6" s="95">
        <f>Datenquelle!AD7</f>
        <v>2.9000000000000001E-2</v>
      </c>
      <c r="G6" s="401"/>
      <c r="J6" s="66"/>
    </row>
    <row r="7" spans="1:17" ht="52" x14ac:dyDescent="0.9">
      <c r="A7" s="223"/>
      <c r="B7" s="71"/>
      <c r="C7" s="99" t="s">
        <v>738</v>
      </c>
      <c r="D7" s="15"/>
      <c r="E7" s="144" t="s">
        <v>614</v>
      </c>
      <c r="F7" s="97">
        <f>Datenquelle!AF7</f>
        <v>0</v>
      </c>
      <c r="G7" s="396"/>
      <c r="J7" s="65"/>
      <c r="Q7" s="170" t="s">
        <v>739</v>
      </c>
    </row>
    <row r="8" spans="1:17" ht="15.5" x14ac:dyDescent="0.3">
      <c r="A8" s="222"/>
      <c r="B8" s="71"/>
      <c r="C8" s="86" t="s">
        <v>740</v>
      </c>
      <c r="D8" s="15"/>
      <c r="E8" s="15"/>
      <c r="F8" s="184" t="str">
        <f>VLOOKUP(Datenquelle!AE7,Datenquelle!$AN$5:$AP$13,3,FALSE)</f>
        <v>NB</v>
      </c>
      <c r="G8" s="397"/>
    </row>
    <row r="9" spans="1:17" ht="25.5" x14ac:dyDescent="0.55000000000000004">
      <c r="A9" s="398"/>
      <c r="B9" s="269" t="s">
        <v>99</v>
      </c>
      <c r="C9" s="175" t="s">
        <v>741</v>
      </c>
      <c r="D9" s="84"/>
      <c r="E9" s="84"/>
      <c r="F9" s="96">
        <f>Datenquelle!AD8</f>
        <v>8.9999999999999993E-3</v>
      </c>
      <c r="G9" s="395"/>
      <c r="J9" s="66"/>
    </row>
    <row r="10" spans="1:17" ht="39" x14ac:dyDescent="0.7">
      <c r="A10" s="399"/>
      <c r="B10" s="71"/>
      <c r="C10" s="16" t="s">
        <v>742</v>
      </c>
      <c r="D10" s="15"/>
      <c r="E10" s="144" t="s">
        <v>614</v>
      </c>
      <c r="F10" s="97">
        <f>Datenquelle!AF8</f>
        <v>0</v>
      </c>
      <c r="G10" s="396"/>
      <c r="J10" s="65"/>
      <c r="Q10" s="170" t="s">
        <v>743</v>
      </c>
    </row>
    <row r="11" spans="1:17" ht="21" x14ac:dyDescent="0.3">
      <c r="A11" s="400"/>
      <c r="B11" s="85"/>
      <c r="C11" s="86" t="s">
        <v>744</v>
      </c>
      <c r="D11" s="87"/>
      <c r="E11" s="87"/>
      <c r="F11" s="184" t="str">
        <f>VLOOKUP(Datenquelle!AE8,Datenquelle!$AN$5:$AP$13,3,FALSE)</f>
        <v>NB</v>
      </c>
      <c r="G11" s="397"/>
    </row>
    <row r="12" spans="1:17" ht="25.5" x14ac:dyDescent="0.55000000000000004">
      <c r="A12" s="88"/>
      <c r="B12" s="269" t="s">
        <v>110</v>
      </c>
      <c r="C12" s="175" t="s">
        <v>745</v>
      </c>
      <c r="D12" s="84"/>
      <c r="E12" s="84"/>
      <c r="F12" s="96">
        <f>Datenquelle!AD9</f>
        <v>2.1000000000000001E-2</v>
      </c>
      <c r="G12" s="395"/>
      <c r="J12" s="66"/>
    </row>
    <row r="13" spans="1:17" ht="39" x14ac:dyDescent="0.7">
      <c r="A13" s="7"/>
      <c r="B13" s="71"/>
      <c r="C13" s="16" t="s">
        <v>746</v>
      </c>
      <c r="D13" s="15"/>
      <c r="E13" s="144" t="s">
        <v>614</v>
      </c>
      <c r="F13" s="97">
        <f>Datenquelle!AF9</f>
        <v>0</v>
      </c>
      <c r="G13" s="396"/>
      <c r="J13" s="65"/>
      <c r="Q13" s="170" t="s">
        <v>747</v>
      </c>
    </row>
    <row r="14" spans="1:17" ht="21" x14ac:dyDescent="0.3">
      <c r="A14" s="90"/>
      <c r="B14" s="85"/>
      <c r="C14" s="86" t="s">
        <v>748</v>
      </c>
      <c r="D14" s="87"/>
      <c r="E14" s="87"/>
      <c r="F14" s="184" t="str">
        <f>VLOOKUP(Datenquelle!AE9,Datenquelle!$AN$5:$AP$13,3,FALSE)</f>
        <v>NB</v>
      </c>
      <c r="G14" s="397"/>
    </row>
    <row r="15" spans="1:17" ht="25.5" x14ac:dyDescent="0.55000000000000004">
      <c r="A15" s="88"/>
      <c r="B15" s="269" t="s">
        <v>121</v>
      </c>
      <c r="C15" s="175" t="s">
        <v>749</v>
      </c>
      <c r="D15" s="84"/>
      <c r="E15" s="84"/>
      <c r="F15" s="96">
        <f>Datenquelle!AD10</f>
        <v>2.1000000000000001E-2</v>
      </c>
      <c r="G15" s="395"/>
      <c r="I15" s="109"/>
      <c r="J15" s="66"/>
    </row>
    <row r="16" spans="1:17" ht="52" x14ac:dyDescent="0.7">
      <c r="A16" s="7"/>
      <c r="B16" s="71"/>
      <c r="C16" s="16" t="s">
        <v>750</v>
      </c>
      <c r="D16" s="15"/>
      <c r="E16" s="144" t="s">
        <v>614</v>
      </c>
      <c r="F16" s="97">
        <f>Datenquelle!AF10</f>
        <v>0</v>
      </c>
      <c r="G16" s="396"/>
      <c r="I16" s="109"/>
      <c r="J16" s="65"/>
      <c r="Q16" s="170" t="s">
        <v>649</v>
      </c>
    </row>
    <row r="17" spans="1:17" ht="21" x14ac:dyDescent="0.3">
      <c r="A17" s="90"/>
      <c r="B17" s="85"/>
      <c r="C17" s="86" t="s">
        <v>751</v>
      </c>
      <c r="D17" s="87"/>
      <c r="E17" s="87"/>
      <c r="F17" s="184" t="str">
        <f>VLOOKUP(Datenquelle!AE10,Datenquelle!$AN$5:$AP$13,3,FALSE)</f>
        <v>NB</v>
      </c>
      <c r="G17" s="397"/>
      <c r="I17" s="109"/>
    </row>
    <row r="18" spans="1:17" ht="25.5" x14ac:dyDescent="0.55000000000000004">
      <c r="A18" s="88"/>
      <c r="B18" s="269" t="s">
        <v>132</v>
      </c>
      <c r="C18" s="83" t="s">
        <v>752</v>
      </c>
      <c r="D18" s="84"/>
      <c r="E18" s="84"/>
      <c r="F18" s="96">
        <f>Datenquelle!AD11</f>
        <v>0.02</v>
      </c>
      <c r="G18" s="395"/>
      <c r="J18" s="66"/>
    </row>
    <row r="19" spans="1:17" ht="45" x14ac:dyDescent="0.9">
      <c r="A19" s="220"/>
      <c r="B19" s="71"/>
      <c r="C19" s="99" t="s">
        <v>753</v>
      </c>
      <c r="D19" s="61"/>
      <c r="E19" s="144" t="s">
        <v>614</v>
      </c>
      <c r="F19" s="97">
        <f>Datenquelle!AF11</f>
        <v>0</v>
      </c>
      <c r="G19" s="396"/>
      <c r="J19" s="65"/>
      <c r="Q19" s="170" t="s">
        <v>754</v>
      </c>
    </row>
    <row r="20" spans="1:17" ht="21.5" thickBot="1" x14ac:dyDescent="0.35">
      <c r="A20" s="90"/>
      <c r="B20" s="85"/>
      <c r="C20" s="86" t="s">
        <v>755</v>
      </c>
      <c r="D20" s="87"/>
      <c r="E20" s="87"/>
      <c r="F20" s="184" t="str">
        <f>VLOOKUP(Datenquelle!AE11,Datenquelle!$AN$5:$AP$13,3,FALSE)</f>
        <v>NB</v>
      </c>
      <c r="G20" s="397"/>
    </row>
    <row r="21" spans="1:17" ht="23.5" thickBot="1" x14ac:dyDescent="0.55000000000000004">
      <c r="A21" s="383" t="str">
        <f>IF(COUNTIF(Datenquelle!AE7:AE11,6)&lt;=Max_Nichtantworten,"",CONCATENATE("Module currently not assessable! ",COUNTIF(Datenquelle!AE7:AE11,6)," of ",Datenquelle!AE6, " questions have not been rated yet." ))</f>
        <v>Module currently not assessable! 5 of 5 questions have not been rated yet.</v>
      </c>
      <c r="B21" s="384"/>
      <c r="C21" s="384"/>
      <c r="D21" s="384"/>
      <c r="E21" s="384"/>
      <c r="F21" s="384"/>
      <c r="G21" s="385"/>
      <c r="J21" s="67"/>
    </row>
    <row r="22" spans="1:17" ht="28" x14ac:dyDescent="0.6">
      <c r="A22" s="392"/>
      <c r="B22" s="74"/>
      <c r="C22" s="390" t="s">
        <v>756</v>
      </c>
      <c r="D22" s="390"/>
      <c r="E22" s="390"/>
      <c r="F22" s="75">
        <f>IF(AND(Datenquelle!AE5&lt;&gt;0, COUNTIF(Datenquelle!AE7:AE11,6)&lt;=Max_Nichtantworten),Datenquelle!AF5/Datenquelle!AE5*Datenquelle!AD5,0)</f>
        <v>0</v>
      </c>
      <c r="G22" s="228"/>
      <c r="J22" s="72"/>
    </row>
    <row r="23" spans="1:17" ht="14" x14ac:dyDescent="0.3">
      <c r="A23" s="393"/>
      <c r="B23" s="74"/>
      <c r="C23" s="77" t="str">
        <f>CONCATENATE("Maximum: ",ROUND(Datenquelle!AD5*100,2), "%")</f>
        <v>Maximum: 10%</v>
      </c>
      <c r="D23" s="74"/>
      <c r="E23" s="74"/>
      <c r="F23" s="74"/>
      <c r="G23" s="76"/>
    </row>
    <row r="24" spans="1:17" ht="13.5" thickBot="1" x14ac:dyDescent="0.35">
      <c r="A24" s="394"/>
      <c r="B24" s="79"/>
      <c r="C24" s="80"/>
      <c r="D24" s="79"/>
      <c r="E24" s="79"/>
      <c r="F24" s="79"/>
      <c r="G24" s="81"/>
    </row>
    <row r="55" spans="5:5" ht="17.5" x14ac:dyDescent="0.35">
      <c r="E55" s="198" t="s">
        <v>614</v>
      </c>
    </row>
    <row r="85" spans="5:5" ht="17.5" x14ac:dyDescent="0.35">
      <c r="E85" s="198" t="s">
        <v>614</v>
      </c>
    </row>
    <row r="88" spans="5:5" ht="17.5" x14ac:dyDescent="0.35">
      <c r="E88" s="198" t="s">
        <v>614</v>
      </c>
    </row>
    <row r="115" spans="5:5" ht="17.5" x14ac:dyDescent="0.35">
      <c r="E115" s="198" t="s">
        <v>614</v>
      </c>
    </row>
    <row r="145" spans="5:5" ht="17.5" x14ac:dyDescent="0.35">
      <c r="E145" s="198" t="s">
        <v>614</v>
      </c>
    </row>
    <row r="148" spans="5:5" ht="17.5" x14ac:dyDescent="0.35">
      <c r="E148" s="198" t="s">
        <v>614</v>
      </c>
    </row>
    <row r="151" spans="5:5" ht="17.5" x14ac:dyDescent="0.35">
      <c r="E151" s="198" t="s">
        <v>614</v>
      </c>
    </row>
    <row r="154" spans="5:5" ht="17.5" x14ac:dyDescent="0.35">
      <c r="E154" s="198" t="s">
        <v>614</v>
      </c>
    </row>
    <row r="157" spans="5:5" ht="17.5" x14ac:dyDescent="0.35">
      <c r="E157" s="198" t="s">
        <v>614</v>
      </c>
    </row>
    <row r="160" spans="5:5" ht="17.5" x14ac:dyDescent="0.35">
      <c r="E160" s="198" t="s">
        <v>614</v>
      </c>
    </row>
    <row r="163" spans="5:5" ht="17.5" x14ac:dyDescent="0.35">
      <c r="E163" s="198" t="s">
        <v>614</v>
      </c>
    </row>
  </sheetData>
  <mergeCells count="15">
    <mergeCell ref="A9:A11"/>
    <mergeCell ref="G6:G8"/>
    <mergeCell ref="G9:G11"/>
    <mergeCell ref="A1:G1"/>
    <mergeCell ref="F2:F3"/>
    <mergeCell ref="B3:B4"/>
    <mergeCell ref="C3:C4"/>
    <mergeCell ref="D3:D4"/>
    <mergeCell ref="F4:F5"/>
    <mergeCell ref="A22:A24"/>
    <mergeCell ref="A21:G21"/>
    <mergeCell ref="C22:E22"/>
    <mergeCell ref="G18:G20"/>
    <mergeCell ref="G12:G14"/>
    <mergeCell ref="G15:G17"/>
  </mergeCells>
  <conditionalFormatting sqref="D23:E24 F22:G24 B22:C24 A22">
    <cfRule type="expression" dxfId="41" priority="82">
      <formula>$F$22=0</formula>
    </cfRule>
  </conditionalFormatting>
  <conditionalFormatting sqref="F6:F8">
    <cfRule type="expression" dxfId="40" priority="83">
      <formula>OR($F$8=$G$2, RIGHT($F$8,1)=$G$2)</formula>
    </cfRule>
    <cfRule type="expression" dxfId="39" priority="84">
      <formula>OR($F$8=$G$3, RIGHT($F$8,1)=$G$3)</formula>
    </cfRule>
    <cfRule type="expression" dxfId="38" priority="85">
      <formula>OR($F$8=$G$4, RIGHT($F$8,1)=$G$4)</formula>
    </cfRule>
  </conditionalFormatting>
  <conditionalFormatting sqref="F9:F11">
    <cfRule type="expression" dxfId="37" priority="86">
      <formula>OR($F$11=$G$2, RIGHT($F$11,1)=$G$2)</formula>
    </cfRule>
    <cfRule type="expression" dxfId="36" priority="87">
      <formula>OR($F$11=$G$3, RIGHT($F$11,1)=$G$3)</formula>
    </cfRule>
    <cfRule type="expression" dxfId="35" priority="88">
      <formula>OR($F$11=$G$4, RIGHT($F$11,1)=$G$4)</formula>
    </cfRule>
  </conditionalFormatting>
  <conditionalFormatting sqref="F12:F14">
    <cfRule type="expression" dxfId="34" priority="89">
      <formula>OR($F$14=$G$2, RIGHT($F$14,1)=$G$2)</formula>
    </cfRule>
    <cfRule type="expression" dxfId="33" priority="90">
      <formula>OR($F$14=$G$3, RIGHT($F$14,1)=$G$3)</formula>
    </cfRule>
    <cfRule type="expression" dxfId="32" priority="91">
      <formula>OR($F$14=$G$4, RIGHT($F$14,1)=$G$4)</formula>
    </cfRule>
  </conditionalFormatting>
  <conditionalFormatting sqref="F15:F17">
    <cfRule type="expression" dxfId="31" priority="92">
      <formula>OR($F$17=$G$2, RIGHT($F$17,1)=$G$2)</formula>
    </cfRule>
    <cfRule type="expression" dxfId="30" priority="93">
      <formula>OR($F$17=$G$3, RIGHT($F$17,1)=$G$3)</formula>
    </cfRule>
    <cfRule type="expression" dxfId="29" priority="94">
      <formula>OR($F$17=$G$4, RIGHT($F$17,1)=$G$4)</formula>
    </cfRule>
  </conditionalFormatting>
  <conditionalFormatting sqref="F18:F20">
    <cfRule type="expression" dxfId="28" priority="95">
      <formula>OR($F$20=$G$2, RIGHT($F$20,1)=$G$2)</formula>
    </cfRule>
    <cfRule type="expression" dxfId="27" priority="96">
      <formula>OR($F$20=$G$3, RIGHT($F$20,1)=$G$3)</formula>
    </cfRule>
    <cfRule type="expression" dxfId="26" priority="97">
      <formula>OR($F$20=$G$4, RIGHT($F$20,1)=$G$4)</formula>
    </cfRule>
  </conditionalFormatting>
  <hyperlinks>
    <hyperlink ref="E13" location="'Remarks'!E49" display="»" xr:uid="{00000000-0004-0000-0800-000000000000}"/>
    <hyperlink ref="E19" location="'Remarks'!E51" display="»" xr:uid="{00000000-0004-0000-0800-000001000000}"/>
    <hyperlink ref="E55" location="'Anmerkungen'!E64" display="»" xr:uid="{00000000-0004-0000-0800-000002000000}"/>
    <hyperlink ref="E85" location="'Anmerkungen'!E66" display="»" xr:uid="{00000000-0004-0000-0800-000003000000}"/>
    <hyperlink ref="E88" location="'Anmerkungen'!E67" display="»" xr:uid="{00000000-0004-0000-0800-000004000000}"/>
    <hyperlink ref="E115" location="'Anmerkungen'!E69" display="»" xr:uid="{00000000-0004-0000-0800-000005000000}"/>
    <hyperlink ref="E145" location="'Anmerkungen'!E71" display="»" xr:uid="{00000000-0004-0000-0800-000006000000}"/>
    <hyperlink ref="E148" location="'Anmerkungen'!E72" display="»" xr:uid="{00000000-0004-0000-0800-000007000000}"/>
    <hyperlink ref="E151" location="'Anmerkungen'!E73" display="»" xr:uid="{00000000-0004-0000-0800-000008000000}"/>
    <hyperlink ref="E154" location="'Anmerkungen'!E74" display="»" xr:uid="{00000000-0004-0000-0800-000009000000}"/>
    <hyperlink ref="E157" location="'Anmerkungen'!E75" display="»" xr:uid="{00000000-0004-0000-0800-00000A000000}"/>
    <hyperlink ref="E160" location="'Anmerkungen'!E76" display="»" xr:uid="{00000000-0004-0000-0800-00000B000000}"/>
    <hyperlink ref="E163" location="'Anmerkungen'!E77" display="»" xr:uid="{00000000-0004-0000-0800-00000C000000}"/>
    <hyperlink ref="E7" location="'Remarks'!E47" display="»" xr:uid="{00000000-0004-0000-0800-00000D000000}"/>
    <hyperlink ref="E16" location="'Remarks'!E50" display="»" xr:uid="{00000000-0004-0000-0800-00000E000000}"/>
    <hyperlink ref="E10" location="'Remarks'!E48" display="»" xr:uid="{00000000-0004-0000-0800-00000F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B19:B20" twoDigitTextYear="1"/>
    <ignoredError sqref="F22"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3" r:id="rId5" name="Drop Down 31">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8225" r:id="rId6" name="Drop Down 33">
              <controlPr defaultSize="0" autoLine="0" autoPict="0">
                <anchor moveWithCells="1">
                  <from>
                    <xdr:col>3</xdr:col>
                    <xdr:colOff>114300</xdr:colOff>
                    <xdr:row>9</xdr:row>
                    <xdr:rowOff>82550</xdr:rowOff>
                  </from>
                  <to>
                    <xdr:col>3</xdr:col>
                    <xdr:colOff>1371600</xdr:colOff>
                    <xdr:row>9</xdr:row>
                    <xdr:rowOff>298450</xdr:rowOff>
                  </to>
                </anchor>
              </controlPr>
            </control>
          </mc:Choice>
        </mc:AlternateContent>
        <mc:AlternateContent xmlns:mc="http://schemas.openxmlformats.org/markup-compatibility/2006">
          <mc:Choice Requires="x14">
            <control shapeId="8233" r:id="rId7" name="Drop Down 41">
              <controlPr defaultSize="0" autoLine="0" autoPict="0">
                <anchor moveWithCells="1">
                  <from>
                    <xdr:col>3</xdr:col>
                    <xdr:colOff>114300</xdr:colOff>
                    <xdr:row>15</xdr:row>
                    <xdr:rowOff>95250</xdr:rowOff>
                  </from>
                  <to>
                    <xdr:col>3</xdr:col>
                    <xdr:colOff>1371600</xdr:colOff>
                    <xdr:row>15</xdr:row>
                    <xdr:rowOff>311150</xdr:rowOff>
                  </to>
                </anchor>
              </controlPr>
            </control>
          </mc:Choice>
        </mc:AlternateContent>
        <mc:AlternateContent xmlns:mc="http://schemas.openxmlformats.org/markup-compatibility/2006">
          <mc:Choice Requires="x14">
            <control shapeId="8272" r:id="rId8" name="Drop Down 80">
              <controlPr defaultSize="0" autoLine="0" autoPict="0">
                <anchor moveWithCells="1">
                  <from>
                    <xdr:col>3</xdr:col>
                    <xdr:colOff>114300</xdr:colOff>
                    <xdr:row>18</xdr:row>
                    <xdr:rowOff>88900</xdr:rowOff>
                  </from>
                  <to>
                    <xdr:col>3</xdr:col>
                    <xdr:colOff>1371600</xdr:colOff>
                    <xdr:row>18</xdr:row>
                    <xdr:rowOff>304800</xdr:rowOff>
                  </to>
                </anchor>
              </controlPr>
            </control>
          </mc:Choice>
        </mc:AlternateContent>
        <mc:AlternateContent xmlns:mc="http://schemas.openxmlformats.org/markup-compatibility/2006">
          <mc:Choice Requires="x14">
            <control shapeId="8275" r:id="rId9" name="Drop Down 83">
              <controlPr defaultSize="0" autoLine="0" autoPict="0">
                <anchor moveWithCells="1">
                  <from>
                    <xdr:col>3</xdr:col>
                    <xdr:colOff>114300</xdr:colOff>
                    <xdr:row>12</xdr:row>
                    <xdr:rowOff>88900</xdr:rowOff>
                  </from>
                  <to>
                    <xdr:col>3</xdr:col>
                    <xdr:colOff>1371600</xdr:colOff>
                    <xdr:row>12</xdr:row>
                    <xdr:rowOff>304800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pageSetUpPr fitToPage="1"/>
  </sheetPr>
  <dimension ref="A1:Q115"/>
  <sheetViews>
    <sheetView zoomScale="85" zoomScaleNormal="85" workbookViewId="0">
      <pane ySplit="5" topLeftCell="A6" activePane="bottomLeft" state="frozen"/>
      <selection activeCell="B3" sqref="B3"/>
      <selection pane="bottomLeft" activeCell="C10" sqref="C10"/>
    </sheetView>
  </sheetViews>
  <sheetFormatPr defaultColWidth="11" defaultRowHeight="13" x14ac:dyDescent="0.3"/>
  <cols>
    <col min="1" max="1" width="2.58203125" style="2" customWidth="1"/>
    <col min="2" max="2" width="4.83203125" style="2" customWidth="1"/>
    <col min="3" max="3" width="60.58203125" style="46" customWidth="1"/>
    <col min="4" max="4" width="19.25" style="2" customWidth="1"/>
    <col min="5" max="5" width="3.83203125" style="2" customWidth="1"/>
    <col min="6" max="6" width="10.83203125" style="2" customWidth="1"/>
    <col min="7" max="7" width="2.58203125" style="2" customWidth="1"/>
    <col min="8" max="16" width="11" style="2"/>
    <col min="17" max="17" width="11" style="170"/>
    <col min="18" max="16384" width="11" style="2"/>
  </cols>
  <sheetData>
    <row r="1" spans="1:17" ht="35.5" thickBot="1" x14ac:dyDescent="0.75">
      <c r="A1" s="379" t="s">
        <v>757</v>
      </c>
      <c r="B1" s="379"/>
      <c r="C1" s="379"/>
      <c r="D1" s="379"/>
      <c r="E1" s="379"/>
      <c r="F1" s="379"/>
      <c r="G1" s="379"/>
      <c r="J1" s="65"/>
    </row>
    <row r="2" spans="1:17" s="25" customFormat="1" ht="8" x14ac:dyDescent="0.2">
      <c r="A2" s="68"/>
      <c r="B2" s="69"/>
      <c r="C2" s="69"/>
      <c r="D2" s="69"/>
      <c r="E2" s="69"/>
      <c r="F2" s="386" t="s">
        <v>607</v>
      </c>
      <c r="G2" s="182" t="str">
        <f>Datenquelle!$AP$6</f>
        <v>+</v>
      </c>
      <c r="Q2" s="169"/>
    </row>
    <row r="3" spans="1:17" x14ac:dyDescent="0.3">
      <c r="A3" s="7"/>
      <c r="B3" s="380" t="s">
        <v>608</v>
      </c>
      <c r="C3" s="381" t="s">
        <v>609</v>
      </c>
      <c r="D3" s="382" t="s">
        <v>610</v>
      </c>
      <c r="E3" s="8"/>
      <c r="F3" s="387"/>
      <c r="G3" s="183" t="str">
        <f>Datenquelle!$AP$7</f>
        <v>○</v>
      </c>
    </row>
    <row r="4" spans="1:17" x14ac:dyDescent="0.3">
      <c r="A4" s="7"/>
      <c r="B4" s="380"/>
      <c r="C4" s="381"/>
      <c r="D4" s="382"/>
      <c r="E4" s="8"/>
      <c r="F4" s="388" t="s">
        <v>611</v>
      </c>
      <c r="G4" s="183" t="str">
        <f>Datenquelle!$AP$8</f>
        <v>-</v>
      </c>
    </row>
    <row r="5" spans="1:17" s="25" customFormat="1" ht="8.5" customHeight="1" thickBot="1" x14ac:dyDescent="0.25">
      <c r="A5" s="29"/>
      <c r="B5" s="30"/>
      <c r="C5" s="30"/>
      <c r="D5" s="30"/>
      <c r="E5" s="30"/>
      <c r="F5" s="389"/>
      <c r="G5" s="32"/>
      <c r="Q5" s="169"/>
    </row>
    <row r="6" spans="1:17" ht="25.5" x14ac:dyDescent="0.55000000000000004">
      <c r="A6" s="7"/>
      <c r="B6" s="71" t="s">
        <v>89</v>
      </c>
      <c r="C6" s="290" t="s">
        <v>758</v>
      </c>
      <c r="D6" s="15"/>
      <c r="E6" s="15"/>
      <c r="F6" s="96">
        <f>Datenquelle!AI7</f>
        <v>0.03</v>
      </c>
      <c r="G6" s="9"/>
      <c r="J6" s="66"/>
    </row>
    <row r="7" spans="1:17" ht="65" x14ac:dyDescent="0.9">
      <c r="A7" s="7"/>
      <c r="B7" s="71"/>
      <c r="C7" s="16" t="s">
        <v>759</v>
      </c>
      <c r="D7" s="61"/>
      <c r="E7" s="144" t="s">
        <v>614</v>
      </c>
      <c r="F7" s="98">
        <f>Datenquelle!AK7</f>
        <v>0</v>
      </c>
      <c r="G7" s="132"/>
      <c r="J7" s="65"/>
      <c r="Q7" s="170" t="s">
        <v>698</v>
      </c>
    </row>
    <row r="8" spans="1:17" ht="21" x14ac:dyDescent="0.3">
      <c r="A8" s="90"/>
      <c r="B8" s="85"/>
      <c r="C8" s="86" t="s">
        <v>760</v>
      </c>
      <c r="D8" s="87"/>
      <c r="E8" s="87"/>
      <c r="F8" s="184" t="str">
        <f>VLOOKUP(Datenquelle!AJ7,Datenquelle!$AN$5:$AP$13,3,FALSE)</f>
        <v>NB</v>
      </c>
      <c r="G8" s="91"/>
    </row>
    <row r="9" spans="1:17" ht="25.5" x14ac:dyDescent="0.55000000000000004">
      <c r="A9" s="88"/>
      <c r="B9" s="269" t="s">
        <v>100</v>
      </c>
      <c r="C9" s="83" t="s">
        <v>761</v>
      </c>
      <c r="D9" s="84"/>
      <c r="E9" s="84"/>
      <c r="F9" s="96">
        <f>Datenquelle!AI8</f>
        <v>2.5999999999999999E-2</v>
      </c>
      <c r="G9" s="89"/>
      <c r="J9" s="66"/>
    </row>
    <row r="10" spans="1:17" ht="60" x14ac:dyDescent="1.2">
      <c r="A10" s="7"/>
      <c r="B10" s="71"/>
      <c r="C10" s="16" t="s">
        <v>762</v>
      </c>
      <c r="D10" s="61"/>
      <c r="E10" s="144" t="s">
        <v>614</v>
      </c>
      <c r="F10" s="98">
        <f>Datenquelle!AK8</f>
        <v>0</v>
      </c>
      <c r="G10" s="176"/>
      <c r="J10" s="65"/>
      <c r="Q10" s="170" t="s">
        <v>623</v>
      </c>
    </row>
    <row r="11" spans="1:17" ht="21" x14ac:dyDescent="0.3">
      <c r="A11" s="90"/>
      <c r="B11" s="85"/>
      <c r="C11" s="86" t="s">
        <v>763</v>
      </c>
      <c r="D11" s="87"/>
      <c r="E11" s="87"/>
      <c r="F11" s="184" t="str">
        <f>VLOOKUP(Datenquelle!AJ8,Datenquelle!$AN$5:$AP$13,3,FALSE)</f>
        <v>NB</v>
      </c>
      <c r="G11" s="91"/>
    </row>
    <row r="12" spans="1:17" ht="25.5" x14ac:dyDescent="0.55000000000000004">
      <c r="A12" s="88"/>
      <c r="B12" s="269" t="s">
        <v>111</v>
      </c>
      <c r="C12" s="83" t="s">
        <v>764</v>
      </c>
      <c r="D12" s="84"/>
      <c r="E12" s="84"/>
      <c r="F12" s="96">
        <f>Datenquelle!AI9</f>
        <v>3.4000000000000002E-2</v>
      </c>
      <c r="G12" s="89"/>
      <c r="J12" s="66"/>
    </row>
    <row r="13" spans="1:17" ht="35" x14ac:dyDescent="0.7">
      <c r="A13" s="7"/>
      <c r="B13" s="71"/>
      <c r="C13" s="16" t="s">
        <v>765</v>
      </c>
      <c r="D13" s="61"/>
      <c r="E13" s="144" t="s">
        <v>614</v>
      </c>
      <c r="F13" s="98">
        <f>Datenquelle!AK9</f>
        <v>0</v>
      </c>
      <c r="G13" s="9"/>
      <c r="J13" s="65"/>
      <c r="Q13" s="170" t="s">
        <v>627</v>
      </c>
    </row>
    <row r="14" spans="1:17" ht="21" x14ac:dyDescent="0.3">
      <c r="A14" s="90"/>
      <c r="B14" s="85"/>
      <c r="C14" s="86" t="s">
        <v>766</v>
      </c>
      <c r="D14" s="87"/>
      <c r="E14" s="87"/>
      <c r="F14" s="184" t="str">
        <f>VLOOKUP(Datenquelle!AJ9,Datenquelle!$AN$5:$AP$13,3,FALSE)</f>
        <v>NB</v>
      </c>
      <c r="G14" s="91"/>
    </row>
    <row r="15" spans="1:17" ht="25.5" x14ac:dyDescent="0.55000000000000004">
      <c r="A15" s="88"/>
      <c r="B15" s="269" t="s">
        <v>122</v>
      </c>
      <c r="C15" s="83" t="s">
        <v>767</v>
      </c>
      <c r="D15" s="84"/>
      <c r="E15" s="84"/>
      <c r="F15" s="96">
        <f>Datenquelle!AI10</f>
        <v>0.02</v>
      </c>
      <c r="G15" s="89"/>
      <c r="J15" s="66"/>
    </row>
    <row r="16" spans="1:17" ht="35" x14ac:dyDescent="0.7">
      <c r="A16" s="7"/>
      <c r="B16" s="71"/>
      <c r="C16" s="16" t="s">
        <v>768</v>
      </c>
      <c r="D16" s="61"/>
      <c r="E16" s="144" t="s">
        <v>614</v>
      </c>
      <c r="F16" s="98">
        <f>Datenquelle!AK10</f>
        <v>0</v>
      </c>
      <c r="G16" s="9"/>
      <c r="J16" s="65"/>
      <c r="Q16" s="170" t="s">
        <v>631</v>
      </c>
    </row>
    <row r="17" spans="1:17" ht="21" x14ac:dyDescent="0.3">
      <c r="A17" s="90"/>
      <c r="B17" s="85"/>
      <c r="C17" s="86" t="s">
        <v>769</v>
      </c>
      <c r="D17" s="87"/>
      <c r="E17" s="87"/>
      <c r="F17" s="184" t="str">
        <f>VLOOKUP(Datenquelle!AJ10,Datenquelle!$AN$5:$AP$13,3,FALSE)</f>
        <v>NB</v>
      </c>
      <c r="G17" s="91"/>
    </row>
    <row r="18" spans="1:17" ht="25.5" x14ac:dyDescent="0.55000000000000004">
      <c r="A18" s="88"/>
      <c r="B18" s="269" t="s">
        <v>133</v>
      </c>
      <c r="C18" s="83" t="s">
        <v>770</v>
      </c>
      <c r="D18" s="84"/>
      <c r="E18" s="84"/>
      <c r="F18" s="96">
        <f>Datenquelle!AI11</f>
        <v>2.1000000000000001E-2</v>
      </c>
      <c r="G18" s="89"/>
      <c r="J18" s="66"/>
    </row>
    <row r="19" spans="1:17" ht="35" x14ac:dyDescent="0.7">
      <c r="A19" s="7"/>
      <c r="B19" s="71"/>
      <c r="C19" s="16" t="s">
        <v>771</v>
      </c>
      <c r="D19" s="61"/>
      <c r="E19" s="144" t="s">
        <v>614</v>
      </c>
      <c r="F19" s="98">
        <f>Datenquelle!AK11</f>
        <v>0</v>
      </c>
      <c r="G19" s="9"/>
      <c r="J19" s="65"/>
      <c r="Q19" s="170" t="s">
        <v>639</v>
      </c>
    </row>
    <row r="20" spans="1:17" ht="21" x14ac:dyDescent="0.3">
      <c r="A20" s="90"/>
      <c r="B20" s="85"/>
      <c r="C20" s="86" t="s">
        <v>772</v>
      </c>
      <c r="D20" s="87"/>
      <c r="E20" s="87"/>
      <c r="F20" s="184" t="str">
        <f>VLOOKUP(Datenquelle!AJ11,Datenquelle!$AN$5:$AP$13,3,FALSE)</f>
        <v>NB</v>
      </c>
      <c r="G20" s="91"/>
    </row>
    <row r="21" spans="1:17" ht="25.5" x14ac:dyDescent="0.55000000000000004">
      <c r="A21" s="88"/>
      <c r="B21" s="269" t="s">
        <v>142</v>
      </c>
      <c r="C21" s="83" t="s">
        <v>773</v>
      </c>
      <c r="D21" s="84"/>
      <c r="E21" s="84"/>
      <c r="F21" s="96">
        <f>Datenquelle!AI12</f>
        <v>2.9000000000000001E-2</v>
      </c>
      <c r="G21" s="89"/>
      <c r="J21" s="66"/>
    </row>
    <row r="22" spans="1:17" ht="45" x14ac:dyDescent="0.9">
      <c r="A22" s="7"/>
      <c r="B22" s="71"/>
      <c r="C22" s="16" t="s">
        <v>774</v>
      </c>
      <c r="D22" s="61"/>
      <c r="E22" s="144" t="s">
        <v>614</v>
      </c>
      <c r="F22" s="98">
        <f>Datenquelle!AK12</f>
        <v>0</v>
      </c>
      <c r="G22" s="132"/>
      <c r="J22" s="65"/>
      <c r="Q22" s="170" t="s">
        <v>775</v>
      </c>
    </row>
    <row r="23" spans="1:17" ht="21.5" thickBot="1" x14ac:dyDescent="0.35">
      <c r="A23" s="90"/>
      <c r="B23" s="85"/>
      <c r="C23" s="86" t="s">
        <v>776</v>
      </c>
      <c r="D23" s="87"/>
      <c r="E23" s="87"/>
      <c r="F23" s="184" t="str">
        <f>VLOOKUP(Datenquelle!AJ12,Datenquelle!$AN$5:$AP$13,3,FALSE)</f>
        <v>NB</v>
      </c>
      <c r="G23" s="91"/>
    </row>
    <row r="24" spans="1:17" ht="23.5" thickBot="1" x14ac:dyDescent="0.55000000000000004">
      <c r="A24" s="383" t="str">
        <f>IF(COUNTIF(Datenquelle!AJ7:AJ12,6)&lt;=Max_Nichtantworten,"",CONCATENATE("Module currently not assessable! ",COUNTIF(Datenquelle!AJ7:AJ12,6)," of ",Datenquelle!AJ6, " questions have not been rated yet." ))</f>
        <v>Module currently not assessable! 6 of 6 questions have not been rated yet.</v>
      </c>
      <c r="B24" s="384"/>
      <c r="C24" s="384"/>
      <c r="D24" s="384"/>
      <c r="E24" s="384"/>
      <c r="F24" s="384"/>
      <c r="G24" s="385"/>
      <c r="J24" s="67"/>
    </row>
    <row r="25" spans="1:17" ht="28" x14ac:dyDescent="0.6">
      <c r="A25" s="73"/>
      <c r="B25" s="74"/>
      <c r="C25" s="402" t="s">
        <v>777</v>
      </c>
      <c r="D25" s="402"/>
      <c r="E25" s="402"/>
      <c r="F25" s="75">
        <f>IF(AND(Datenquelle!AJ5&lt;&gt;0, COUNTIF(Datenquelle!AJ7:AJ12,6)&lt;=Max_Nichtantworten),Datenquelle!AK5/Datenquelle!AJ5*Datenquelle!AI5,0)</f>
        <v>0</v>
      </c>
      <c r="G25" s="76"/>
      <c r="J25" s="72"/>
    </row>
    <row r="26" spans="1:17" ht="14" x14ac:dyDescent="0.3">
      <c r="A26" s="73"/>
      <c r="B26" s="74"/>
      <c r="C26" s="77" t="str">
        <f>CONCATENATE("Maximum: ",ROUND(Datenquelle!AI5*100,2), "%")</f>
        <v>Maximum: 16%</v>
      </c>
      <c r="D26" s="74"/>
      <c r="E26" s="74"/>
      <c r="F26" s="74"/>
      <c r="G26" s="76"/>
    </row>
    <row r="27" spans="1:17" ht="13.5" thickBot="1" x14ac:dyDescent="0.35">
      <c r="A27" s="78"/>
      <c r="B27" s="79"/>
      <c r="C27" s="80"/>
      <c r="D27" s="79"/>
      <c r="E27" s="79"/>
      <c r="F27" s="79"/>
      <c r="G27" s="81"/>
    </row>
    <row r="28" spans="1:17" ht="17.5" x14ac:dyDescent="0.35">
      <c r="E28" s="198"/>
    </row>
    <row r="31" spans="1:17" ht="17.5" x14ac:dyDescent="0.35">
      <c r="E31" s="198"/>
    </row>
    <row r="34" spans="5:5" ht="17.5" x14ac:dyDescent="0.35">
      <c r="E34" s="198"/>
    </row>
    <row r="52" spans="5:5" ht="17.5" x14ac:dyDescent="0.35">
      <c r="E52" s="198"/>
    </row>
    <row r="112" spans="5:5" ht="17.5" x14ac:dyDescent="0.35">
      <c r="E112" s="198" t="s">
        <v>614</v>
      </c>
    </row>
    <row r="115" spans="5:5" ht="17.5" x14ac:dyDescent="0.35">
      <c r="E115" s="198" t="s">
        <v>614</v>
      </c>
    </row>
  </sheetData>
  <mergeCells count="8">
    <mergeCell ref="C25:E25"/>
    <mergeCell ref="A24:G24"/>
    <mergeCell ref="A1:G1"/>
    <mergeCell ref="F2:F3"/>
    <mergeCell ref="B3:B4"/>
    <mergeCell ref="C3:C4"/>
    <mergeCell ref="D3:D4"/>
    <mergeCell ref="F4:F5"/>
  </mergeCells>
  <conditionalFormatting sqref="A25:C27 F25:G27 D26:E27">
    <cfRule type="expression" dxfId="25" priority="34">
      <formula>$F$25=0</formula>
    </cfRule>
  </conditionalFormatting>
  <conditionalFormatting sqref="F6:F8">
    <cfRule type="expression" dxfId="24" priority="35">
      <formula>OR($F$8=$G$2, RIGHT($F$8,1)=$G$2)</formula>
    </cfRule>
    <cfRule type="expression" dxfId="23" priority="36">
      <formula>OR($F$8=$G$3, RIGHT($F$8,1)=$G$3)</formula>
    </cfRule>
    <cfRule type="expression" dxfId="22" priority="37">
      <formula>OR($F$8=$G$4, RIGHT($F$8,1)=$G$4)</formula>
    </cfRule>
  </conditionalFormatting>
  <conditionalFormatting sqref="F9:F11">
    <cfRule type="expression" dxfId="21" priority="41">
      <formula>OR($F$11=$G$2, RIGHT($F$11,1)=$G$2)</formula>
    </cfRule>
    <cfRule type="expression" dxfId="20" priority="42">
      <formula>OR($F$11=$G$3, RIGHT($F$11,1)=$G$3)</formula>
    </cfRule>
    <cfRule type="expression" dxfId="19" priority="43">
      <formula>OR($F$11=$G$4, RIGHT($F$11,1)=$G$4)</formula>
    </cfRule>
  </conditionalFormatting>
  <conditionalFormatting sqref="F12:F14">
    <cfRule type="expression" dxfId="18" priority="44">
      <formula>OR($F$14=$G$2, RIGHT($F$14,1)=$G$2)</formula>
    </cfRule>
    <cfRule type="expression" dxfId="17" priority="45">
      <formula>OR($F$14=$G$3, RIGHT($F$14,1)=$G$3)</formula>
    </cfRule>
    <cfRule type="expression" dxfId="16" priority="46">
      <formula>OR($F$14=$G$4, RIGHT($F$14,1)=$G$4)</formula>
    </cfRule>
  </conditionalFormatting>
  <conditionalFormatting sqref="F15:F17">
    <cfRule type="expression" dxfId="15" priority="47">
      <formula>OR($F$17=$G$2, RIGHT($F$17,1)=$G$2)</formula>
    </cfRule>
    <cfRule type="expression" dxfId="14" priority="48">
      <formula>OR($F$17=$G$3, RIGHT($F$17,1)=$G$3)</formula>
    </cfRule>
    <cfRule type="expression" dxfId="13" priority="49">
      <formula>OR($F$17=$G$4, RIGHT($F$17,1)=$G$4)</formula>
    </cfRule>
  </conditionalFormatting>
  <conditionalFormatting sqref="F18:F20">
    <cfRule type="expression" dxfId="12" priority="50">
      <formula>OR($F$20=$G$2, RIGHT($F$20,1)=$G$2)</formula>
    </cfRule>
    <cfRule type="expression" dxfId="11" priority="51">
      <formula>OR($F$20=$G$3, RIGHT($F$20,1)=$G$3)</formula>
    </cfRule>
    <cfRule type="expression" dxfId="10" priority="52">
      <formula>OR($F$20=$G$4, RIGHT($F$20,1)=$G$4)</formula>
    </cfRule>
  </conditionalFormatting>
  <conditionalFormatting sqref="F21:F23">
    <cfRule type="expression" dxfId="9" priority="53">
      <formula>OR($F$23=$G$2, RIGHT($F$23,1)=$G$2)</formula>
    </cfRule>
    <cfRule type="expression" dxfId="8" priority="54">
      <formula>OR($F$23=$G$3, RIGHT($F$23,1)=$G$3)</formula>
    </cfRule>
    <cfRule type="expression" dxfId="7" priority="55">
      <formula>OR($F$23=$G$4, RIGHT($F$23,1)=$G$4)</formula>
    </cfRule>
  </conditionalFormatting>
  <hyperlinks>
    <hyperlink ref="E7" location="'Remarks'!E54" display="»" xr:uid="{00000000-0004-0000-0900-000000000000}"/>
    <hyperlink ref="E112" location="'Anmerkungen'!E33" display="»" xr:uid="{00000000-0004-0000-0900-000001000000}"/>
    <hyperlink ref="E115" location="'Anmerkungen'!E34" display="»" xr:uid="{00000000-0004-0000-0900-000002000000}"/>
    <hyperlink ref="E10" location="'Remarks'!E55" display="»" xr:uid="{00000000-0004-0000-0900-000003000000}"/>
    <hyperlink ref="E13" location="'Remarks'!E56" display="»" xr:uid="{00000000-0004-0000-0900-000004000000}"/>
    <hyperlink ref="E16" location="'Remarks'!E57" display="»" xr:uid="{00000000-0004-0000-0900-000005000000}"/>
    <hyperlink ref="E19" location="'Remarks'!E58" display="»" xr:uid="{00000000-0004-0000-0900-000006000000}"/>
    <hyperlink ref="E22" location="'Remarks'!E59" display="»" xr:uid="{00000000-0004-0000-0900-000007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ignoredErrors>
    <ignoredError sqref="B7:B8" twoDigitTextYear="1"/>
    <ignoredError sqref="F25"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04" r:id="rId5" name="Drop Down 8">
              <controlPr defaultSize="0" autoLine="0" autoPict="0">
                <anchor moveWithCells="1">
                  <from>
                    <xdr:col>3</xdr:col>
                    <xdr:colOff>114300</xdr:colOff>
                    <xdr:row>6</xdr:row>
                    <xdr:rowOff>69850</xdr:rowOff>
                  </from>
                  <to>
                    <xdr:col>3</xdr:col>
                    <xdr:colOff>1371600</xdr:colOff>
                    <xdr:row>6</xdr:row>
                    <xdr:rowOff>285750</xdr:rowOff>
                  </to>
                </anchor>
              </controlPr>
            </control>
          </mc:Choice>
        </mc:AlternateContent>
        <mc:AlternateContent xmlns:mc="http://schemas.openxmlformats.org/markup-compatibility/2006">
          <mc:Choice Requires="x14">
            <control shapeId="4115" r:id="rId6" name="Drop Down 19">
              <controlPr defaultSize="0" autoLine="0" autoPict="0">
                <anchor moveWithCells="1">
                  <from>
                    <xdr:col>3</xdr:col>
                    <xdr:colOff>114300</xdr:colOff>
                    <xdr:row>9</xdr:row>
                    <xdr:rowOff>76200</xdr:rowOff>
                  </from>
                  <to>
                    <xdr:col>3</xdr:col>
                    <xdr:colOff>1371600</xdr:colOff>
                    <xdr:row>9</xdr:row>
                    <xdr:rowOff>292100</xdr:rowOff>
                  </to>
                </anchor>
              </controlPr>
            </control>
          </mc:Choice>
        </mc:AlternateContent>
        <mc:AlternateContent xmlns:mc="http://schemas.openxmlformats.org/markup-compatibility/2006">
          <mc:Choice Requires="x14">
            <control shapeId="4116" r:id="rId7" name="Drop Down 20">
              <controlPr defaultSize="0" autoLine="0" autoPict="0">
                <anchor moveWithCells="1">
                  <from>
                    <xdr:col>3</xdr:col>
                    <xdr:colOff>114300</xdr:colOff>
                    <xdr:row>12</xdr:row>
                    <xdr:rowOff>69850</xdr:rowOff>
                  </from>
                  <to>
                    <xdr:col>3</xdr:col>
                    <xdr:colOff>1371600</xdr:colOff>
                    <xdr:row>12</xdr:row>
                    <xdr:rowOff>285750</xdr:rowOff>
                  </to>
                </anchor>
              </controlPr>
            </control>
          </mc:Choice>
        </mc:AlternateContent>
        <mc:AlternateContent xmlns:mc="http://schemas.openxmlformats.org/markup-compatibility/2006">
          <mc:Choice Requires="x14">
            <control shapeId="4117" r:id="rId8" name="Drop Down 21">
              <controlPr defaultSize="0" autoLine="0" autoPict="0">
                <anchor moveWithCells="1">
                  <from>
                    <xdr:col>3</xdr:col>
                    <xdr:colOff>114300</xdr:colOff>
                    <xdr:row>15</xdr:row>
                    <xdr:rowOff>76200</xdr:rowOff>
                  </from>
                  <to>
                    <xdr:col>3</xdr:col>
                    <xdr:colOff>1371600</xdr:colOff>
                    <xdr:row>15</xdr:row>
                    <xdr:rowOff>292100</xdr:rowOff>
                  </to>
                </anchor>
              </controlPr>
            </control>
          </mc:Choice>
        </mc:AlternateContent>
        <mc:AlternateContent xmlns:mc="http://schemas.openxmlformats.org/markup-compatibility/2006">
          <mc:Choice Requires="x14">
            <control shapeId="4119" r:id="rId9" name="Drop Down 23">
              <controlPr defaultSize="0" autoLine="0" autoPict="0">
                <anchor moveWithCells="1">
                  <from>
                    <xdr:col>3</xdr:col>
                    <xdr:colOff>114300</xdr:colOff>
                    <xdr:row>18</xdr:row>
                    <xdr:rowOff>82550</xdr:rowOff>
                  </from>
                  <to>
                    <xdr:col>3</xdr:col>
                    <xdr:colOff>1371600</xdr:colOff>
                    <xdr:row>18</xdr:row>
                    <xdr:rowOff>298450</xdr:rowOff>
                  </to>
                </anchor>
              </controlPr>
            </control>
          </mc:Choice>
        </mc:AlternateContent>
        <mc:AlternateContent xmlns:mc="http://schemas.openxmlformats.org/markup-compatibility/2006">
          <mc:Choice Requires="x14">
            <control shapeId="4120" r:id="rId10" name="Drop Down 24">
              <controlPr defaultSize="0" autoLine="0" autoPict="0">
                <anchor moveWithCells="1">
                  <from>
                    <xdr:col>3</xdr:col>
                    <xdr:colOff>114300</xdr:colOff>
                    <xdr:row>21</xdr:row>
                    <xdr:rowOff>88900</xdr:rowOff>
                  </from>
                  <to>
                    <xdr:col>3</xdr:col>
                    <xdr:colOff>1371600</xdr:colOff>
                    <xdr:row>21</xdr:row>
                    <xdr:rowOff>304800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B1:W13"/>
  <sheetViews>
    <sheetView zoomScale="55" zoomScaleNormal="55" zoomScaleSheetLayoutView="55" zoomScalePageLayoutView="40" workbookViewId="0">
      <selection activeCell="S11" sqref="S11"/>
    </sheetView>
  </sheetViews>
  <sheetFormatPr defaultColWidth="11" defaultRowHeight="27" customHeight="1" x14ac:dyDescent="0.3"/>
  <cols>
    <col min="1" max="1" width="3.75" style="304" customWidth="1"/>
    <col min="2" max="2" width="47.83203125" style="304" bestFit="1" customWidth="1"/>
    <col min="3" max="7" width="12.6640625" style="304" customWidth="1"/>
    <col min="8" max="13" width="11" style="303"/>
    <col min="14" max="14" width="2.6640625" style="303" customWidth="1"/>
    <col min="15" max="22" width="11" style="303"/>
    <col min="23" max="23" width="5.25" style="303" customWidth="1"/>
    <col min="24" max="16384" width="11" style="304"/>
  </cols>
  <sheetData>
    <row r="1" spans="2:23" s="294" customFormat="1" ht="27" customHeight="1" thickBot="1" x14ac:dyDescent="0.35">
      <c r="H1" s="295"/>
      <c r="I1" s="295"/>
      <c r="J1" s="295"/>
      <c r="K1" s="295"/>
      <c r="L1" s="295"/>
      <c r="M1" s="295"/>
      <c r="N1" s="295"/>
      <c r="O1" s="295"/>
      <c r="P1" s="295"/>
      <c r="Q1" s="295"/>
      <c r="R1" s="295"/>
      <c r="S1" s="295"/>
      <c r="T1" s="295"/>
      <c r="U1" s="295"/>
      <c r="V1" s="295"/>
      <c r="W1" s="295"/>
    </row>
    <row r="2" spans="2:23" s="294" customFormat="1" ht="27" customHeight="1" thickBot="1" x14ac:dyDescent="0.35">
      <c r="B2" s="296" t="str">
        <f>IF(SUMIF(D3:D9,"0",C3:C9)&gt;0,"Warning - not all modules have been assessed!","")</f>
        <v>Warning - not all modules have been assessed!</v>
      </c>
      <c r="C2" s="297" t="s">
        <v>37</v>
      </c>
      <c r="D2" s="298" t="s">
        <v>38</v>
      </c>
      <c r="E2" s="297" t="s">
        <v>796</v>
      </c>
      <c r="F2" s="318" t="s">
        <v>805</v>
      </c>
      <c r="G2" s="298" t="s">
        <v>797</v>
      </c>
      <c r="H2" s="295"/>
      <c r="I2" s="295"/>
      <c r="J2" s="295"/>
      <c r="K2" s="295"/>
      <c r="L2" s="295"/>
      <c r="M2" s="295"/>
      <c r="N2" s="295"/>
      <c r="O2" s="295"/>
      <c r="P2" s="295"/>
      <c r="Q2" s="295"/>
      <c r="R2" s="295"/>
      <c r="S2" s="295"/>
      <c r="T2" s="295"/>
      <c r="U2" s="295"/>
      <c r="V2" s="295"/>
      <c r="W2" s="295"/>
    </row>
    <row r="3" spans="2:23" ht="35" customHeight="1" x14ac:dyDescent="0.3">
      <c r="B3" s="299" t="s">
        <v>798</v>
      </c>
      <c r="C3" s="279">
        <v>0.15</v>
      </c>
      <c r="D3" s="300">
        <f>Evaluationsheet!D5</f>
        <v>0</v>
      </c>
      <c r="E3" s="301">
        <v>1</v>
      </c>
      <c r="F3" s="319">
        <v>0.8</v>
      </c>
      <c r="G3" s="302">
        <f>(D3/C3)*E3</f>
        <v>0</v>
      </c>
    </row>
    <row r="4" spans="2:23" ht="35" customHeight="1" x14ac:dyDescent="0.3">
      <c r="B4" s="305" t="s">
        <v>799</v>
      </c>
      <c r="C4" s="281">
        <v>0.14000000000000001</v>
      </c>
      <c r="D4" s="306">
        <f>Evaluationsheet!D6</f>
        <v>0</v>
      </c>
      <c r="E4" s="307">
        <v>1</v>
      </c>
      <c r="F4" s="320">
        <v>0.8</v>
      </c>
      <c r="G4" s="308">
        <f t="shared" ref="G4:G9" si="0">(D4/C4)*E4</f>
        <v>0</v>
      </c>
    </row>
    <row r="5" spans="2:23" ht="35" customHeight="1" x14ac:dyDescent="0.3">
      <c r="B5" s="305" t="s">
        <v>800</v>
      </c>
      <c r="C5" s="281">
        <v>0.15</v>
      </c>
      <c r="D5" s="306">
        <f>Evaluationsheet!D7</f>
        <v>0</v>
      </c>
      <c r="E5" s="307">
        <v>1</v>
      </c>
      <c r="F5" s="320">
        <v>0.8</v>
      </c>
      <c r="G5" s="308">
        <f t="shared" si="0"/>
        <v>0</v>
      </c>
    </row>
    <row r="6" spans="2:23" ht="35" customHeight="1" x14ac:dyDescent="0.3">
      <c r="B6" s="309" t="s">
        <v>801</v>
      </c>
      <c r="C6" s="281">
        <v>0.16</v>
      </c>
      <c r="D6" s="310">
        <f>Evaluationsheet!D8</f>
        <v>0</v>
      </c>
      <c r="E6" s="311">
        <v>1</v>
      </c>
      <c r="F6" s="321">
        <v>0.8</v>
      </c>
      <c r="G6" s="312">
        <f t="shared" si="0"/>
        <v>0</v>
      </c>
    </row>
    <row r="7" spans="2:23" ht="35" customHeight="1" x14ac:dyDescent="0.3">
      <c r="B7" s="309" t="s">
        <v>802</v>
      </c>
      <c r="C7" s="281">
        <v>0.14000000000000001</v>
      </c>
      <c r="D7" s="310">
        <f>Evaluationsheet!D9</f>
        <v>0</v>
      </c>
      <c r="E7" s="311">
        <v>1</v>
      </c>
      <c r="F7" s="321">
        <v>0.8</v>
      </c>
      <c r="G7" s="312">
        <f t="shared" si="0"/>
        <v>0</v>
      </c>
    </row>
    <row r="8" spans="2:23" ht="35" customHeight="1" x14ac:dyDescent="0.3">
      <c r="B8" s="305" t="s">
        <v>803</v>
      </c>
      <c r="C8" s="281">
        <v>0.1</v>
      </c>
      <c r="D8" s="306">
        <f>Evaluationsheet!D10</f>
        <v>0</v>
      </c>
      <c r="E8" s="307">
        <v>1</v>
      </c>
      <c r="F8" s="320">
        <v>0.8</v>
      </c>
      <c r="G8" s="308">
        <f t="shared" si="0"/>
        <v>0</v>
      </c>
    </row>
    <row r="9" spans="2:23" ht="35" customHeight="1" thickBot="1" x14ac:dyDescent="0.35">
      <c r="B9" s="313" t="s">
        <v>804</v>
      </c>
      <c r="C9" s="283">
        <v>0.16</v>
      </c>
      <c r="D9" s="314">
        <f>Evaluationsheet!D11</f>
        <v>0</v>
      </c>
      <c r="E9" s="315">
        <v>1</v>
      </c>
      <c r="F9" s="322">
        <v>0.8</v>
      </c>
      <c r="G9" s="316">
        <f t="shared" si="0"/>
        <v>0</v>
      </c>
    </row>
    <row r="12" spans="2:23" ht="27" customHeight="1" x14ac:dyDescent="0.3">
      <c r="B12" s="317"/>
      <c r="C12" s="317"/>
      <c r="D12" s="317"/>
    </row>
    <row r="13" spans="2:23" ht="27" customHeight="1" x14ac:dyDescent="0.3">
      <c r="B13" s="317"/>
      <c r="C13" s="317"/>
      <c r="D13" s="317"/>
    </row>
  </sheetData>
  <pageMargins left="0.23622047244094491" right="0.23622047244094491" top="0.74803149606299213" bottom="0.74803149606299213" header="0.31496062992125984" footer="0.31496062992125984"/>
  <pageSetup paperSize="9" scale="77" fitToHeight="0" orientation="landscape" verticalDpi="0" r:id="rId1"/>
  <headerFooter>
    <oddHeader>&amp;L&amp;"Calibri"&amp;10&amp;K000000 INTERNAL&amp;1#_x000D_&amp;R&amp;G</oddHeader>
  </headerFooter>
  <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pageSetUpPr fitToPage="1"/>
  </sheetPr>
  <dimension ref="A1:R27"/>
  <sheetViews>
    <sheetView workbookViewId="0">
      <pane ySplit="5" topLeftCell="A6" activePane="bottomLeft" state="frozen"/>
      <selection activeCell="B3" sqref="B3"/>
      <selection pane="bottomLeft" activeCell="D11" sqref="D11"/>
    </sheetView>
  </sheetViews>
  <sheetFormatPr defaultColWidth="11" defaultRowHeight="14" x14ac:dyDescent="0.3"/>
  <cols>
    <col min="1" max="1" width="2.58203125" style="101" customWidth="1"/>
    <col min="2" max="2" width="4.33203125" style="101" customWidth="1"/>
    <col min="3" max="3" width="8.83203125" style="101" customWidth="1"/>
    <col min="4" max="4" width="37.08203125" style="101" customWidth="1"/>
    <col min="5" max="5" width="26.25" style="101" customWidth="1"/>
    <col min="6" max="6" width="16.08203125" style="101" customWidth="1"/>
    <col min="7" max="7" width="9.58203125" style="101" customWidth="1"/>
    <col min="8" max="8" width="8.33203125" style="101" customWidth="1"/>
    <col min="9" max="9" width="26.58203125" style="101" customWidth="1"/>
    <col min="10" max="10" width="2.58203125" style="101" customWidth="1"/>
    <col min="11" max="16384" width="11" style="101"/>
  </cols>
  <sheetData>
    <row r="1" spans="1:18" ht="35.5" thickBot="1" x14ac:dyDescent="0.75">
      <c r="A1" s="379" t="str">
        <f>CONCATENATE("List of Open Points - ", Datasheet!C8)</f>
        <v>List of Open Points - Changchun Engley Automobile Industry</v>
      </c>
      <c r="B1" s="379"/>
      <c r="C1" s="379"/>
      <c r="D1" s="379"/>
      <c r="E1" s="379"/>
      <c r="F1" s="379"/>
      <c r="G1" s="379"/>
      <c r="H1" s="379"/>
      <c r="I1" s="379"/>
      <c r="J1" s="379"/>
      <c r="M1" s="65"/>
    </row>
    <row r="2" spans="1:18" ht="26" thickBot="1" x14ac:dyDescent="0.6">
      <c r="A2" s="102"/>
      <c r="B2" s="406" t="str">
        <f>CONCATENATE(RIGHT(Datasheet!A1,LEN(Datasheet!A1)-12), " - LOP of ",TEXT(Datasheet!C4,"MMMM DD, YYYY"))</f>
        <v>logistic process inspection - LOP of July 08, 2026</v>
      </c>
      <c r="C2" s="406"/>
      <c r="D2" s="406"/>
      <c r="E2" s="406"/>
      <c r="F2" s="406"/>
      <c r="G2" s="406"/>
      <c r="H2" s="406"/>
      <c r="I2" s="406"/>
      <c r="J2" s="54"/>
      <c r="L2" s="408" t="s">
        <v>782</v>
      </c>
      <c r="M2" s="409"/>
      <c r="N2" s="409"/>
      <c r="O2" s="409"/>
      <c r="P2" s="409"/>
      <c r="Q2" s="409"/>
      <c r="R2" s="410"/>
    </row>
    <row r="3" spans="1:18" s="25" customFormat="1" ht="8.25" customHeight="1" x14ac:dyDescent="0.2">
      <c r="A3" s="50"/>
      <c r="B3" s="125"/>
      <c r="C3" s="125"/>
      <c r="D3" s="51"/>
      <c r="E3" s="126"/>
      <c r="F3" s="51"/>
      <c r="G3" s="51"/>
      <c r="H3" s="51"/>
      <c r="I3" s="51"/>
      <c r="J3" s="52"/>
      <c r="L3" s="411"/>
      <c r="M3" s="412"/>
      <c r="N3" s="412"/>
      <c r="O3" s="412"/>
      <c r="P3" s="412"/>
      <c r="Q3" s="412"/>
      <c r="R3" s="413"/>
    </row>
    <row r="4" spans="1:18" x14ac:dyDescent="0.3">
      <c r="A4" s="104"/>
      <c r="B4" s="233" t="s">
        <v>608</v>
      </c>
      <c r="C4" s="233" t="s">
        <v>783</v>
      </c>
      <c r="D4" s="233" t="s">
        <v>784</v>
      </c>
      <c r="E4" s="233" t="s">
        <v>785</v>
      </c>
      <c r="F4" s="233" t="s">
        <v>786</v>
      </c>
      <c r="G4" s="233" t="s">
        <v>787</v>
      </c>
      <c r="H4" s="233" t="s">
        <v>788</v>
      </c>
      <c r="I4" s="233" t="s">
        <v>789</v>
      </c>
      <c r="J4" s="106"/>
      <c r="L4" s="411"/>
      <c r="M4" s="412"/>
      <c r="N4" s="412"/>
      <c r="O4" s="412"/>
      <c r="P4" s="412"/>
      <c r="Q4" s="412"/>
      <c r="R4" s="413"/>
    </row>
    <row r="5" spans="1:18" s="25" customFormat="1" ht="39.5" thickBot="1" x14ac:dyDescent="0.35">
      <c r="A5" s="234"/>
      <c r="B5" s="235"/>
      <c r="C5" s="235"/>
      <c r="D5" s="235" t="s">
        <v>790</v>
      </c>
      <c r="E5" s="235" t="s">
        <v>791</v>
      </c>
      <c r="F5" s="235" t="s">
        <v>792</v>
      </c>
      <c r="G5" s="235" t="s">
        <v>793</v>
      </c>
      <c r="H5" s="235"/>
      <c r="I5" s="235" t="s">
        <v>794</v>
      </c>
      <c r="J5" s="236"/>
      <c r="L5" s="414"/>
      <c r="M5" s="415"/>
      <c r="N5" s="415"/>
      <c r="O5" s="415"/>
      <c r="P5" s="415"/>
      <c r="Q5" s="415"/>
      <c r="R5" s="416"/>
    </row>
    <row r="6" spans="1:18" ht="14.5" thickBot="1" x14ac:dyDescent="0.35">
      <c r="A6" s="29"/>
      <c r="B6" s="30"/>
      <c r="C6" s="30"/>
      <c r="D6" s="237"/>
      <c r="E6" s="30"/>
      <c r="F6" s="30"/>
      <c r="G6" s="30"/>
      <c r="H6" s="30"/>
      <c r="I6" s="30"/>
      <c r="J6" s="32"/>
    </row>
    <row r="7" spans="1:18" x14ac:dyDescent="0.3">
      <c r="A7" s="104"/>
      <c r="B7" s="127">
        <v>1</v>
      </c>
      <c r="C7" s="238"/>
      <c r="D7" s="239"/>
      <c r="E7" s="240"/>
      <c r="F7" s="241"/>
      <c r="G7" s="242"/>
      <c r="H7" s="241"/>
      <c r="I7" s="241"/>
      <c r="J7" s="106"/>
    </row>
    <row r="8" spans="1:18" x14ac:dyDescent="0.3">
      <c r="A8" s="104"/>
      <c r="B8" s="111">
        <v>2</v>
      </c>
      <c r="C8" s="243"/>
      <c r="D8" s="244"/>
      <c r="E8" s="245"/>
      <c r="F8" s="128"/>
      <c r="G8" s="246"/>
      <c r="H8" s="128"/>
      <c r="I8" s="128"/>
      <c r="J8" s="106"/>
    </row>
    <row r="9" spans="1:18" x14ac:dyDescent="0.3">
      <c r="A9" s="104"/>
      <c r="B9" s="111">
        <v>3</v>
      </c>
      <c r="C9" s="111"/>
      <c r="D9" s="244"/>
      <c r="E9" s="245"/>
      <c r="F9" s="128"/>
      <c r="G9" s="246"/>
      <c r="H9" s="128"/>
      <c r="I9" s="128"/>
      <c r="J9" s="106"/>
    </row>
    <row r="10" spans="1:18" x14ac:dyDescent="0.3">
      <c r="A10" s="104"/>
      <c r="B10" s="111">
        <v>4</v>
      </c>
      <c r="C10" s="111"/>
      <c r="D10" s="244"/>
      <c r="E10" s="245"/>
      <c r="F10" s="128"/>
      <c r="G10" s="246"/>
      <c r="H10" s="128"/>
      <c r="I10" s="128"/>
      <c r="J10" s="106"/>
    </row>
    <row r="11" spans="1:18" x14ac:dyDescent="0.3">
      <c r="A11" s="104"/>
      <c r="B11" s="111">
        <v>5</v>
      </c>
      <c r="C11" s="111"/>
      <c r="D11" s="244"/>
      <c r="E11" s="245"/>
      <c r="F11" s="128"/>
      <c r="G11" s="246"/>
      <c r="H11" s="128"/>
      <c r="I11" s="128"/>
      <c r="J11" s="106"/>
    </row>
    <row r="12" spans="1:18" x14ac:dyDescent="0.3">
      <c r="A12" s="104"/>
      <c r="B12" s="111">
        <v>6</v>
      </c>
      <c r="C12" s="111"/>
      <c r="D12" s="244"/>
      <c r="E12" s="245"/>
      <c r="F12" s="128"/>
      <c r="G12" s="246"/>
      <c r="H12" s="128"/>
      <c r="I12" s="128"/>
      <c r="J12" s="106"/>
    </row>
    <row r="13" spans="1:18" x14ac:dyDescent="0.3">
      <c r="A13" s="104"/>
      <c r="B13" s="111">
        <v>7</v>
      </c>
      <c r="C13" s="111"/>
      <c r="D13" s="244"/>
      <c r="E13" s="245"/>
      <c r="F13" s="128"/>
      <c r="G13" s="246"/>
      <c r="H13" s="128"/>
      <c r="I13" s="128"/>
      <c r="J13" s="106"/>
    </row>
    <row r="14" spans="1:18" x14ac:dyDescent="0.3">
      <c r="A14" s="104"/>
      <c r="B14" s="111">
        <v>8</v>
      </c>
      <c r="C14" s="111"/>
      <c r="D14" s="244"/>
      <c r="E14" s="245"/>
      <c r="F14" s="128"/>
      <c r="G14" s="246"/>
      <c r="H14" s="128"/>
      <c r="I14" s="128"/>
      <c r="J14" s="106"/>
    </row>
    <row r="15" spans="1:18" x14ac:dyDescent="0.3">
      <c r="A15" s="104"/>
      <c r="B15" s="111">
        <v>9</v>
      </c>
      <c r="C15" s="111"/>
      <c r="D15" s="244"/>
      <c r="E15" s="245"/>
      <c r="F15" s="128"/>
      <c r="G15" s="246"/>
      <c r="H15" s="128"/>
      <c r="I15" s="128"/>
      <c r="J15" s="106"/>
    </row>
    <row r="16" spans="1:18" x14ac:dyDescent="0.3">
      <c r="A16" s="104"/>
      <c r="B16" s="111">
        <v>10</v>
      </c>
      <c r="C16" s="111"/>
      <c r="D16" s="244"/>
      <c r="E16" s="245"/>
      <c r="F16" s="128"/>
      <c r="G16" s="246"/>
      <c r="H16" s="128"/>
      <c r="I16" s="128"/>
      <c r="J16" s="106"/>
    </row>
    <row r="17" spans="1:10" x14ac:dyDescent="0.3">
      <c r="A17" s="104"/>
      <c r="B17" s="111">
        <v>11</v>
      </c>
      <c r="C17" s="111"/>
      <c r="D17" s="244"/>
      <c r="E17" s="245"/>
      <c r="F17" s="128"/>
      <c r="G17" s="246"/>
      <c r="H17" s="128"/>
      <c r="I17" s="128"/>
      <c r="J17" s="106"/>
    </row>
    <row r="18" spans="1:10" x14ac:dyDescent="0.3">
      <c r="A18" s="104"/>
      <c r="B18" s="111">
        <v>12</v>
      </c>
      <c r="C18" s="111"/>
      <c r="D18" s="244"/>
      <c r="E18" s="245"/>
      <c r="F18" s="128"/>
      <c r="G18" s="246"/>
      <c r="H18" s="128"/>
      <c r="I18" s="128"/>
      <c r="J18" s="106"/>
    </row>
    <row r="19" spans="1:10" x14ac:dyDescent="0.3">
      <c r="A19" s="104"/>
      <c r="B19" s="111">
        <v>13</v>
      </c>
      <c r="C19" s="111"/>
      <c r="D19" s="244"/>
      <c r="E19" s="245"/>
      <c r="F19" s="128"/>
      <c r="G19" s="246"/>
      <c r="H19" s="128"/>
      <c r="I19" s="128"/>
      <c r="J19" s="106"/>
    </row>
    <row r="20" spans="1:10" x14ac:dyDescent="0.3">
      <c r="A20" s="104"/>
      <c r="B20" s="111">
        <v>14</v>
      </c>
      <c r="C20" s="111"/>
      <c r="D20" s="244"/>
      <c r="E20" s="245"/>
      <c r="F20" s="128"/>
      <c r="G20" s="246"/>
      <c r="H20" s="128"/>
      <c r="I20" s="128"/>
      <c r="J20" s="106"/>
    </row>
    <row r="21" spans="1:10" x14ac:dyDescent="0.3">
      <c r="A21" s="104"/>
      <c r="B21" s="111">
        <v>15</v>
      </c>
      <c r="C21" s="111"/>
      <c r="D21" s="244"/>
      <c r="E21" s="245"/>
      <c r="F21" s="128"/>
      <c r="G21" s="246"/>
      <c r="H21" s="128"/>
      <c r="I21" s="128"/>
      <c r="J21" s="106"/>
    </row>
    <row r="22" spans="1:10" x14ac:dyDescent="0.3">
      <c r="A22" s="104"/>
      <c r="B22" s="111">
        <v>16</v>
      </c>
      <c r="C22" s="111"/>
      <c r="D22" s="244"/>
      <c r="E22" s="245"/>
      <c r="F22" s="128"/>
      <c r="G22" s="246"/>
      <c r="H22" s="128"/>
      <c r="I22" s="128"/>
      <c r="J22" s="106"/>
    </row>
    <row r="23" spans="1:10" x14ac:dyDescent="0.3">
      <c r="A23" s="104"/>
      <c r="B23" s="111">
        <v>17</v>
      </c>
      <c r="C23" s="111"/>
      <c r="D23" s="244"/>
      <c r="E23" s="245"/>
      <c r="F23" s="128"/>
      <c r="G23" s="246"/>
      <c r="H23" s="128"/>
      <c r="I23" s="128"/>
      <c r="J23" s="106"/>
    </row>
    <row r="24" spans="1:10" x14ac:dyDescent="0.3">
      <c r="A24" s="104"/>
      <c r="B24" s="111">
        <v>18</v>
      </c>
      <c r="C24" s="111"/>
      <c r="D24" s="244"/>
      <c r="E24" s="245"/>
      <c r="F24" s="128"/>
      <c r="G24" s="246"/>
      <c r="H24" s="128"/>
      <c r="I24" s="128"/>
      <c r="J24" s="106"/>
    </row>
    <row r="25" spans="1:10" x14ac:dyDescent="0.3">
      <c r="A25" s="104"/>
      <c r="B25" s="111">
        <v>20</v>
      </c>
      <c r="C25" s="111"/>
      <c r="D25" s="244"/>
      <c r="E25" s="245"/>
      <c r="F25" s="128"/>
      <c r="G25" s="246"/>
      <c r="H25" s="128"/>
      <c r="I25" s="128"/>
      <c r="J25" s="106"/>
    </row>
    <row r="26" spans="1:10" s="25" customFormat="1" ht="8.5" thickBot="1" x14ac:dyDescent="0.25">
      <c r="A26" s="21"/>
      <c r="B26" s="22"/>
      <c r="C26" s="22"/>
      <c r="D26" s="22"/>
      <c r="E26" s="22"/>
      <c r="F26" s="22"/>
      <c r="G26" s="22"/>
      <c r="H26" s="22"/>
      <c r="I26" s="22"/>
      <c r="J26" s="23"/>
    </row>
    <row r="27" spans="1:10" ht="50.5" customHeight="1" thickBot="1" x14ac:dyDescent="1.05">
      <c r="A27" s="119"/>
      <c r="B27" s="407" t="s">
        <v>795</v>
      </c>
      <c r="C27" s="407"/>
      <c r="D27" s="407"/>
      <c r="E27" s="407"/>
      <c r="F27" s="407"/>
      <c r="G27" s="407"/>
      <c r="H27" s="407"/>
      <c r="I27" s="407"/>
      <c r="J27" s="120"/>
    </row>
  </sheetData>
  <mergeCells count="4">
    <mergeCell ref="A1:J1"/>
    <mergeCell ref="B2:I2"/>
    <mergeCell ref="B27:I27"/>
    <mergeCell ref="L2:R5"/>
  </mergeCells>
  <printOptions horizontalCentered="1"/>
  <pageMargins left="0.70866141732283472" right="0.70866141732283472" top="0.9055118110236221" bottom="0.78740157480314965" header="0.31496062992125984" footer="0.31496062992125984"/>
  <pageSetup paperSize="9" scale="56" fitToHeight="0"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drawing r:id="rId2"/>
  <legacyDrawing r:id="rId3"/>
  <legacyDrawingHF r:id="rId4"/>
  <controls>
    <mc:AlternateContent xmlns:mc="http://schemas.openxmlformats.org/markup-compatibility/2006">
      <mc:Choice Requires="x14">
        <control shapeId="11265" r:id="rId5" name="Button_LOP_Erstellen">
          <controlPr defaultSize="0" print="0" autoLine="0" r:id="rId6">
            <anchor moveWithCells="1">
              <from>
                <xdr:col>11</xdr:col>
                <xdr:colOff>387350</xdr:colOff>
                <xdr:row>4</xdr:row>
                <xdr:rowOff>107950</xdr:rowOff>
              </from>
              <to>
                <xdr:col>14</xdr:col>
                <xdr:colOff>31750</xdr:colOff>
                <xdr:row>4</xdr:row>
                <xdr:rowOff>400050</xdr:rowOff>
              </to>
            </anchor>
          </controlPr>
        </control>
      </mc:Choice>
      <mc:Fallback>
        <control shapeId="11265" r:id="rId5" name="Button_LOP_Erstellen"/>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pageSetUpPr fitToPage="1"/>
  </sheetPr>
  <dimension ref="A1:E56"/>
  <sheetViews>
    <sheetView workbookViewId="0">
      <selection activeCell="B3" sqref="B3"/>
    </sheetView>
  </sheetViews>
  <sheetFormatPr defaultColWidth="11" defaultRowHeight="14" x14ac:dyDescent="0.3"/>
  <cols>
    <col min="1" max="1" width="2.58203125" style="101" customWidth="1"/>
    <col min="2" max="2" width="100.75" style="101" customWidth="1"/>
    <col min="3" max="3" width="2.58203125" style="101" customWidth="1"/>
    <col min="4" max="16384" width="11" style="101"/>
  </cols>
  <sheetData>
    <row r="1" spans="1:5" ht="35.5" thickBot="1" x14ac:dyDescent="0.75">
      <c r="A1" s="379" t="str">
        <f>CONCATENATE("Internal remarks on the ",RIGHT(Datasheet!A1,LEN(Datasheet!A1)-12))</f>
        <v>Internal remarks on the logistic process inspection</v>
      </c>
      <c r="B1" s="379"/>
      <c r="C1" s="379"/>
      <c r="E1" s="65"/>
    </row>
    <row r="2" spans="1:5" ht="26" thickBot="1" x14ac:dyDescent="0.6">
      <c r="A2" s="119"/>
      <c r="B2" s="129" t="str">
        <f>CONCATENATE(RIGHT(Datasheet!A1,LEN(Datasheet!A1)-12)," - ",TEXT(Datasheet!C4,"MMMMTT, JJJJ")," (", Datasheet!C8,")")</f>
        <v>logistic process inspection - JulyTT, JJJJ (Changchun Engley Automobile Industry)</v>
      </c>
      <c r="C2" s="130"/>
    </row>
    <row r="3" spans="1:5" s="25" customFormat="1" ht="8" x14ac:dyDescent="0.2">
      <c r="A3" s="50"/>
      <c r="B3" s="51"/>
      <c r="C3" s="52"/>
    </row>
    <row r="4" spans="1:5" x14ac:dyDescent="0.3">
      <c r="A4" s="104"/>
      <c r="B4" s="105"/>
      <c r="C4" s="106"/>
    </row>
    <row r="5" spans="1:5" x14ac:dyDescent="0.3">
      <c r="A5" s="104"/>
      <c r="B5" s="105"/>
      <c r="C5" s="106"/>
    </row>
    <row r="6" spans="1:5" x14ac:dyDescent="0.3">
      <c r="A6" s="104"/>
      <c r="B6" s="105"/>
      <c r="C6" s="106"/>
    </row>
    <row r="7" spans="1:5" x14ac:dyDescent="0.3">
      <c r="A7" s="104"/>
      <c r="B7" s="105"/>
      <c r="C7" s="106"/>
    </row>
    <row r="8" spans="1:5" x14ac:dyDescent="0.3">
      <c r="A8" s="104"/>
      <c r="B8" s="105"/>
      <c r="C8" s="106"/>
    </row>
    <row r="9" spans="1:5" x14ac:dyDescent="0.3">
      <c r="A9" s="104"/>
      <c r="B9" s="105"/>
      <c r="C9" s="106"/>
    </row>
    <row r="10" spans="1:5" x14ac:dyDescent="0.3">
      <c r="A10" s="104"/>
      <c r="B10" s="105"/>
      <c r="C10" s="106"/>
    </row>
    <row r="11" spans="1:5" x14ac:dyDescent="0.3">
      <c r="A11" s="104"/>
      <c r="B11" s="105"/>
      <c r="C11" s="106"/>
    </row>
    <row r="12" spans="1:5" x14ac:dyDescent="0.3">
      <c r="A12" s="104"/>
      <c r="B12" s="105"/>
      <c r="C12" s="106"/>
    </row>
    <row r="13" spans="1:5" x14ac:dyDescent="0.3">
      <c r="A13" s="104"/>
      <c r="B13" s="105"/>
      <c r="C13" s="106"/>
    </row>
    <row r="14" spans="1:5" x14ac:dyDescent="0.3">
      <c r="A14" s="104"/>
      <c r="B14" s="105"/>
      <c r="C14" s="106"/>
    </row>
    <row r="15" spans="1:5" x14ac:dyDescent="0.3">
      <c r="A15" s="104"/>
      <c r="B15" s="105"/>
      <c r="C15" s="106"/>
    </row>
    <row r="16" spans="1:5" x14ac:dyDescent="0.3">
      <c r="A16" s="104"/>
      <c r="B16" s="105"/>
      <c r="C16" s="106"/>
    </row>
    <row r="17" spans="1:3" x14ac:dyDescent="0.3">
      <c r="A17" s="104"/>
      <c r="B17" s="105"/>
      <c r="C17" s="106"/>
    </row>
    <row r="18" spans="1:3" x14ac:dyDescent="0.3">
      <c r="A18" s="104"/>
      <c r="B18" s="105"/>
      <c r="C18" s="106"/>
    </row>
    <row r="19" spans="1:3" x14ac:dyDescent="0.3">
      <c r="A19" s="104"/>
      <c r="B19" s="105"/>
      <c r="C19" s="106"/>
    </row>
    <row r="20" spans="1:3" x14ac:dyDescent="0.3">
      <c r="A20" s="104"/>
      <c r="B20" s="105"/>
      <c r="C20" s="106"/>
    </row>
    <row r="21" spans="1:3" x14ac:dyDescent="0.3">
      <c r="A21" s="104"/>
      <c r="B21" s="105"/>
      <c r="C21" s="106"/>
    </row>
    <row r="22" spans="1:3" x14ac:dyDescent="0.3">
      <c r="A22" s="104"/>
      <c r="B22" s="105"/>
      <c r="C22" s="106"/>
    </row>
    <row r="23" spans="1:3" x14ac:dyDescent="0.3">
      <c r="A23" s="104"/>
      <c r="B23" s="105"/>
      <c r="C23" s="106"/>
    </row>
    <row r="24" spans="1:3" x14ac:dyDescent="0.3">
      <c r="A24" s="104"/>
      <c r="B24" s="105"/>
      <c r="C24" s="106"/>
    </row>
    <row r="25" spans="1:3" x14ac:dyDescent="0.3">
      <c r="A25" s="104"/>
      <c r="B25" s="105"/>
      <c r="C25" s="106"/>
    </row>
    <row r="26" spans="1:3" x14ac:dyDescent="0.3">
      <c r="A26" s="104"/>
      <c r="B26" s="105"/>
      <c r="C26" s="106"/>
    </row>
    <row r="27" spans="1:3" x14ac:dyDescent="0.3">
      <c r="A27" s="104"/>
      <c r="B27" s="105"/>
      <c r="C27" s="106"/>
    </row>
    <row r="28" spans="1:3" x14ac:dyDescent="0.3">
      <c r="A28" s="104"/>
      <c r="B28" s="105"/>
      <c r="C28" s="106"/>
    </row>
    <row r="29" spans="1:3" x14ac:dyDescent="0.3">
      <c r="A29" s="104"/>
      <c r="B29" s="105"/>
      <c r="C29" s="106"/>
    </row>
    <row r="30" spans="1:3" x14ac:dyDescent="0.3">
      <c r="A30" s="104"/>
      <c r="B30" s="105"/>
      <c r="C30" s="106"/>
    </row>
    <row r="31" spans="1:3" x14ac:dyDescent="0.3">
      <c r="A31" s="104"/>
      <c r="B31" s="105"/>
      <c r="C31" s="106"/>
    </row>
    <row r="32" spans="1:3" x14ac:dyDescent="0.3">
      <c r="A32" s="104"/>
      <c r="B32" s="105"/>
      <c r="C32" s="106"/>
    </row>
    <row r="33" spans="1:3" x14ac:dyDescent="0.3">
      <c r="A33" s="104"/>
      <c r="B33" s="105"/>
      <c r="C33" s="106"/>
    </row>
    <row r="34" spans="1:3" x14ac:dyDescent="0.3">
      <c r="A34" s="104"/>
      <c r="B34" s="105"/>
      <c r="C34" s="106"/>
    </row>
    <row r="35" spans="1:3" x14ac:dyDescent="0.3">
      <c r="A35" s="104"/>
      <c r="B35" s="105"/>
      <c r="C35" s="106"/>
    </row>
    <row r="36" spans="1:3" x14ac:dyDescent="0.3">
      <c r="A36" s="104"/>
      <c r="B36" s="105"/>
      <c r="C36" s="106"/>
    </row>
    <row r="37" spans="1:3" x14ac:dyDescent="0.3">
      <c r="A37" s="104"/>
      <c r="B37" s="105"/>
      <c r="C37" s="106"/>
    </row>
    <row r="38" spans="1:3" x14ac:dyDescent="0.3">
      <c r="A38" s="104"/>
      <c r="B38" s="105"/>
      <c r="C38" s="106"/>
    </row>
    <row r="39" spans="1:3" x14ac:dyDescent="0.3">
      <c r="A39" s="104"/>
      <c r="B39" s="105"/>
      <c r="C39" s="106"/>
    </row>
    <row r="40" spans="1:3" x14ac:dyDescent="0.3">
      <c r="A40" s="104"/>
      <c r="B40" s="105"/>
      <c r="C40" s="106"/>
    </row>
    <row r="41" spans="1:3" x14ac:dyDescent="0.3">
      <c r="A41" s="104"/>
      <c r="B41" s="105"/>
      <c r="C41" s="106"/>
    </row>
    <row r="42" spans="1:3" x14ac:dyDescent="0.3">
      <c r="A42" s="104"/>
      <c r="B42" s="105"/>
      <c r="C42" s="106"/>
    </row>
    <row r="43" spans="1:3" x14ac:dyDescent="0.3">
      <c r="A43" s="104"/>
      <c r="B43" s="105"/>
      <c r="C43" s="106"/>
    </row>
    <row r="44" spans="1:3" x14ac:dyDescent="0.3">
      <c r="A44" s="104"/>
      <c r="B44" s="105"/>
      <c r="C44" s="106"/>
    </row>
    <row r="45" spans="1:3" x14ac:dyDescent="0.3">
      <c r="A45" s="104"/>
      <c r="B45" s="105"/>
      <c r="C45" s="106"/>
    </row>
    <row r="46" spans="1:3" x14ac:dyDescent="0.3">
      <c r="A46" s="104"/>
      <c r="B46" s="105"/>
      <c r="C46" s="106"/>
    </row>
    <row r="47" spans="1:3" x14ac:dyDescent="0.3">
      <c r="A47" s="104"/>
      <c r="B47" s="105"/>
      <c r="C47" s="106"/>
    </row>
    <row r="48" spans="1:3" x14ac:dyDescent="0.3">
      <c r="A48" s="104"/>
      <c r="B48" s="105"/>
      <c r="C48" s="106"/>
    </row>
    <row r="49" spans="1:3" x14ac:dyDescent="0.3">
      <c r="A49" s="104"/>
      <c r="B49" s="105"/>
      <c r="C49" s="106"/>
    </row>
    <row r="50" spans="1:3" x14ac:dyDescent="0.3">
      <c r="A50" s="104"/>
      <c r="B50" s="105"/>
      <c r="C50" s="106"/>
    </row>
    <row r="51" spans="1:3" x14ac:dyDescent="0.3">
      <c r="A51" s="104"/>
      <c r="B51" s="105"/>
      <c r="C51" s="106"/>
    </row>
    <row r="52" spans="1:3" x14ac:dyDescent="0.3">
      <c r="A52" s="104"/>
      <c r="B52" s="105"/>
      <c r="C52" s="106"/>
    </row>
    <row r="53" spans="1:3" x14ac:dyDescent="0.3">
      <c r="A53" s="104"/>
      <c r="B53" s="105"/>
      <c r="C53" s="106"/>
    </row>
    <row r="54" spans="1:3" x14ac:dyDescent="0.3">
      <c r="A54" s="104"/>
      <c r="B54" s="105"/>
      <c r="C54" s="106"/>
    </row>
    <row r="55" spans="1:3" x14ac:dyDescent="0.3">
      <c r="A55" s="104"/>
      <c r="B55" s="105"/>
      <c r="C55" s="106"/>
    </row>
    <row r="56" spans="1:3" ht="14.5" thickBot="1" x14ac:dyDescent="0.35">
      <c r="A56" s="230"/>
      <c r="B56" s="231"/>
      <c r="C56" s="232"/>
    </row>
  </sheetData>
  <mergeCells count="1">
    <mergeCell ref="A1:C1"/>
  </mergeCells>
  <printOptions horizontalCentered="1"/>
  <pageMargins left="0.70866141732283472" right="0.70866141732283472" top="0.9055118110236221" bottom="0.78740157480314965" header="0.31496062992125984" footer="0.31496062992125984"/>
  <pageSetup paperSize="9" scale="75" orientation="portrait" r:id="rId1"/>
  <headerFooter>
    <oddHeader>&amp;L&amp;"Calibri"&amp;10&amp;K000000 INTERNAL&amp;1#_x000D_&amp;"Arial"&amp;11&amp;K000000&amp;"Audi Type,Fett"Logistische Lieferantenbewertung&amp;"Audi Type,Standard"
&amp;A&amp;R&amp;G</oddHeader>
    <oddFooter>&amp;L&amp;"Audi Type,Standard"&amp;8&amp;F&amp;C&amp;"Audi Type,Standard"&amp;8&amp;P von &amp;N&amp;R&amp;"Audi Type,Standard"&amp;8Audi AG - &amp;D</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D23330424D394493F137905A364A73" ma:contentTypeVersion="2" ma:contentTypeDescription="Create a new document." ma:contentTypeScope="" ma:versionID="de37702c4b2e8ceae92d5addcabecae3">
  <xsd:schema xmlns:xsd="http://www.w3.org/2001/XMLSchema" xmlns:xs="http://www.w3.org/2001/XMLSchema" xmlns:p="http://schemas.microsoft.com/office/2006/metadata/properties" xmlns:ns2="ae8d9e37-08f8-4287-a5f9-b0adea8c47a9" targetNamespace="http://schemas.microsoft.com/office/2006/metadata/properties" ma:root="true" ma:fieldsID="b10d0e269f37a0e3a0435111c3f7c0be" ns2:_="">
    <xsd:import namespace="ae8d9e37-08f8-4287-a5f9-b0adea8c47a9"/>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8d9e37-08f8-4287-a5f9-b0adea8c47a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45019BA-7A89-433E-826D-F19EB48895AC}">
  <ds:schemaRefs>
    <ds:schemaRef ds:uri="http://schemas.microsoft.com/sharepoint/v3/contenttype/forms"/>
  </ds:schemaRefs>
</ds:datastoreItem>
</file>

<file path=customXml/itemProps2.xml><?xml version="1.0" encoding="utf-8"?>
<ds:datastoreItem xmlns:ds="http://schemas.openxmlformats.org/officeDocument/2006/customXml" ds:itemID="{3B745CBA-0E1A-40AD-A57D-AE1C85095D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e8d9e37-08f8-4287-a5f9-b0adea8c47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0642A0-7F86-4F05-A42E-DBE369793894}">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b0ff92c5-92ff-43fe-a760-6a9303f9073d}" enabled="1" method="Standard" siteId="{1272ef7d-0a4c-4c35-8f4b-416e283c5d59}" contentBits="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14</vt:i4>
      </vt:variant>
      <vt:variant>
        <vt:lpstr>命名范围</vt:lpstr>
      </vt:variant>
      <vt:variant>
        <vt:i4>26</vt:i4>
      </vt:variant>
    </vt:vector>
  </HeadingPairs>
  <TitlesOfParts>
    <vt:vector size="40" baseType="lpstr">
      <vt:lpstr>Datasheet</vt:lpstr>
      <vt:lpstr>Datenquelle</vt:lpstr>
      <vt:lpstr>Remarks</vt:lpstr>
      <vt:lpstr>Evaluationsheet</vt:lpstr>
      <vt:lpstr>(1) Projectmanagement</vt:lpstr>
      <vt:lpstr>(2) Order admin &amp; planning</vt:lpstr>
      <vt:lpstr>(3) Basic mat., supplier, capa.</vt:lpstr>
      <vt:lpstr>(4) Goods receipt, warehouse</vt:lpstr>
      <vt:lpstr>(5) Production</vt:lpstr>
      <vt:lpstr>(6) Shipment</vt:lpstr>
      <vt:lpstr>(7) Logistic setup</vt:lpstr>
      <vt:lpstr>Radar chart</vt:lpstr>
      <vt:lpstr>LOP</vt:lpstr>
      <vt:lpstr>Text</vt:lpstr>
      <vt:lpstr>A_min</vt:lpstr>
      <vt:lpstr>B_min</vt:lpstr>
      <vt:lpstr>bedingterfuellt</vt:lpstr>
      <vt:lpstr>erfuellt</vt:lpstr>
      <vt:lpstr>Ergebnis</vt:lpstr>
      <vt:lpstr>Max_Nichtantworten</vt:lpstr>
      <vt:lpstr>nichterfuellt</vt:lpstr>
      <vt:lpstr>'(1) Projectmanagement'!Print_Area</vt:lpstr>
      <vt:lpstr>'(2) Order admin &amp; planning'!Print_Area</vt:lpstr>
      <vt:lpstr>'(3) Basic mat., supplier, capa.'!Print_Area</vt:lpstr>
      <vt:lpstr>'(4) Goods receipt, warehouse'!Print_Area</vt:lpstr>
      <vt:lpstr>'(5) Production'!Print_Area</vt:lpstr>
      <vt:lpstr>'(6) Shipment'!Print_Area</vt:lpstr>
      <vt:lpstr>'(7) Logistic setup'!Print_Area</vt:lpstr>
      <vt:lpstr>Datasheet!Print_Area</vt:lpstr>
      <vt:lpstr>Evaluationsheet!Print_Area</vt:lpstr>
      <vt:lpstr>LOP!Print_Area</vt:lpstr>
      <vt:lpstr>'Radar chart'!Print_Area</vt:lpstr>
      <vt:lpstr>Remarks!Print_Area</vt:lpstr>
      <vt:lpstr>Text!Print_Area</vt:lpstr>
      <vt:lpstr>'(2) Order admin &amp; planning'!Print_Titles</vt:lpstr>
      <vt:lpstr>'(6) Shipment'!Print_Titles</vt:lpstr>
      <vt:lpstr>LOP!Print_Titles</vt:lpstr>
      <vt:lpstr>Remarks!Print_Titles</vt:lpstr>
      <vt:lpstr>Text!Print_Titles</vt:lpstr>
      <vt:lpstr>Schrittweite</vt:lpstr>
    </vt:vector>
  </TitlesOfParts>
  <Manager/>
  <Company>AUDI AG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Audit Checkliste</dc:title>
  <dc:subject/>
  <dc:creator>Floesser, Philipp (N/PL-72)</dc:creator>
  <cp:keywords/>
  <dc:description/>
  <cp:lastModifiedBy>Li, Jiajun (C/OP)</cp:lastModifiedBy>
  <cp:revision/>
  <dcterms:created xsi:type="dcterms:W3CDTF">2008-04-16T07:43:33Z</dcterms:created>
  <dcterms:modified xsi:type="dcterms:W3CDTF">2026-07-07T08:52:42Z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6b84135-ab90-4b03-a415-784f8f15a7f1_Enabled">
    <vt:lpwstr>True</vt:lpwstr>
  </property>
  <property fmtid="{D5CDD505-2E9C-101B-9397-08002B2CF9AE}" pid="3" name="MSIP_Label_a6b84135-ab90-4b03-a415-784f8f15a7f1_SiteId">
    <vt:lpwstr>2882be50-2012-4d88-ac86-544124e120c8</vt:lpwstr>
  </property>
  <property fmtid="{D5CDD505-2E9C-101B-9397-08002B2CF9AE}" pid="4" name="MSIP_Label_a6b84135-ab90-4b03-a415-784f8f15a7f1_Owner">
    <vt:lpwstr>philipp.floesser@audi.de</vt:lpwstr>
  </property>
  <property fmtid="{D5CDD505-2E9C-101B-9397-08002B2CF9AE}" pid="5" name="MSIP_Label_a6b84135-ab90-4b03-a415-784f8f15a7f1_SetDate">
    <vt:lpwstr>2020-06-05T08:40:04.7198780Z</vt:lpwstr>
  </property>
  <property fmtid="{D5CDD505-2E9C-101B-9397-08002B2CF9AE}" pid="6" name="MSIP_Label_a6b84135-ab90-4b03-a415-784f8f15a7f1_Name">
    <vt:lpwstr>Public</vt:lpwstr>
  </property>
  <property fmtid="{D5CDD505-2E9C-101B-9397-08002B2CF9AE}" pid="7" name="MSIP_Label_a6b84135-ab90-4b03-a415-784f8f15a7f1_Application">
    <vt:lpwstr>Microsoft Azure Information Protection</vt:lpwstr>
  </property>
  <property fmtid="{D5CDD505-2E9C-101B-9397-08002B2CF9AE}" pid="8" name="MSIP_Label_a6b84135-ab90-4b03-a415-784f8f15a7f1_Extended_MSFT_Method">
    <vt:lpwstr>Manual</vt:lpwstr>
  </property>
  <property fmtid="{D5CDD505-2E9C-101B-9397-08002B2CF9AE}" pid="9" name="Sensitivity">
    <vt:lpwstr>Public</vt:lpwstr>
  </property>
  <property fmtid="{D5CDD505-2E9C-101B-9397-08002B2CF9AE}" pid="10" name="ContentTypeId">
    <vt:lpwstr>0x010100A8D23330424D394493F137905A364A73</vt:lpwstr>
  </property>
</Properties>
</file>