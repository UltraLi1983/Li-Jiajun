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C:\Users\V87EAAE\Desktop\VDA 6.8 Logistik Audit\20260213_Supply_Chain_Audit_Distribution_Center_VDA 6.8_EN\"/>
    </mc:Choice>
  </mc:AlternateContent>
  <xr:revisionPtr revIDLastSave="0" documentId="13_ncr:1_{757C4A17-136E-4834-B50C-8EDC689A2561}" xr6:coauthVersionLast="47" xr6:coauthVersionMax="47" xr10:uidLastSave="{00000000-0000-0000-0000-000000000000}"/>
  <bookViews>
    <workbookView xWindow="-120" yWindow="-120" windowWidth="29040" windowHeight="17520" firstSheet="1" activeTab="1" xr2:uid="{43559E81-FE22-4AEF-8820-76253075D8AF}"/>
  </bookViews>
  <sheets>
    <sheet name="Source" sheetId="3" state="hidden" r:id="rId1"/>
    <sheet name="Datasheet" sheetId="6" r:id="rId2"/>
    <sheet name="Evaluationsheet" sheetId="15" r:id="rId3"/>
    <sheet name="L1 - Project management" sheetId="5" r:id="rId4"/>
    <sheet name="L2 - Planning" sheetId="8" r:id="rId5"/>
    <sheet name="L4 - Procurement logistics" sheetId="11" r:id="rId6"/>
    <sheet name="L5 - Transport logistics" sheetId="12" r:id="rId7"/>
    <sheet name="L6 -  In-house logistics" sheetId="14" r:id="rId8"/>
    <sheet name="L7 - Customer management" sheetId="13" r:id="rId9"/>
    <sheet name="Remarks" sheetId="16" r:id="rId10"/>
    <sheet name="LOP" sheetId="17" r:id="rId11"/>
  </sheets>
  <functionGroups builtInGroupCount="19"/>
  <definedNames>
    <definedName name="A_min">0.9</definedName>
    <definedName name="B_min">0.8</definedName>
    <definedName name="BewertungsListe">Source!$B$60:$B$65</definedName>
    <definedName name="_xlnm.Print_Area" localSheetId="1">Datasheet!$A$1:$F$52</definedName>
    <definedName name="_xlnm.Print_Area" localSheetId="2">Evaluationsheet!$A$1:$H$76</definedName>
    <definedName name="_xlnm.Print_Area" localSheetId="3">'L1 - Project management'!$A$1:$G$23</definedName>
    <definedName name="_xlnm.Print_Area" localSheetId="4">'L2 - Planning'!$A$1:$G$22</definedName>
    <definedName name="_xlnm.Print_Area" localSheetId="5">'L4 - Procurement logistics'!$A$1:$G$28</definedName>
    <definedName name="_xlnm.Print_Area" localSheetId="6">'L5 - Transport logistics'!$A$1:$G$22</definedName>
    <definedName name="_xlnm.Print_Area" localSheetId="7">'L6 -  In-house logistics'!$A$1:$G$61</definedName>
    <definedName name="_xlnm.Print_Area" localSheetId="8">'L7 - Customer management'!$A$1:$G$19</definedName>
    <definedName name="_xlnm.Print_Area" localSheetId="10">LOP!$A$1:$J$27</definedName>
    <definedName name="_xlnm.Print_Area" localSheetId="9">Remarks!$A$1:$I$57</definedName>
    <definedName name="Schrittweit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 i="3" l="1"/>
  <c r="F26" i="14" l="1"/>
  <c r="F23" i="14"/>
  <c r="D30" i="15" l="1"/>
  <c r="D29" i="15"/>
  <c r="D9" i="15" l="1"/>
  <c r="F29" i="14"/>
  <c r="E41" i="15" s="1"/>
  <c r="E40" i="15"/>
  <c r="E39" i="15"/>
  <c r="F14" i="12"/>
  <c r="E29" i="15" s="1"/>
  <c r="F11" i="12"/>
  <c r="F8" i="12"/>
  <c r="F14" i="8"/>
  <c r="F11" i="8"/>
  <c r="E13" i="15" s="1"/>
  <c r="D20" i="15"/>
  <c r="G13" i="3" l="1"/>
  <c r="F41" i="16"/>
  <c r="G12" i="3"/>
  <c r="F40" i="16"/>
  <c r="G11" i="3"/>
  <c r="F39" i="16"/>
  <c r="E14" i="15"/>
  <c r="F14" i="16" s="1"/>
  <c r="F7" i="3"/>
  <c r="F29" i="16"/>
  <c r="C9" i="3"/>
  <c r="F13" i="16"/>
  <c r="E27" i="15"/>
  <c r="F27" i="16" s="1"/>
  <c r="E28" i="15"/>
  <c r="F28" i="16" s="1"/>
  <c r="C2" i="17"/>
  <c r="C10" i="3" l="1"/>
  <c r="F14" i="13"/>
  <c r="E55" i="15" s="1"/>
  <c r="F11" i="13" l="1"/>
  <c r="D56" i="15" l="1"/>
  <c r="D54" i="15"/>
  <c r="D53" i="15"/>
  <c r="D51" i="15"/>
  <c r="D50" i="15"/>
  <c r="D49" i="15"/>
  <c r="D48" i="15"/>
  <c r="D47" i="15"/>
  <c r="D46" i="15"/>
  <c r="D45" i="15"/>
  <c r="D44" i="15"/>
  <c r="D43" i="15"/>
  <c r="D42" i="15"/>
  <c r="D38" i="15"/>
  <c r="D37" i="15"/>
  <c r="D36" i="15"/>
  <c r="D35" i="15"/>
  <c r="D34" i="15"/>
  <c r="D33" i="15"/>
  <c r="D31" i="15"/>
  <c r="D26" i="15"/>
  <c r="D24" i="15"/>
  <c r="D23" i="15"/>
  <c r="D22" i="15"/>
  <c r="D21" i="15"/>
  <c r="D19" i="15"/>
  <c r="D18" i="15"/>
  <c r="D15" i="15" l="1"/>
  <c r="D16" i="15"/>
  <c r="D12" i="15"/>
  <c r="D11" i="15"/>
  <c r="D8" i="15"/>
  <c r="D7" i="15"/>
  <c r="D6" i="15"/>
  <c r="D5" i="15"/>
  <c r="F59" i="14" l="1"/>
  <c r="F56" i="14"/>
  <c r="E50" i="15" s="1"/>
  <c r="F50" i="16" s="1"/>
  <c r="F53" i="14"/>
  <c r="E49" i="15" s="1"/>
  <c r="F49" i="16" s="1"/>
  <c r="F50" i="14"/>
  <c r="E48" i="15" s="1"/>
  <c r="F48" i="16" s="1"/>
  <c r="F47" i="14"/>
  <c r="E47" i="15" s="1"/>
  <c r="F47" i="16" s="1"/>
  <c r="F44" i="14"/>
  <c r="E46" i="15" s="1"/>
  <c r="F46" i="16" s="1"/>
  <c r="F41" i="14"/>
  <c r="E45" i="15" s="1"/>
  <c r="F45" i="16" s="1"/>
  <c r="F38" i="14"/>
  <c r="E44" i="15" s="1"/>
  <c r="F44" i="16" s="1"/>
  <c r="F35" i="14"/>
  <c r="E43" i="15" s="1"/>
  <c r="F43" i="16" s="1"/>
  <c r="F32" i="14"/>
  <c r="E42" i="15" s="1"/>
  <c r="F42" i="16" s="1"/>
  <c r="F20" i="14"/>
  <c r="E37" i="15" s="1"/>
  <c r="F37" i="16" s="1"/>
  <c r="F17" i="14"/>
  <c r="E36" i="15" s="1"/>
  <c r="F36" i="16" s="1"/>
  <c r="F14" i="14"/>
  <c r="E35" i="15" s="1"/>
  <c r="F35" i="16" s="1"/>
  <c r="F11" i="14"/>
  <c r="E34" i="15" s="1"/>
  <c r="F8" i="14"/>
  <c r="F17" i="13"/>
  <c r="F55" i="16"/>
  <c r="E54" i="15"/>
  <c r="F8" i="13"/>
  <c r="F20" i="12"/>
  <c r="D22" i="12" s="1" a="1"/>
  <c r="D22" i="12" s="1"/>
  <c r="F17" i="12"/>
  <c r="F26" i="11"/>
  <c r="E24" i="15" s="1"/>
  <c r="F23" i="11"/>
  <c r="E23" i="15" s="1"/>
  <c r="F20" i="11"/>
  <c r="E22" i="15" s="1"/>
  <c r="F17" i="11"/>
  <c r="E21" i="15" s="1"/>
  <c r="F21" i="16" s="1"/>
  <c r="F14" i="11"/>
  <c r="E20" i="15" s="1"/>
  <c r="E8" i="3" s="1"/>
  <c r="F11" i="11"/>
  <c r="F8" i="11"/>
  <c r="E18" i="15" s="1"/>
  <c r="E7" i="3" s="1"/>
  <c r="F20" i="8"/>
  <c r="F17" i="8"/>
  <c r="E15" i="15" s="1"/>
  <c r="F8" i="8"/>
  <c r="E11" i="15" s="1"/>
  <c r="D28" i="11" l="1" a="1"/>
  <c r="D28" i="11" s="1"/>
  <c r="F28" i="11" s="1"/>
  <c r="D61" i="14" a="1"/>
  <c r="D61" i="14" s="1"/>
  <c r="F61" i="14" s="1"/>
  <c r="E51" i="15"/>
  <c r="E56" i="15"/>
  <c r="H9" i="3" s="1"/>
  <c r="D19" i="13" a="1"/>
  <c r="D19" i="13" s="1"/>
  <c r="E31" i="15"/>
  <c r="F31" i="16" s="1"/>
  <c r="F22" i="12"/>
  <c r="G14" i="3"/>
  <c r="F24" i="16"/>
  <c r="E13" i="3"/>
  <c r="E30" i="15"/>
  <c r="F34" i="16"/>
  <c r="D22" i="8" a="1"/>
  <c r="D22" i="8" s="1"/>
  <c r="F22" i="8" s="1"/>
  <c r="E53" i="15"/>
  <c r="E33" i="15"/>
  <c r="G16" i="3"/>
  <c r="G8" i="3"/>
  <c r="G17" i="3"/>
  <c r="G9" i="3"/>
  <c r="E12" i="3"/>
  <c r="F22" i="16"/>
  <c r="F23" i="16"/>
  <c r="F18" i="16"/>
  <c r="G10" i="3"/>
  <c r="G18" i="3"/>
  <c r="F20" i="16"/>
  <c r="C11" i="3"/>
  <c r="F15" i="16"/>
  <c r="C8" i="3"/>
  <c r="F11" i="16"/>
  <c r="H8" i="3"/>
  <c r="F54" i="16"/>
  <c r="E19" i="15"/>
  <c r="F19" i="16" s="1"/>
  <c r="E16" i="15"/>
  <c r="F8" i="3" l="1"/>
  <c r="F30" i="16"/>
  <c r="G19" i="3"/>
  <c r="F51" i="16"/>
  <c r="F56" i="16"/>
  <c r="F52" i="15"/>
  <c r="F19" i="13"/>
  <c r="G52" i="15" s="1"/>
  <c r="F9" i="3"/>
  <c r="G31" i="3"/>
  <c r="G17" i="15"/>
  <c r="G29" i="3"/>
  <c r="G10" i="15"/>
  <c r="F80" i="3"/>
  <c r="F84" i="3" s="1"/>
  <c r="F25" i="15"/>
  <c r="F53" i="16"/>
  <c r="H80" i="3"/>
  <c r="E80" i="3"/>
  <c r="E84" i="3" s="1"/>
  <c r="C80" i="3"/>
  <c r="C84" i="3" s="1"/>
  <c r="H7" i="3"/>
  <c r="G7" i="3"/>
  <c r="G80" i="3"/>
  <c r="G84" i="3" s="1"/>
  <c r="F33" i="16"/>
  <c r="F32" i="15"/>
  <c r="G32" i="15"/>
  <c r="G25" i="15"/>
  <c r="F10" i="15"/>
  <c r="F17" i="15"/>
  <c r="G34" i="3"/>
  <c r="G33" i="3"/>
  <c r="G32" i="3"/>
  <c r="C13" i="3"/>
  <c r="C24" i="3" s="1"/>
  <c r="F16" i="16"/>
  <c r="E32" i="15"/>
  <c r="E52" i="15"/>
  <c r="E25" i="15"/>
  <c r="E17" i="15"/>
  <c r="H31" i="3" s="1"/>
  <c r="E10" i="15"/>
  <c r="E17" i="6"/>
  <c r="F8" i="5"/>
  <c r="F20" i="5"/>
  <c r="E9" i="15" s="1"/>
  <c r="F9" i="16" s="1"/>
  <c r="H84" i="3" l="1"/>
  <c r="H24" i="3"/>
  <c r="D24" i="3"/>
  <c r="H33" i="3"/>
  <c r="F24" i="3"/>
  <c r="E24" i="3"/>
  <c r="G24" i="3"/>
  <c r="E5" i="15"/>
  <c r="H32" i="3"/>
  <c r="H5" i="3"/>
  <c r="G5" i="3"/>
  <c r="F5" i="3"/>
  <c r="C5" i="3"/>
  <c r="E5" i="3"/>
  <c r="H34" i="3"/>
  <c r="H29" i="3"/>
  <c r="F11" i="5"/>
  <c r="E6" i="15" s="1"/>
  <c r="B7" i="3" l="1"/>
  <c r="F5" i="16"/>
  <c r="B8" i="3"/>
  <c r="F6" i="16"/>
  <c r="F14" i="5"/>
  <c r="F17" i="5"/>
  <c r="D22" i="5" l="1" a="1"/>
  <c r="D22" i="5" s="1"/>
  <c r="F22" i="5" s="1"/>
  <c r="E7" i="15"/>
  <c r="E8" i="15"/>
  <c r="F8" i="16" s="1"/>
  <c r="F4" i="15" l="1"/>
  <c r="G4" i="15"/>
  <c r="B80" i="3"/>
  <c r="B84" i="3" s="1"/>
  <c r="F7" i="16"/>
  <c r="G28" i="3"/>
  <c r="B9" i="3"/>
  <c r="B32" i="3" s="1"/>
  <c r="E4" i="15"/>
  <c r="D29" i="3" s="1"/>
  <c r="B35" i="3" l="1"/>
  <c r="C35" i="3" s="1"/>
  <c r="F39" i="3"/>
  <c r="C39" i="3" s="1"/>
  <c r="B24" i="3"/>
  <c r="C32" i="3"/>
  <c r="B5" i="3"/>
  <c r="H28" i="3"/>
  <c r="B39" i="3" s="1" a="1"/>
  <c r="B39" i="3" s="1"/>
  <c r="E29" i="3"/>
  <c r="B45" i="3" s="1"/>
  <c r="C47" i="3" l="1"/>
  <c r="B47" i="3"/>
  <c r="B46" i="3"/>
  <c r="C46" i="3"/>
  <c r="G59" i="15"/>
  <c r="E35" i="6"/>
  <c r="C29" i="3"/>
  <c r="F33" i="3" l="1"/>
  <c r="C48" i="3"/>
  <c r="B48" i="3"/>
  <c r="F35" i="3" l="1"/>
  <c r="F62" i="15" s="1"/>
  <c r="C44" i="3"/>
  <c r="B44" i="3"/>
  <c r="F64" i="15" l="1"/>
  <c r="E32" i="6"/>
  <c r="E34" i="6" s="1"/>
  <c r="D48" i="3"/>
  <c r="D47" i="3"/>
  <c r="D46" i="3"/>
  <c r="D45" i="3"/>
  <c r="F45" i="3" s="1"/>
  <c r="F65" i="15" s="1"/>
  <c r="E48" i="3"/>
  <c r="E47" i="3"/>
  <c r="E46" i="3"/>
  <c r="F46" i="3" l="1"/>
  <c r="F66" i="15" s="1"/>
  <c r="F47" i="3"/>
  <c r="F67" i="15" s="1"/>
  <c r="F48" i="3"/>
  <c r="F68"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<sst xmlns="http://schemas.openxmlformats.org/spreadsheetml/2006/main" count="1304" uniqueCount="894">
  <si>
    <t>Datenblatt - Logistik Audit</t>
  </si>
  <si>
    <t>Datenblatt</t>
  </si>
  <si>
    <t>(1) Projektmanagement</t>
  </si>
  <si>
    <t>(2) Planung und Realisierung</t>
  </si>
  <si>
    <t>(3) Lieferanten- 
und Dienstleistermanagement</t>
  </si>
  <si>
    <t>(4) Beschaffungslogistik</t>
  </si>
  <si>
    <t>(5) Transportlogistik</t>
  </si>
  <si>
    <t>(6) Inhouse-Logistik</t>
  </si>
  <si>
    <t>(7) Kundenmanagement</t>
  </si>
  <si>
    <t>Land</t>
  </si>
  <si>
    <t>LKZ</t>
  </si>
  <si>
    <t>Please select…</t>
  </si>
  <si>
    <t xml:space="preserve"> </t>
  </si>
  <si>
    <t>Gesamt Ergebnis L1</t>
  </si>
  <si>
    <t>Gesamt Ergebnis L2</t>
  </si>
  <si>
    <t>Gesamt Ergebnis L3</t>
  </si>
  <si>
    <t>Gesamt Ergebnis L4</t>
  </si>
  <si>
    <t>Gesamt Ergebnis L5</t>
  </si>
  <si>
    <t>Gesamt Ergebnis L6</t>
  </si>
  <si>
    <t>Gesamt Ergebnis L7</t>
  </si>
  <si>
    <t>BE</t>
  </si>
  <si>
    <t>DE</t>
  </si>
  <si>
    <t>FR</t>
  </si>
  <si>
    <t>Anzahl 3</t>
  </si>
  <si>
    <t>UK</t>
  </si>
  <si>
    <t>IT</t>
  </si>
  <si>
    <t>NL</t>
  </si>
  <si>
    <t>AT</t>
  </si>
  <si>
    <t>PL</t>
  </si>
  <si>
    <t>RO</t>
  </si>
  <si>
    <t>SK</t>
  </si>
  <si>
    <t>ES</t>
  </si>
  <si>
    <t>CZ</t>
  </si>
  <si>
    <t>HU</t>
  </si>
  <si>
    <t>Afghanistan</t>
  </si>
  <si>
    <t>AF</t>
  </si>
  <si>
    <t>EG</t>
  </si>
  <si>
    <t>Nicht bewertet Fragen 
pro Modul</t>
  </si>
  <si>
    <t>AL</t>
  </si>
  <si>
    <t>DZ</t>
  </si>
  <si>
    <t>Andorra</t>
  </si>
  <si>
    <t>AD</t>
  </si>
  <si>
    <t>Angola</t>
  </si>
  <si>
    <t>AO</t>
  </si>
  <si>
    <t>Alle beantworte Fragen</t>
  </si>
  <si>
    <t>Bewertung aller beantworteter Fragen</t>
  </si>
  <si>
    <t>Anguilla</t>
  </si>
  <si>
    <t>AI</t>
  </si>
  <si>
    <t>Niedrigste Bewertung/Modul</t>
  </si>
  <si>
    <t>mindestens eine Frage mit 0</t>
  </si>
  <si>
    <t>AQ</t>
  </si>
  <si>
    <t>AG</t>
  </si>
  <si>
    <t>GQ</t>
  </si>
  <si>
    <t>Niedrigster Wert *Frage</t>
  </si>
  <si>
    <t>AR</t>
  </si>
  <si>
    <t>Gesamt Ergebnis nach Abstufungsregeln:</t>
  </si>
  <si>
    <t>AM</t>
  </si>
  <si>
    <t>Aruba</t>
  </si>
  <si>
    <t>AW</t>
  </si>
  <si>
    <t>Durchschnitt *Fragen</t>
  </si>
  <si>
    <t>AZ</t>
  </si>
  <si>
    <t>Gesamt Ergebnis nach Prüfung 2/3 Fragen</t>
  </si>
  <si>
    <t>ET</t>
  </si>
  <si>
    <t>AU</t>
  </si>
  <si>
    <t>Bahrain</t>
  </si>
  <si>
    <t>BH</t>
  </si>
  <si>
    <t>Gesamt Ergebnis Sternfragen</t>
  </si>
  <si>
    <t>Alle Sternfragen die nicht bewertet wurden:</t>
  </si>
  <si>
    <t>Bangladesh</t>
  </si>
  <si>
    <t>BD</t>
  </si>
  <si>
    <t>Barbados</t>
  </si>
  <si>
    <t>BB</t>
  </si>
  <si>
    <t>Belize</t>
  </si>
  <si>
    <t>BZ</t>
  </si>
  <si>
    <t>Benin</t>
  </si>
  <si>
    <t>BJ</t>
  </si>
  <si>
    <t>BM</t>
  </si>
  <si>
    <t>Bhutan</t>
  </si>
  <si>
    <t>BT</t>
  </si>
  <si>
    <t>Bewertungsschritte</t>
  </si>
  <si>
    <t>VW-Konzerntöchter:</t>
  </si>
  <si>
    <t>BUR</t>
  </si>
  <si>
    <t>Auswahl</t>
  </si>
  <si>
    <t>Punkte</t>
  </si>
  <si>
    <t>Symbol</t>
  </si>
  <si>
    <t>BO</t>
  </si>
  <si>
    <t xml:space="preserve">Volkswagen Pkw  </t>
  </si>
  <si>
    <t>BA</t>
  </si>
  <si>
    <t>met in full</t>
  </si>
  <si>
    <t>✅</t>
  </si>
  <si>
    <t xml:space="preserve">Audi  </t>
  </si>
  <si>
    <t>BV</t>
  </si>
  <si>
    <t>predominantly met</t>
  </si>
  <si>
    <t>✔</t>
  </si>
  <si>
    <t xml:space="preserve">SEAT  </t>
  </si>
  <si>
    <t>BR</t>
  </si>
  <si>
    <t>partially met</t>
  </si>
  <si>
    <t>⚠️</t>
  </si>
  <si>
    <t xml:space="preserve">Škoda  </t>
  </si>
  <si>
    <t>IO</t>
  </si>
  <si>
    <t>insufficiently met</t>
  </si>
  <si>
    <t>❌</t>
  </si>
  <si>
    <t xml:space="preserve">Porsche  </t>
  </si>
  <si>
    <t>Brunei</t>
  </si>
  <si>
    <t>BN</t>
  </si>
  <si>
    <t>not met</t>
  </si>
  <si>
    <t xml:space="preserve">Bentley  </t>
  </si>
  <si>
    <t>BG</t>
  </si>
  <si>
    <t>not evaluated</t>
  </si>
  <si>
    <t>n.e.</t>
  </si>
  <si>
    <t>⏳</t>
  </si>
  <si>
    <t xml:space="preserve">Bugatti  </t>
  </si>
  <si>
    <t>Burundi</t>
  </si>
  <si>
    <t>BI</t>
  </si>
  <si>
    <t xml:space="preserve">Lamborghini  </t>
  </si>
  <si>
    <t>China</t>
  </si>
  <si>
    <t>CN</t>
  </si>
  <si>
    <t xml:space="preserve">Ducati  </t>
  </si>
  <si>
    <t>Christmas Island</t>
  </si>
  <si>
    <t>CX</t>
  </si>
  <si>
    <t xml:space="preserve">Volkswagen Nutzfahrzeuge  </t>
  </si>
  <si>
    <t>CK</t>
  </si>
  <si>
    <t xml:space="preserve">MAN  </t>
  </si>
  <si>
    <t>Costa Rica</t>
  </si>
  <si>
    <t>CR</t>
  </si>
  <si>
    <t xml:space="preserve">Scania  </t>
  </si>
  <si>
    <t>DK</t>
  </si>
  <si>
    <t>Traton</t>
  </si>
  <si>
    <t>DJ</t>
  </si>
  <si>
    <t>DM</t>
  </si>
  <si>
    <t>DO</t>
  </si>
  <si>
    <t>Ecuador</t>
  </si>
  <si>
    <t>EC</t>
  </si>
  <si>
    <t>El Salvador</t>
  </si>
  <si>
    <t>SV</t>
  </si>
  <si>
    <t>CI</t>
  </si>
  <si>
    <t>mind</t>
  </si>
  <si>
    <t>Eritrea</t>
  </si>
  <si>
    <t>ER</t>
  </si>
  <si>
    <t>EE</t>
  </si>
  <si>
    <t>FK</t>
  </si>
  <si>
    <t>FO</t>
  </si>
  <si>
    <t>FJ</t>
  </si>
  <si>
    <t>FI</t>
  </si>
  <si>
    <t>GF</t>
  </si>
  <si>
    <t>PF</t>
  </si>
  <si>
    <t>TF</t>
  </si>
  <si>
    <t>GA</t>
  </si>
  <si>
    <t>Gambia</t>
  </si>
  <si>
    <t>GM</t>
  </si>
  <si>
    <t>GE</t>
  </si>
  <si>
    <t>Ghana</t>
  </si>
  <si>
    <t>GH</t>
  </si>
  <si>
    <t>Gibraltar</t>
  </si>
  <si>
    <t>GI</t>
  </si>
  <si>
    <t>Grenada</t>
  </si>
  <si>
    <t>GD</t>
  </si>
  <si>
    <t>GR ;)</t>
  </si>
  <si>
    <t>GL</t>
  </si>
  <si>
    <t>GB</t>
  </si>
  <si>
    <t>Guadeloupe</t>
  </si>
  <si>
    <t>GP</t>
  </si>
  <si>
    <t>Guam</t>
  </si>
  <si>
    <t>GU</t>
  </si>
  <si>
    <t>Guatemala</t>
  </si>
  <si>
    <t>GT</t>
  </si>
  <si>
    <t>Guinea</t>
  </si>
  <si>
    <t>GN</t>
  </si>
  <si>
    <t>GW</t>
  </si>
  <si>
    <t>Guyana</t>
  </si>
  <si>
    <t>GY</t>
  </si>
  <si>
    <t>Haiti</t>
  </si>
  <si>
    <t>HT</t>
  </si>
  <si>
    <t>HM</t>
  </si>
  <si>
    <t>Honduras</t>
  </si>
  <si>
    <t>HN</t>
  </si>
  <si>
    <t>Hong Kong</t>
  </si>
  <si>
    <t>HK</t>
  </si>
  <si>
    <t>IN</t>
  </si>
  <si>
    <t>ID</t>
  </si>
  <si>
    <t>IQ</t>
  </si>
  <si>
    <t>Iran</t>
  </si>
  <si>
    <t>IR</t>
  </si>
  <si>
    <t>IE</t>
  </si>
  <si>
    <t>IS</t>
  </si>
  <si>
    <t>Israel</t>
  </si>
  <si>
    <t>IL</t>
  </si>
  <si>
    <t>JM</t>
  </si>
  <si>
    <t>Japan</t>
  </si>
  <si>
    <t>JP</t>
  </si>
  <si>
    <t>YE</t>
  </si>
  <si>
    <t>JO</t>
  </si>
  <si>
    <t>YU</t>
  </si>
  <si>
    <t>KY</t>
  </si>
  <si>
    <t>KH</t>
  </si>
  <si>
    <t>CM</t>
  </si>
  <si>
    <t>CA</t>
  </si>
  <si>
    <t>CV</t>
  </si>
  <si>
    <t>KZ</t>
  </si>
  <si>
    <t>KE</t>
  </si>
  <si>
    <t>KG</t>
  </si>
  <si>
    <t>Kiribati</t>
  </si>
  <si>
    <t>KI</t>
  </si>
  <si>
    <t>CC</t>
  </si>
  <si>
    <t>CO</t>
  </si>
  <si>
    <t>KM</t>
  </si>
  <si>
    <t>CG</t>
  </si>
  <si>
    <t>CD</t>
  </si>
  <si>
    <t>HR</t>
  </si>
  <si>
    <t>CU</t>
  </si>
  <si>
    <t>Kuwait</t>
  </si>
  <si>
    <t>KW</t>
  </si>
  <si>
    <t>Laos</t>
  </si>
  <si>
    <t>LA</t>
  </si>
  <si>
    <t>Lesotho</t>
  </si>
  <si>
    <t>LS</t>
  </si>
  <si>
    <t>LV</t>
  </si>
  <si>
    <t>LB</t>
  </si>
  <si>
    <t>Liberia</t>
  </si>
  <si>
    <t>LR</t>
  </si>
  <si>
    <t>LY</t>
  </si>
  <si>
    <t>Liechtenstein</t>
  </si>
  <si>
    <t>LI</t>
  </si>
  <si>
    <t>LT</t>
  </si>
  <si>
    <t>LU</t>
  </si>
  <si>
    <t>MO</t>
  </si>
  <si>
    <t>MG</t>
  </si>
  <si>
    <t>Malawi</t>
  </si>
  <si>
    <t>MW</t>
  </si>
  <si>
    <t>Malaysia</t>
  </si>
  <si>
    <t>MY</t>
  </si>
  <si>
    <t>MV</t>
  </si>
  <si>
    <t>Mali</t>
  </si>
  <si>
    <t>ML</t>
  </si>
  <si>
    <t>Malta</t>
  </si>
  <si>
    <t>MT</t>
  </si>
  <si>
    <t>MP</t>
  </si>
  <si>
    <t>MA</t>
  </si>
  <si>
    <t>MH</t>
  </si>
  <si>
    <t>Martinique</t>
  </si>
  <si>
    <t>MQ</t>
  </si>
  <si>
    <t>MR</t>
  </si>
  <si>
    <t>Mauritius</t>
  </si>
  <si>
    <t>MU</t>
  </si>
  <si>
    <t>Mayotte</t>
  </si>
  <si>
    <t>YT</t>
  </si>
  <si>
    <t>MK</t>
  </si>
  <si>
    <t>MX</t>
  </si>
  <si>
    <t>FM</t>
  </si>
  <si>
    <t>MZ</t>
  </si>
  <si>
    <t>MD</t>
  </si>
  <si>
    <t>Monaco</t>
  </si>
  <si>
    <t>MC</t>
  </si>
  <si>
    <t>MN</t>
  </si>
  <si>
    <t>Montserrat</t>
  </si>
  <si>
    <t>MS</t>
  </si>
  <si>
    <t>Namibia</t>
  </si>
  <si>
    <t>NA</t>
  </si>
  <si>
    <t>Nauru</t>
  </si>
  <si>
    <t>NR</t>
  </si>
  <si>
    <t>Nepal</t>
  </si>
  <si>
    <t>NP</t>
  </si>
  <si>
    <t>NC</t>
  </si>
  <si>
    <t>NZ</t>
  </si>
  <si>
    <t>Nicaragua</t>
  </si>
  <si>
    <t>NI</t>
  </si>
  <si>
    <t>AN</t>
  </si>
  <si>
    <t>Niger</t>
  </si>
  <si>
    <t>NE</t>
  </si>
  <si>
    <t>Nigeria</t>
  </si>
  <si>
    <t>NG</t>
  </si>
  <si>
    <t>Niue</t>
  </si>
  <si>
    <t>NU</t>
  </si>
  <si>
    <t>KP</t>
  </si>
  <si>
    <t>NF</t>
  </si>
  <si>
    <t>NO</t>
  </si>
  <si>
    <t>Oman</t>
  </si>
  <si>
    <t>OM</t>
  </si>
  <si>
    <t>Pakistan</t>
  </si>
  <si>
    <t>PK</t>
  </si>
  <si>
    <t>PS</t>
  </si>
  <si>
    <t>Palau</t>
  </si>
  <si>
    <t>PW</t>
  </si>
  <si>
    <t>Panama</t>
  </si>
  <si>
    <t>PA</t>
  </si>
  <si>
    <t>PG</t>
  </si>
  <si>
    <t>Paraguay</t>
  </si>
  <si>
    <t>PY</t>
  </si>
  <si>
    <t>Peru</t>
  </si>
  <si>
    <t>PE</t>
  </si>
  <si>
    <t>PH</t>
  </si>
  <si>
    <t>Pitcairn</t>
  </si>
  <si>
    <t>PN</t>
  </si>
  <si>
    <t>Portugal</t>
  </si>
  <si>
    <t>PT</t>
  </si>
  <si>
    <t>Puerto Rico</t>
  </si>
  <si>
    <t>PR</t>
  </si>
  <si>
    <t>Qatar</t>
  </si>
  <si>
    <t>QA</t>
  </si>
  <si>
    <t>RE</t>
  </si>
  <si>
    <t>RW</t>
  </si>
  <si>
    <t>RU</t>
  </si>
  <si>
    <t>Saint Lucia</t>
  </si>
  <si>
    <t>LC</t>
  </si>
  <si>
    <t>ZM</t>
  </si>
  <si>
    <t>Samoa</t>
  </si>
  <si>
    <t>AS</t>
  </si>
  <si>
    <t>WS</t>
  </si>
  <si>
    <t>San Marino</t>
  </si>
  <si>
    <t>SM</t>
  </si>
  <si>
    <t>ST</t>
  </si>
  <si>
    <t>SA</t>
  </si>
  <si>
    <t>SE</t>
  </si>
  <si>
    <t>CH</t>
  </si>
  <si>
    <t>Senegal</t>
  </si>
  <si>
    <t>SN</t>
  </si>
  <si>
    <t>SRB</t>
  </si>
  <si>
    <t>SC</t>
  </si>
  <si>
    <t>Sierra Leone</t>
  </si>
  <si>
    <t>SL</t>
  </si>
  <si>
    <t>SG</t>
  </si>
  <si>
    <t>SI</t>
  </si>
  <si>
    <t>SB</t>
  </si>
  <si>
    <t>Somalia</t>
  </si>
  <si>
    <t>SO</t>
  </si>
  <si>
    <t>GS</t>
  </si>
  <si>
    <t>Sri Lanka</t>
  </si>
  <si>
    <t>LK</t>
  </si>
  <si>
    <t>SH</t>
  </si>
  <si>
    <t>KN</t>
  </si>
  <si>
    <t>PM</t>
  </si>
  <si>
    <t>VC</t>
  </si>
  <si>
    <t>KR</t>
  </si>
  <si>
    <t>ZA</t>
  </si>
  <si>
    <t>Sudan</t>
  </si>
  <si>
    <t>SD</t>
  </si>
  <si>
    <t>SR</t>
  </si>
  <si>
    <t>SJ</t>
  </si>
  <si>
    <t>SZ</t>
  </si>
  <si>
    <t>SY</t>
  </si>
  <si>
    <t>TJ</t>
  </si>
  <si>
    <t>Taiwan</t>
  </si>
  <si>
    <t>TW</t>
  </si>
  <si>
    <t>TZ</t>
  </si>
  <si>
    <t>Thailand</t>
  </si>
  <si>
    <t>TH</t>
  </si>
  <si>
    <t>Timor</t>
  </si>
  <si>
    <t>TP</t>
  </si>
  <si>
    <t>Togo</t>
  </si>
  <si>
    <t>TG</t>
  </si>
  <si>
    <t>Tokelau</t>
  </si>
  <si>
    <t>TK</t>
  </si>
  <si>
    <t>Tonga</t>
  </si>
  <si>
    <t>TO</t>
  </si>
  <si>
    <t>TT</t>
  </si>
  <si>
    <t>TD</t>
  </si>
  <si>
    <t>TN</t>
  </si>
  <si>
    <t>TR</t>
  </si>
  <si>
    <t>Turkmenistan</t>
  </si>
  <si>
    <t>TM</t>
  </si>
  <si>
    <t>TC</t>
  </si>
  <si>
    <t>Tuvalu</t>
  </si>
  <si>
    <t>TV</t>
  </si>
  <si>
    <t>Uganda</t>
  </si>
  <si>
    <t>UG</t>
  </si>
  <si>
    <t>Ukraine</t>
  </si>
  <si>
    <t>UA</t>
  </si>
  <si>
    <t>Uruguay</t>
  </si>
  <si>
    <t>UY</t>
  </si>
  <si>
    <t>UZ</t>
  </si>
  <si>
    <t>Vanuatu</t>
  </si>
  <si>
    <t>VU</t>
  </si>
  <si>
    <t>VA</t>
  </si>
  <si>
    <t>Venezuela</t>
  </si>
  <si>
    <t>VE</t>
  </si>
  <si>
    <t>AE</t>
  </si>
  <si>
    <t>US</t>
  </si>
  <si>
    <t>Vietnam</t>
  </si>
  <si>
    <t>VN</t>
  </si>
  <si>
    <t>VG</t>
  </si>
  <si>
    <t>VI</t>
  </si>
  <si>
    <t>WF</t>
  </si>
  <si>
    <t>BY</t>
  </si>
  <si>
    <t>EH</t>
  </si>
  <si>
    <t>CF</t>
  </si>
  <si>
    <t>Zimbabwe</t>
  </si>
  <si>
    <t>ZW</t>
  </si>
  <si>
    <t>CY</t>
  </si>
  <si>
    <t>made by strato</t>
  </si>
  <si>
    <t>General information</t>
  </si>
  <si>
    <t>Date of assessment:</t>
  </si>
  <si>
    <t>Reason for assessment:</t>
  </si>
  <si>
    <t>Part number:</t>
  </si>
  <si>
    <t>Part name:</t>
  </si>
  <si>
    <t>FS-/GS-number:</t>
  </si>
  <si>
    <t>Assessed supplier:</t>
  </si>
  <si>
    <t>Location</t>
  </si>
  <si>
    <t>Country:</t>
  </si>
  <si>
    <t>Address (zip, city, street, No.):</t>
  </si>
  <si>
    <t>Supplier number:</t>
  </si>
  <si>
    <t>DUNS-No.:</t>
  </si>
  <si>
    <t>Name of assessor:</t>
  </si>
  <si>
    <t>Department:</t>
  </si>
  <si>
    <t>Information about the supplier evaluation</t>
  </si>
  <si>
    <t>VW brand:</t>
  </si>
  <si>
    <t>Date of visit:</t>
  </si>
  <si>
    <t>OEM participants:</t>
  </si>
  <si>
    <t>Supplier participants:</t>
  </si>
  <si>
    <t>Information about the supplier</t>
  </si>
  <si>
    <t>Employees:</t>
  </si>
  <si>
    <t>Parent company:</t>
  </si>
  <si>
    <t>Other locations:</t>
  </si>
  <si>
    <t>References/
current supply relationships:</t>
  </si>
  <si>
    <t>Imprint</t>
  </si>
  <si>
    <t>Author:</t>
  </si>
  <si>
    <t>Version:</t>
  </si>
  <si>
    <t>No.</t>
  </si>
  <si>
    <t>Achieved points</t>
  </si>
  <si>
    <t>Max. Points</t>
  </si>
  <si>
    <t>Fulfillment (%)</t>
  </si>
  <si>
    <t xml:space="preserve"> Process element 1: Project management/strategy</t>
  </si>
  <si>
    <t>1.1</t>
  </si>
  <si>
    <t>*</t>
  </si>
  <si>
    <t>1.2</t>
  </si>
  <si>
    <t>1.3</t>
  </si>
  <si>
    <t>1.4</t>
  </si>
  <si>
    <t>1.5</t>
  </si>
  <si>
    <t>Process element 2: Planning of logistical processes</t>
  </si>
  <si>
    <t>2.1</t>
  </si>
  <si>
    <t>2.2</t>
  </si>
  <si>
    <t>2.3</t>
  </si>
  <si>
    <t>2.4</t>
  </si>
  <si>
    <t>Process element 4: Procurement logistics</t>
  </si>
  <si>
    <t>4.1</t>
  </si>
  <si>
    <t>4.2</t>
  </si>
  <si>
    <t>4.3</t>
  </si>
  <si>
    <t>4.4</t>
  </si>
  <si>
    <t>4.5</t>
  </si>
  <si>
    <t>4.6</t>
  </si>
  <si>
    <t>4.7</t>
  </si>
  <si>
    <t>Process element 5: Transport logistics</t>
  </si>
  <si>
    <t>5.1</t>
  </si>
  <si>
    <t>5.2</t>
  </si>
  <si>
    <t>5.3</t>
  </si>
  <si>
    <t>Process element 6: In-house-logistics</t>
  </si>
  <si>
    <t>6.1</t>
  </si>
  <si>
    <t>6.2</t>
  </si>
  <si>
    <t>6.3</t>
  </si>
  <si>
    <t>6.4</t>
  </si>
  <si>
    <t>6.5</t>
  </si>
  <si>
    <t>6.6</t>
  </si>
  <si>
    <t>6.7</t>
  </si>
  <si>
    <t>6.8</t>
  </si>
  <si>
    <t>6.9</t>
  </si>
  <si>
    <t>6.10</t>
  </si>
  <si>
    <t>6.11</t>
  </si>
  <si>
    <t>6.12</t>
  </si>
  <si>
    <t>6.13</t>
  </si>
  <si>
    <t>6.14</t>
  </si>
  <si>
    <t>6.15</t>
  </si>
  <si>
    <t>6.16</t>
  </si>
  <si>
    <t>Process element 7: Customer management</t>
  </si>
  <si>
    <t>7.1</t>
  </si>
  <si>
    <t>7.2</t>
  </si>
  <si>
    <t>7.3</t>
  </si>
  <si>
    <t>Is current delivery status identifiable at any time? (Customer specific question VW Group)</t>
  </si>
  <si>
    <t>7.4</t>
  </si>
  <si>
    <t xml:space="preserve">Total (Assessment-result):  </t>
  </si>
  <si>
    <t>Logistic-Rating</t>
  </si>
  <si>
    <t xml:space="preserve">Rating-classes     </t>
  </si>
  <si>
    <t xml:space="preserve">A : </t>
  </si>
  <si>
    <t xml:space="preserve">B : </t>
  </si>
  <si>
    <t>90% &gt; X</t>
  </si>
  <si>
    <t xml:space="preserve">C : </t>
  </si>
  <si>
    <t>*-question</t>
  </si>
  <si>
    <t>Example</t>
  </si>
  <si>
    <t>Evaluation</t>
  </si>
  <si>
    <t>Notes</t>
  </si>
  <si>
    <t>Are requirements integrated into project management and continuously taken into account? (1.1.1)</t>
  </si>
  <si>
    <t>▶️</t>
  </si>
  <si>
    <t>Has a project management (including a project organization) been established? (1.2.3)</t>
  </si>
  <si>
    <t>Has an escalation process, including coordinated communication, been established, and is it effectively implemented? (1.2.4)</t>
  </si>
  <si>
    <t>Are methods of risk analysis established at the start of the project phase, and are they implemented? (1.2.5)</t>
  </si>
  <si>
    <t>Are methods of continuous process improvement implemented? (1.5.4)</t>
  </si>
  <si>
    <t>1. The potential for improvement is continuously determined based on findings relating to quality, costs, and services.
2. A process for continuous improvement of performance capability is applied throughout the company and with all supply chain partners. 
3. Risk analyses are regularly updated.
4. Employees are motivated to submit suggestions for continuous improvement.</t>
  </si>
  <si>
    <t>Result process element 1:</t>
  </si>
  <si>
    <t>Is material master and material flow data defined in the planning process and continuously monitored? (2.2.3)</t>
  </si>
  <si>
    <t>Are the processes for in-house logistics, including packaging and container management, defined in planning, and are they continuously adjusted? (2.2.5)</t>
  </si>
  <si>
    <t>Are the necessary human resources available? (2.3.4)</t>
  </si>
  <si>
    <t xml:space="preserve">1. There is a staff schedule for all shifts. The staff schedule takes into account the required number of qualified employees.
2. Variations in the production volume are taken into account.
3. A set of absence management rules is in place for all activities.
4. All activities and roles are mapped in an organization chart or team structure.
5. A crisis management plan is defined.  
6. The responsible employees, including authority to give instructions, have been named. </t>
  </si>
  <si>
    <t>Are all processes from the process flow effectively/efficiently implemented, reviewed and communicated and available as results? (2.6.1)</t>
  </si>
  <si>
    <t>Result process element 2:</t>
  </si>
  <si>
    <t>max. Punkte: 10</t>
  </si>
  <si>
    <t>Have processes been established for ensuring that materials are supplied in accordance with demand? (4.2.1)</t>
  </si>
  <si>
    <t>Has a container management system been established in accordance with demand and capacity? (4.2.2)</t>
  </si>
  <si>
    <t>Have processes and concepts (inventory types) been defined for systematic inventory audits and analyses? (4.2.3)</t>
  </si>
  <si>
    <t>Has an escalation process, including coordinated communication, been established, and is it effectively implemented? (4.2.4)</t>
  </si>
  <si>
    <t xml:space="preserve"> Is there a suitable pervasive IT infrastructure? (4.4.2)</t>
  </si>
  <si>
    <t>Is the availability and corresponding use of the delivery schedule ensured with an EDI standard? (4.4.4)</t>
  </si>
  <si>
    <t>Are suitable KPIs available in procurement logistics, incl. realistic target values?  (4.5.1)</t>
  </si>
  <si>
    <t>Result process element 4:</t>
  </si>
  <si>
    <t>Are all relevant specifications for carrying out transports fully documented and included in instructions? (5.2.4)</t>
  </si>
  <si>
    <t>Is the cargo handled according to the requirements for transport? (5.2.1)</t>
  </si>
  <si>
    <t>1. Handling specifications for loading, unloading and transport are observed. 
2. A packaging concept (e.g. stackability) is taken into account and observed. 
3. A loading scheme is integrated and observed.</t>
  </si>
  <si>
    <t>Is there a suitable comprehensive emergency solution strategy? (5.4.1)</t>
  </si>
  <si>
    <t>1. In conjunction with process planning, emergency concepts for potential process issues should be devised which describe both the processes for performing the actual service processes during an emergency and the steps required in order to rectify the issue.
2. The implementation of the defined solutions is ensured and successfully tested and/or simulated. 
3. Required back-up solutions are determined, suitable, effective and are available when needed. 
4. Access to the emergency solution is ensured.
5. The IT emergency solutions are available based on planning.  
6. Escalation mechanisms are taken into account in the emergency solution.</t>
  </si>
  <si>
    <t>Result process element 5:</t>
  </si>
  <si>
    <t>Is the right order data prepared and processed in in-house logistics? (6.1.3)</t>
  </si>
  <si>
    <t>1. Master data is available. 
2. A quantity structure is provided. 
3. Forecast planning, incl. capacity planning is in place. 
4. Results from performance tests are taken into account.</t>
  </si>
  <si>
    <t>Are all relevant specifications for providing logistical services recorded and included in instructions? (6.2.1)</t>
  </si>
  <si>
    <t>Do the defined instructions contain the necessary checks? (6.2.3)</t>
  </si>
  <si>
    <t>Are potentially faulty and/or faulty goods or logistical processes identified and measures taken? (6.2.4)</t>
  </si>
  <si>
    <t>Have processes been established for controlling and monitoring the material flow? (6.2.6)</t>
  </si>
  <si>
    <t>Has a process been defined for continuous warehouse optimization, and are suitable optimization measures implemented? (6.2.8)</t>
  </si>
  <si>
    <t>Are the materials stored/handled appropriately in order to preserve the product characteristics? (6.2.9)</t>
  </si>
  <si>
    <t>Is there a suitable comprehensive emergency solution strategy? (6.4.1)</t>
  </si>
  <si>
    <t>Is there a suitable pervasive IT infrastructure? (6.4.2)</t>
  </si>
  <si>
    <t>Are the workstations set up in accordance with ergonomic, product-specific and safety principles? (6.4.3)</t>
  </si>
  <si>
    <t>1. Availability is ensured as of the start of work.
2. Individual needs and physical requirements are taken into account.
3. Statutory, regulatory and company specifications are implemented. 
4. The workplace helps maintain the product-specific properties. 
5. ESD requirements for workplaces are defined. 
6. Technical aids are available and are used. 
7. Personal protective equipment is available and is used.</t>
  </si>
  <si>
    <t>Is the logistical infrastructure capable of meeting the product and process-specific requirements? (6.4.4)</t>
  </si>
  <si>
    <t>Is the equipment available at the right location and in the right time, quantity and quality? (6.4.5)</t>
  </si>
  <si>
    <t>Is the availability of infrastructure and equipment ensured? (6.4.6)</t>
  </si>
  <si>
    <t>1. Maintenance intervals are observed, and substitute procurements are initiated in good time.
2. Suitable tools are available for proper maintenance.
3. Scheduled and unscheduled maintenance activities are performed and analyzed for potential improvements
4. Faulty or potentially faulty infrastructure and operating equipment is identified, labeled, separated if necessary and reported to maintenance.
5. Preventive and predictive maintenance activities are implemented systematically.
6. Resources are available for the performance of maintenance.</t>
  </si>
  <si>
    <t>Have suitable KPIs been defined in in-house logistics, including target values, and are they applied? (6.5.1)</t>
  </si>
  <si>
    <t>Result process element 6:</t>
  </si>
  <si>
    <t>Are all relevant specifications for customer management recorded and included in instructions? (7.2.1)</t>
  </si>
  <si>
    <t>1. Current delivery status identifiable at any time
2. Transparency of available stocks and plannend production quantities and schedule
3. Delivery backlogs identified promptly; customer information and implemeniation of remedial actions
4. Tracking of cumulative delivered quantity</t>
  </si>
  <si>
    <t>• Tracking of unsufficient stock level
• Cumulative delivered quantity
• Immediate demand
• Customer information
• Escalation
• Production quantities and schedule</t>
  </si>
  <si>
    <t>Result process element 7:</t>
  </si>
  <si>
    <t>No. VDA</t>
  </si>
  <si>
    <t>Question</t>
  </si>
  <si>
    <t>Remarks</t>
  </si>
  <si>
    <t>Process element 1 - Project management/strategy</t>
  </si>
  <si>
    <t>1.1.1</t>
  </si>
  <si>
    <t>🔙</t>
  </si>
  <si>
    <t>1.2.3</t>
  </si>
  <si>
    <t>1.2.4</t>
  </si>
  <si>
    <t>1.2.5</t>
  </si>
  <si>
    <t>1.5.4</t>
  </si>
  <si>
    <t>Process element 2 - Planning of logistical processes</t>
  </si>
  <si>
    <t>2.2.3</t>
  </si>
  <si>
    <t>2.2.5</t>
  </si>
  <si>
    <t>2.3.4</t>
  </si>
  <si>
    <t>2.6.1</t>
  </si>
  <si>
    <t>Process element 4 - Procurement logistics</t>
  </si>
  <si>
    <t>4.2.1</t>
  </si>
  <si>
    <t>4.2.2</t>
  </si>
  <si>
    <t>4.2.4</t>
  </si>
  <si>
    <t>4.4.2</t>
  </si>
  <si>
    <t>4.4.4</t>
  </si>
  <si>
    <t>4.5.1</t>
  </si>
  <si>
    <t>Process element 5 - Transport logistics</t>
  </si>
  <si>
    <t>5.2.4</t>
  </si>
  <si>
    <t>5.2.1</t>
  </si>
  <si>
    <t>5.4.1</t>
  </si>
  <si>
    <t>Process element 6 - In-house-logistics</t>
  </si>
  <si>
    <t>6.1.3</t>
  </si>
  <si>
    <t>6.2.1</t>
  </si>
  <si>
    <t>6.2.3</t>
  </si>
  <si>
    <t>6.2.4</t>
  </si>
  <si>
    <t>6.2.5</t>
  </si>
  <si>
    <t>6.2.6</t>
  </si>
  <si>
    <t>6.2.7</t>
  </si>
  <si>
    <t>6.2.8</t>
  </si>
  <si>
    <t>6.2.9</t>
  </si>
  <si>
    <t>6.4.1</t>
  </si>
  <si>
    <t>6.4.2</t>
  </si>
  <si>
    <t>6.4.3</t>
  </si>
  <si>
    <t>6.4.4</t>
  </si>
  <si>
    <t>6.4.5</t>
  </si>
  <si>
    <t>6.4.6</t>
  </si>
  <si>
    <t>6.5.1</t>
  </si>
  <si>
    <t>Process element 7 - Customer management</t>
  </si>
  <si>
    <t>7.2.1</t>
  </si>
  <si>
    <t>7.2.2</t>
  </si>
  <si>
    <t>7.3.4</t>
  </si>
  <si>
    <t>Description/comment</t>
  </si>
  <si>
    <t>Action</t>
  </si>
  <si>
    <t>Responsible</t>
  </si>
  <si>
    <t>Date</t>
  </si>
  <si>
    <t>Status</t>
  </si>
  <si>
    <t>Verification</t>
  </si>
  <si>
    <t>Topic an deviation</t>
  </si>
  <si>
    <t>Precise wording of the action to correct the deviation</t>
  </si>
  <si>
    <t>Contact person at supplier</t>
  </si>
  <si>
    <t>Corrected until</t>
  </si>
  <si>
    <t>The supplier analyses the reasons for the deviations and defines countermeasures, immediate measures and corrective actions including responsibilities and planned dates of introduction.
This information must be sent back to the assessor within 14 days.</t>
  </si>
  <si>
    <t xml:space="preserve">Are requirements integrated into project management and continuously taken into account? </t>
  </si>
  <si>
    <t xml:space="preserve">Has a project management (including a project organization) been established? </t>
  </si>
  <si>
    <t>Are methods of risk analysis established at the start of the project phase, and are they implemented?</t>
  </si>
  <si>
    <t xml:space="preserve">Has an escalation process, including coordinated communication, been established, and is it effectively implemented? </t>
  </si>
  <si>
    <t xml:space="preserve">Are the necessary human resources available? </t>
  </si>
  <si>
    <t xml:space="preserve">Is there a suitable pervasive IT infrastructure? </t>
  </si>
  <si>
    <t xml:space="preserve">Are methods of continuous process improvement implemented? </t>
  </si>
  <si>
    <t xml:space="preserve">Is material master and material flow data defined in the planning process and continuously monitored? </t>
  </si>
  <si>
    <t xml:space="preserve">Are the processes for in-house logistics, including packaging and container management, defined in planning, and are they continuously adjusted? </t>
  </si>
  <si>
    <t xml:space="preserve">Are all processes from the process flow effectively/efficiently implemented, reviewed and communicated and available as results? </t>
  </si>
  <si>
    <t xml:space="preserve">Have processes been established for ensuring that materials are supplied in accordance with demand? </t>
  </si>
  <si>
    <t>Has a container management system been established in accordance with demand and capacity?</t>
  </si>
  <si>
    <t>Is there a suitable pervasive IT infrastructure?</t>
  </si>
  <si>
    <t xml:space="preserve">Is the availability and corresponding use of the delivery schedule ensured with an EDI standard? </t>
  </si>
  <si>
    <t>Are suitable KPIs available in procurement logistics, incl. realistic target values?</t>
  </si>
  <si>
    <t xml:space="preserve">Is the cargo handled according to the requirements for transport? </t>
  </si>
  <si>
    <t xml:space="preserve">Is there a suitable comprehensive emergency solution strategy? </t>
  </si>
  <si>
    <t>Is the right order data prepared and processed in in-house logistics?</t>
  </si>
  <si>
    <t xml:space="preserve">Are all relevant specifications for providing logistical services recorded and included in instructions? </t>
  </si>
  <si>
    <t>Do the defined instructions contain the necessary checks?</t>
  </si>
  <si>
    <t xml:space="preserve">Are potentially faulty and/or faulty goods or logistical processes identified and measures taken? </t>
  </si>
  <si>
    <t xml:space="preserve">Is the flow of materials and parts secured against mixing/wrong items, and are the special characteristics accounted for? </t>
  </si>
  <si>
    <t>Have processes been established for controlling and monitoring the material flow?</t>
  </si>
  <si>
    <t>Have processes been established for controlling and monitoring the transport equipment?</t>
  </si>
  <si>
    <t xml:space="preserve">Are the materials stored/handled appropriately in order to preserve the product characteristics? </t>
  </si>
  <si>
    <t>Has a process been defined for continuous warehouse optimization, and are suitable optimization measures implemented?</t>
  </si>
  <si>
    <t xml:space="preserve">Are the workstations set up in accordance with ergonomic, product-specific and safety principles? </t>
  </si>
  <si>
    <t xml:space="preserve">Is the logistical infrastructure capable of meeting the product and process-specific requirements? </t>
  </si>
  <si>
    <t xml:space="preserve">Is the equipment available at the right location and in the right time, quantity and quality? </t>
  </si>
  <si>
    <t>Is the availability of infrastructure and equipment ensured?</t>
  </si>
  <si>
    <t xml:space="preserve">Have suitable KPIs been defined in in-house logistics, including target values, and are they applied? </t>
  </si>
  <si>
    <t>Are all relevant specifications for customer management recorded and included in instructions?</t>
  </si>
  <si>
    <t>Does proactive communication take place on all levels, and does this communication include any relevant changes?</t>
  </si>
  <si>
    <r>
      <rPr>
        <b/>
        <sz val="12"/>
        <color theme="1"/>
        <rFont val="Porsche Next TT"/>
        <family val="2"/>
      </rPr>
      <t xml:space="preserve">Reasons for downgrading from A to B despite compliance level E_G or E_G(Ln) ≥90 %
</t>
    </r>
    <r>
      <rPr>
        <sz val="12"/>
        <color theme="1"/>
        <rFont val="Porsche Next TT"/>
        <family val="2"/>
      </rPr>
      <t xml:space="preserve">
- At least one process element (L1-4, L6) is evaluated as having a compliance level of E_L&lt;80 %  bewertet
- The overall assessment of the questions pertaining to a special risk for the supply chain (* question) is &lt; 80 %
- 4 points are awarded for at least one *-question
- 0 points are awarded for at least one question in the process audit
</t>
    </r>
    <r>
      <rPr>
        <b/>
        <sz val="12"/>
        <color theme="1"/>
        <rFont val="Porsche Next TT"/>
        <family val="2"/>
      </rPr>
      <t xml:space="preserve">
Reasons for downgrading to C despite compliance level E_G or E_G(Ln) ≥80 %
</t>
    </r>
    <r>
      <rPr>
        <sz val="12"/>
        <color theme="1"/>
        <rFont val="Porsche Next TT"/>
        <family val="2"/>
      </rPr>
      <t xml:space="preserve">- At least one process element (L1-4, L6) is evaluated as having a compliance level of  E_L&lt;70 %  
- The overall assessment of the questions pertaining to a special risk for the supply chain (* question) is &lt; 70 %
- 0 points are awarded for at least one *-question
</t>
    </r>
    <r>
      <rPr>
        <sz val="12"/>
        <color rgb="FFFF0000"/>
        <rFont val="Porsche Next TT"/>
        <family val="2"/>
      </rPr>
      <t xml:space="preserve">"No result!" =  less than 2/3 of questions per process element have been answered!
</t>
    </r>
  </si>
  <si>
    <t>Proof of effectiveness (e.g. trainings certificate, working order,…)</t>
  </si>
  <si>
    <t>1. An inventory concept is in place. 
2. A process for monitoring material demand is in place. 
3. Inventory checks are conducted according to relevant and valid specifications. 
4. A process is established for dealing with obsolete parts.
5. Causes of stock discrepancies in inventories (number of locations, part quantities and part values) are researched, focussed analyses are conducted and, if necessary, improvement measures are initiated.</t>
  </si>
  <si>
    <t>1. The materials are protected from damage at all times during transfer, storage and transport. 
2. Parts are packed according to the packaging specification.
3. The properties of the goods are preserved. 
4. Handling icons on the packaging are observed.
5. The parts are protected against loss and damage in the load carrier. 
6. The fill level of the containers is defined. 
7. ESD-related components are identified, and specifications for component protection are implemented. 
8. Specifications on technical cleanliness are defined and implemented.
9. The special and statutory specifications for the storage of hazardous substances and environmentally relevant substances are known and are observed.</t>
  </si>
  <si>
    <t>Anzeige Abstufungsregeln Datenblatt</t>
  </si>
  <si>
    <t>Abstufung auf B</t>
  </si>
  <si>
    <t>Abstufung auf C</t>
  </si>
  <si>
    <t>Hilfsspalte B</t>
  </si>
  <si>
    <t>Hilfsspalte C</t>
  </si>
  <si>
    <t>Anzeige</t>
  </si>
  <si>
    <t>Gesamt Ergebnis Audit (gerundet)</t>
  </si>
  <si>
    <t>Minimum requirements</t>
  </si>
  <si>
    <t>Datasheet - Supply Chain Audit</t>
  </si>
  <si>
    <t>Supply Chain Audit</t>
  </si>
  <si>
    <t>LOP - List of Open Points</t>
  </si>
  <si>
    <t>Evaluationsheet</t>
  </si>
  <si>
    <t>Process element 6 - In-house logistics</t>
  </si>
  <si>
    <t>Overview questions | Remarks</t>
  </si>
  <si>
    <t>Country code</t>
  </si>
  <si>
    <t>Assessment results for individual process elements</t>
  </si>
  <si>
    <t>1. Process-specific targets are defined, monitored and communicated. 
2. Targets are agreed, specific, measurable, attainable, realistic and scheduled.
3. A risk-based target/actual comparison is conducted.
4. The timeliness of the targets is ensured.
5. Targets are communicated to all relevant positions in the company.
6. Deviations from the target value and their causes are documented.</t>
  </si>
  <si>
    <t>5.4</t>
  </si>
  <si>
    <t>1. There is a project management process, and it is implemented. 
2. A change management process has been established.
3. An interdisciplinary project organization is specified.
4. The customer and the supplier have been informed who the relevant contact persons are.</t>
  </si>
  <si>
    <t>1. Project risks/supply chain risks have been identified, assessed, and have been mitigated by means of appropriate measures.
2. Experiences (especially lessons learned) from ongoing or previous comparable projects are taken into account.
3. There is a disaster recover strategy. 
4. Operative environment risks are accounted for.</t>
  </si>
  <si>
    <t>1. Packaging and container development is subject to an approval process and accounts for customer-specific and ESG requirements.
2. The various packaging levels are defined.
3. A process is established for compliant labelling of packaging (VDA 4994 Global Transport Label)
4. Planning of alternative packaging</t>
  </si>
  <si>
    <t>Is the output of the upstream process integrated into transport logistics? (5.1.1)</t>
  </si>
  <si>
    <t>1. A transport concept is in place
2. It has been determined which type of transport should be used for which scopes/routes.
3. Approved transport service providers are available (Inbound / Outbound).</t>
  </si>
  <si>
    <t>1. In conjunction with process planning, emergency concepts for potential process issues should be devised which describe both the processes for performing the actual service processes during an emergency and the steps required in order to rectify the issue.
2. The implementation of the defined solutions is ensured and successfully tested and/or simulated. 
3. Required back-up solutions are determined, suitable, effective and are available when needed. 
4. Access to the emergency solution is ensured.
5. Escalation mechanisms are taken into account in the emergency solution.</t>
  </si>
  <si>
    <t>1. A method for handling customer feedback has been described. 
2. A process for using the customer portals is described and documented. 
3. The contents and current validity of the customer-specific documents are regularly checked in the customer portals.
4. Access to work instructions and specifications is ensured at all times in the work environment.
5. Interfaces and responsibilities are clearly defined.</t>
  </si>
  <si>
    <t>Does proactive communication take place on all levels? (7.2.2)</t>
  </si>
  <si>
    <t>• Processing time and number of customer inquiries
• Customer service expenses
• Customer satisfaction index (CSI)
• Damage, complaints, customer feedback</t>
  </si>
  <si>
    <t xml:space="preserve">1. The specifications relevant for the performance of logistical activities are described and documented in sufficient detail.
2. The procedures for staff on site in case of errors or process disruptions is described.
3. Access to work instructions and specifications is ensured at all times in the work environment.
4. Interfaces and responsibilities are clearly defined.
5. Process descriptions and work instructions are subject to an approval process, are controlled and are regularly checked to ensure they are up-to-date.
6. Documents are created, controlled and filed in compliance with standards.
7. The staff know their work instructions and process descriptions. </t>
  </si>
  <si>
    <t xml:space="preserve">1. The type and scope of the quality monitoring in the process are defined and documented in an overview.
2. In case of problem parts and/or critical parts (top parts), a systematic receiving inspection is performed. The type and the scope are defined. 
3. This definition includes at least the following control components:
control criteria, control specifications, documentation, response plan, persons responsible for execution.
4. A process for complaint processing is established, incl. defined criteria. </t>
  </si>
  <si>
    <t>Is the flow of materials and parts secured against mixing/wrong items? (6.2.5)</t>
  </si>
  <si>
    <t>7. The inventories in the system correspond to the actual inventories.
8. In case of inventory discrepancies, there is a response, and a correction is promptly made.</t>
  </si>
  <si>
    <t>9. Component-specific asset management methods are used throughout the process chain as a basic principle.</t>
  </si>
  <si>
    <t>Have processes been established for controlling and monitoring the transport equipment (container)? (6.2.7)</t>
  </si>
  <si>
    <t>1. A suitable storage strategy is in place. 
2. Rules and procedures for location assignment are defined, and storage space optimization is implemented systematically.
3. A process is defined for dealing with obsolete parts.</t>
  </si>
  <si>
    <t>1. The logistical infrastructure is in proper condition and is inspected regularly.
2. The planned logistical infrastructure is available, appropriately sized and approved. 
3. The logistical infrastructure is able to meet product and process-specific requirements.
4. Marking of defined functional areas and infrastructure elements is ensured.  
5. ESG requirements are taken into account in the logistical infrastructure.
6. Access concepts for separate storage areas are regulated.</t>
  </si>
  <si>
    <t>Packging and container management</t>
  </si>
  <si>
    <t>In-house-logistics</t>
  </si>
  <si>
    <t>Transport concept</t>
  </si>
  <si>
    <t>Material flow and movements</t>
  </si>
  <si>
    <t>Asset management method (e.g. FIFO)</t>
  </si>
  <si>
    <t>Anzahl 5</t>
  </si>
  <si>
    <t>Anzahl 4</t>
  </si>
  <si>
    <t>Scout</t>
  </si>
  <si>
    <t>PowerCo</t>
  </si>
  <si>
    <t>Germany</t>
  </si>
  <si>
    <t>France</t>
  </si>
  <si>
    <t>Italy</t>
  </si>
  <si>
    <t>Austria</t>
  </si>
  <si>
    <t>Poland</t>
  </si>
  <si>
    <t>Spain</t>
  </si>
  <si>
    <t>1. The following requirements have to be taken into account:
•Customer requirements 
•Internal requirements 
•ESG requirements 
2. There have to be processes for identifying, evaluating and implementing binding obligations.</t>
  </si>
  <si>
    <t>1. Internal and external requirements are observed. 
2. Availability is constantly ensured. 
3. Relevant interfaces are functional. 
4. The IT infrastructure is capable of representing the relevant processes.</t>
  </si>
  <si>
    <t xml:space="preserve">
5. A supply chain concept is in place for in-house logistics. 
6. Capacities are planned in accordance with customer requirements
7. The process descriptions, work instructions and other relevant documents are clearly described
</t>
  </si>
  <si>
    <t>1. All (internal/external) activities from planning are implemented and approved according to the milestone plan. 
2. The following processes have to be completed:
• infrastructure plan 
• work instruction
• material master data
• control plan 
• performance test based on customer requirements 
• qualification of the staff is implemented according to planning
3. All process results are archived according to defined criteria.</t>
  </si>
  <si>
    <t>• Requirement specification with customer requirements
• Overview of relevant customer requirements
• Process description for identifying binding obligations 
• Laws
• Certificates (e.g. TISAX®, IATF 16949, DIN 14001)</t>
  </si>
  <si>
    <t>• Project organization chart, incl. allocation of roles and substitution rules
• Composition of the project team
• Project interfaces
• RACI chart</t>
  </si>
  <si>
    <t>• Internal and external escalation matrix
• Action plan
• Communication plan</t>
  </si>
  <si>
    <t>• FMEA / supply chain FMEA
• Emergency strategy
• SWOT analysis</t>
  </si>
  <si>
    <t>• Audit
• Lean management
• Kaizen
• 5S
• FMEA
• Idea management
• PDCA cycle</t>
  </si>
  <si>
    <t>• Function description
• Change management
• Access permissions
• ERP systems</t>
  </si>
  <si>
    <t>• Packaging and container concept
• Overview of packaging levels
• Alternative packaging
• Labelling overview
• Recyclable or recycled packaging materials</t>
  </si>
  <si>
    <t>• Process-related/procedural instructions
• Capacity planning, maximum capacity, process times
• Shift models
• Warehouse logistics concept, FIFO
• Supply chain concept</t>
  </si>
  <si>
    <t>• Shift schedule
• KPI for fluctuation
• Interface matrix
• Emergency strategy
• Resource planning, incl. budget
• Documented substitution rules / Absence planning
• Organization chart
• Qualification matrix / Evidence of qualifications</t>
  </si>
  <si>
    <t>• Milestone plan
• Handover reports
• Resource planning, incl. budget
• Results from performance tests
• Qualification matrix
• ERP system
• Maturity level</t>
  </si>
  <si>
    <r>
      <t>1. The process descriptions, work instructions and other relevant documents are clearly described with an adequate degree of detail.
2. Process specifications must be defined and taken into account for at least the following processes:
• Processing of purchase requisitions/delivery plan
• Triggering of manual orders
• Frequent comparison of safety stock and available stock</t>
    </r>
    <r>
      <rPr>
        <sz val="12"/>
        <color rgb="FFFF0000"/>
        <rFont val="Porsche Next TT"/>
        <family val="2"/>
      </rPr>
      <t xml:space="preserve">
</t>
    </r>
    <r>
      <rPr>
        <sz val="12"/>
        <rFont val="Porsche Next TT"/>
        <family val="2"/>
      </rPr>
      <t>• Time window control
3. Purchase requisitions are processed in good time.
4. It is ensured that unusual order quantities (outliers) are checked for plausibility.
5. System KPI changes are adjusted, documented and communicated based on defined criteria and special factors.
6. Ramp-up and phase-out management is ensured in accordance with specified criteria.
7. Containers and batch sizes are taken into account.</t>
    </r>
  </si>
  <si>
    <t>• Process descriptions
• Work instructions
• Purchase requisitions
• General stock management
• ERP systems
• Communication plan</t>
  </si>
  <si>
    <t>1. Demand-based container management, including consideration of feedback from suppliers.
2. The use and the type of alternative packaging are defined.
3. Separate and special load carriers are available in sufficient quantity.
4. A return flow concept, including return criteria, is described.
5. Inventories are presented transparently.
6. Containers/load carriers, packaging materials must be available, functional and approved in accordance with planning. 
7. Inventories are performed regularly.
8. The stocks have to be adapted on time to capacity/customer needs. 
9. Stocks have to be procured/replenished on time.</t>
  </si>
  <si>
    <t>• Load carrier stock management
• Load carrier cycle
• Special load carriers
• Alternative packaging
• Delivery frequencies
• Container inventory</t>
  </si>
  <si>
    <t>• Stock data
• Identification of discrepancies
• Action plan
• Inventory concept</t>
  </si>
  <si>
    <t>1. A multi-stage escalation process is defined for overdue items, late delivery and stock deviations.
2. Overdue items are regularly checked and escalated to the suppliers.
3. A process is defined for bottleneck management (criteria for inclusion in bottleneck control, for allocation, for termination and bottleneck control).
4. Delivery date information for overdue items is made available to the customer.</t>
  </si>
  <si>
    <t>• Process for cross-supply / cross-procurement
• Escalation process
• Bottleneck control
• Responsibilities matrix
• Triggering criteria</t>
  </si>
  <si>
    <t xml:space="preserve">1. Up-to-date and error-free EDIs are ensured. 
2. EDIs are used for follow-up processes. 
3. Suitable hardware is available. 
4. The interfaces between the systems are secured.
5. Consideration of transport- and lead time </t>
  </si>
  <si>
    <t>• Call-off system
• Manual or automatic processing of EDIs
• Time horizon for the processing of the EDIs
• Conversion and communication of the EDIs
• ERP systems</t>
  </si>
  <si>
    <t>• Expiry date
• Material without demand
• Days inventory held
• Supplier delivery time
• Backorder
• Stock level</t>
  </si>
  <si>
    <t>• Overview of approved service providers 
• Transport planning (e.g. trips, product requirements)
• Transport order
• Transport concept 
• Communication process</t>
  </si>
  <si>
    <t>• Process for advising forwarder (Discovery)
• Shipping documents VDA 4939 
• Global Transport Label VDA 4994
• ASN VDA 4987</t>
  </si>
  <si>
    <t>• Instructions for JIS/JIT loading 
• Loading matrix
• Packaging concept
• Work instructions for handling specifications</t>
  </si>
  <si>
    <t>• GPS trackers, Surveillance cameras, Videos 
• Pictograms 
• Customs 
• Return process
• Work instructions, procedural instructions
• Document management system
• Contract documents, including requirement specifications, Incoterm
• Packaging requirements
• Product requirements (e.g. hazardous goods)
• ESG and safety regulations</t>
  </si>
  <si>
    <t>• Process times
• Container movements
• Replenishment lead times
• Maximum capacity
• Process control data
• Material master data, e.g. ESD
• Priorities</t>
  </si>
  <si>
    <t>• Change management
• Work instructions
• Process descriptions
• Contingency plans
• Control of documents
• Applicable documents
• Document archiving
• Safety classification of documents
• List of documents
• Compliance specifications</t>
  </si>
  <si>
    <t>• Inspection plans (e.g. Skip-Lot, sampling inspection)
• Control plan
• Response plan 
• Receiving inspections 
• Return process
• Checklists 
• Work instructions</t>
  </si>
  <si>
    <t xml:space="preserve">1. Criteria for identifying faulty goods are defined.
2. A process description for handling faulty/potentially faulty goods is available. 
3. Interfaces and transfers of risk transfers are taken into account. Separation and labelling is ensured. 
4. The quarantine store is inventory-managed. It is ensured that the available stock is updated in case of blocked goods.
5. There are agreed communication procedures in case of faulty goods.
6. Measures for securing supply have been initiated.
7. Blocked goods and/or adjustments in the supply chain in case of faulty goods are ensured. </t>
  </si>
  <si>
    <t>• Error detection
• Blocked goods
• Blocking process
• Quarantine area
• Quarantine store
• Quarantine card 
• Work instructions
• Response plan
• Communication plan
• Clarification process and areas</t>
  </si>
  <si>
    <t>• Hardware and software
•  Poka-Yoke
• Receipts and Labels 
• Effacement
• Labelling of components, containers, packaging and storage areas
• Visualisation
• Cross-Scanning</t>
  </si>
  <si>
    <t xml:space="preserve">1. The material flow is structured transparently. Escalation and intervention limits are defined.
2. The processing status of the material (material movement) has to be made transparent.
3. Material movements are properly and directly posted.
4. The expected scope of daily work is known in the executing departments.
5. There is a system for being able to introduce prioritized orders and/or order variations and ensure preferential processing.
6. A process is in place for bottleneck control. </t>
  </si>
  <si>
    <t>• Order status, Order volume
• Layout 
• Dispatch notifications
• Material control station
• Bottleneck processing
• Transport orders
• Replenishment lead time 
• Min./max. regulation
• Intervention limits
• Process times (MTM method)</t>
  </si>
  <si>
    <t>• Inventory discrepancy
• Stock levels, Material stocks</t>
  </si>
  <si>
    <t>• Asset management method (e.g. FIFO, LIFO, HIFO, FEFO)</t>
  </si>
  <si>
    <t>• Storage strategy
• Obsolete materials
• Layout
• Random or fixed storage</t>
  </si>
  <si>
    <t>• Business Continuity Management (BCM)
• Alternative capacities (vehicles, storage, etc.) 
• Risk analysis (e.g. FMEA)
• Crisis management (e.g. force majeure)
• Contingency strategy (e.g. alternative services, subcontractors, packaging, transport)
• Backup plan, incl. escalation levels
• Archiving requirements
• Cyber security
• Backup concept
• Emergency information plan
• Function test according to VDA 1 
• Customer-specific response times
• Alternative energy supply
• Use of external capacity
• TISAX®</t>
  </si>
  <si>
    <t>• Hazard assessment
• Occupational safety and accident prevention instructions
• Personal protective equipment
• Appropriate lighting
• Concepts for noise protection 
• Specifications regarding ambient temperature
• Workplace analysis
• Workplace concepts
• Inspection stations
• Order and cleanliness
• Escape and rescue routes
• Ergonomic aspects
• ESD equipment
• HRC (Human-Robot Collaboration)
• Robotics</t>
  </si>
  <si>
    <t>• Order and cleanliness
• Labelling concept
• Definition of functional areas
• Layout
• Customer-specific requirements for storage systems (e.g. shelf, high rack, paternoster rack, hazardous materials storage, parts vulnerable to theft)
• Internal transport equipment
• Infrastructure (e.g. buildings, racks, warehouses, flooring, lighting conditions, rack labeling)
• ESD/ESG requirements
• Technical cleanliness
• Climatic requirements
• Access authorizations</t>
  </si>
  <si>
    <t>1. Operating equipment has to be available, functional and approved in accordance with planning. 
2. The operating equipment stock is adapted on time to capacity/customer needs. 
3. Operating equipment stocks have to be replenished on time.
4. Inventories for operating equipment are performed regularly.
5. The addition and removal of operating equipment is defined.
6. When not in use, operating equipment is stored in a way which preserves its quality. 
7. Product-specific requirements are taken into account.</t>
  </si>
  <si>
    <t>• Operating equipment list
• Operating equipment monitoring
• Occupational safety
• Labeling of operating equipment
• Inspection sticker
• Defined storage place when not in use
• Damage and safe storage
• Reordering systems
• Order and cleanliness</t>
  </si>
  <si>
    <t>1. Process-specific KPIs are defined, monitored according to risk and communicated.
2. Targets are agreed, specific, measurable, attainable, realistic and scheduled.
3. A risk-based target/actual comparison is conducted.
4. The timeliness of the targets is ensured.
5. Targets are communicated to all relevant positions in the company.
6. Deviations from the target value and their causes are documented.</t>
  </si>
  <si>
    <t>• Target definition
• Shopfloor management
• Process for pursuing and adjusting targets
• Rates of complaints 
• Throughput times 
• Storage utilization 
• Productivity 
• Degree of space utilization 
• Process disruption
• Degree of delivery readiness 
• Capacity monitoring</t>
  </si>
  <si>
    <t>• Work instructions 
• Process descriptions
• QM-System
• World-wide customer service
• Interface matrix
• Contact person 
• Specifications on customer portals
• B2B-Plattform, Discovery</t>
  </si>
  <si>
    <t>1. A process with defined criteria is established which describes when and how the organization communicates with the customer:
• Contact availability has to be ensured.
• The customer’s contact persons are known to the organization.
• The processing status of inquiries and complaints is tracked, and replies are systematically provided
• Communication is done proactively.
• Contact data is current and kept up-to-date.
2. Communication includes escalation.</t>
  </si>
  <si>
    <t>• CRM (Customer Relationship Management) 
• Customer data-base
• Newsletter
• Hotline/call center
• Customer conferences/meetings
• Field service
• Communication plan 
• Escalation plan 
• Customer portals 
• Access permissions</t>
  </si>
  <si>
    <t xml:space="preserve">Have suitable KPIs been defined for customer management, including target values, and are they applied? (7.5.1)	</t>
  </si>
  <si>
    <t>1. Process-specific KPIs are defined, monitored according to risk and communicated.
2. Targets are agreed, specific, measurable, attainable, realistic and scheduled.
3. A risk-based target/actual comparison is conducted.
4. The timeliness of the targets is ensured.
5. Targets are communicated to all relevant positions in the company.
6. A customer satisfaction KPI is regularly collected and tracked.
7. In case of process and target deviations, causes are analyzed and corrective measures are checked for effectiveness.</t>
  </si>
  <si>
    <t>Belgium</t>
  </si>
  <si>
    <t>United Kingdom</t>
  </si>
  <si>
    <t>Netherlands</t>
  </si>
  <si>
    <t>Romania</t>
  </si>
  <si>
    <t>Slovakia (Slovak Republic)</t>
  </si>
  <si>
    <t>Czech Republic</t>
  </si>
  <si>
    <t>Hungary</t>
  </si>
  <si>
    <t>Egypt</t>
  </si>
  <si>
    <t>Albania</t>
  </si>
  <si>
    <t>Algeria</t>
  </si>
  <si>
    <t>Antarctica</t>
  </si>
  <si>
    <t>Antigua and Barbuda</t>
  </si>
  <si>
    <t>Equatorial Guinea</t>
  </si>
  <si>
    <t>Argentina</t>
  </si>
  <si>
    <t>Armenia</t>
  </si>
  <si>
    <t>Azerbaijan</t>
  </si>
  <si>
    <t>Ethiopia</t>
  </si>
  <si>
    <t>Australia</t>
  </si>
  <si>
    <t>Bermuda</t>
  </si>
  <si>
    <t>Burma</t>
  </si>
  <si>
    <t>Bolivia</t>
  </si>
  <si>
    <t>Bosnia and Herzegovina</t>
  </si>
  <si>
    <t>Bouvet Island</t>
  </si>
  <si>
    <t>Brazil</t>
  </si>
  <si>
    <t>British Indian Ocean Territory</t>
  </si>
  <si>
    <t>Bulgaria</t>
  </si>
  <si>
    <t>Cook Islands</t>
  </si>
  <si>
    <t>Denmark</t>
  </si>
  <si>
    <t>Djibouti</t>
  </si>
  <si>
    <t>Dominica</t>
  </si>
  <si>
    <t>Dominican Republic</t>
  </si>
  <si>
    <t>Ivory Coast</t>
  </si>
  <si>
    <t>Estonia</t>
  </si>
  <si>
    <t>Falkland Islands</t>
  </si>
  <si>
    <t>Faroe Islands</t>
  </si>
  <si>
    <t>Fiji</t>
  </si>
  <si>
    <t>Finland</t>
  </si>
  <si>
    <t>French Guiana</t>
  </si>
  <si>
    <t>French Polynesia</t>
  </si>
  <si>
    <t>French Southern Territories</t>
  </si>
  <si>
    <t>Gabon</t>
  </si>
  <si>
    <t>Georgia</t>
  </si>
  <si>
    <t>Greece</t>
  </si>
  <si>
    <t>Greenland</t>
  </si>
  <si>
    <t>United Kingdom (UK)</t>
  </si>
  <si>
    <t>Guinea-Bissau</t>
  </si>
  <si>
    <t>Heard Island and McDonald Islands</t>
  </si>
  <si>
    <t>India</t>
  </si>
  <si>
    <t>Indonesia</t>
  </si>
  <si>
    <t>Iraq</t>
  </si>
  <si>
    <t>Ireland</t>
  </si>
  <si>
    <t>Iceland</t>
  </si>
  <si>
    <t>Jamaica</t>
  </si>
  <si>
    <t>Yemen</t>
  </si>
  <si>
    <t>Jordan</t>
  </si>
  <si>
    <t>Yugoslavia</t>
  </si>
  <si>
    <t>Cayman Islands</t>
  </si>
  <si>
    <t>Cambodia</t>
  </si>
  <si>
    <t>Cameroon</t>
  </si>
  <si>
    <t>Canada</t>
  </si>
  <si>
    <t>Cape Verde</t>
  </si>
  <si>
    <t>Kazakhstan</t>
  </si>
  <si>
    <t>Kenya</t>
  </si>
  <si>
    <t>Kyrgyzstan</t>
  </si>
  <si>
    <t>Cocos Islands</t>
  </si>
  <si>
    <t>Colombia</t>
  </si>
  <si>
    <t>Comoros</t>
  </si>
  <si>
    <t>Congo</t>
  </si>
  <si>
    <t>Congo, Democratic Republic</t>
  </si>
  <si>
    <t>Croatia</t>
  </si>
  <si>
    <t>Cuba</t>
  </si>
  <si>
    <t>Latvia</t>
  </si>
  <si>
    <t>Lebanon</t>
  </si>
  <si>
    <t>Libya</t>
  </si>
  <si>
    <t>Lithuania</t>
  </si>
  <si>
    <t>Luxembourg</t>
  </si>
  <si>
    <t>Macau</t>
  </si>
  <si>
    <t>Madagascar</t>
  </si>
  <si>
    <t>Maldives</t>
  </si>
  <si>
    <t>Mariana Islands</t>
  </si>
  <si>
    <t>Morocco</t>
  </si>
  <si>
    <t>Marshall Islands</t>
  </si>
  <si>
    <t>Mauritania</t>
  </si>
  <si>
    <t>Macedonia</t>
  </si>
  <si>
    <t>Mexico</t>
  </si>
  <si>
    <t>Micronesia</t>
  </si>
  <si>
    <t>Mozambique</t>
  </si>
  <si>
    <t>Moldova</t>
  </si>
  <si>
    <t>Mongolia</t>
  </si>
  <si>
    <t>New Caledonia</t>
  </si>
  <si>
    <t>New Zealand</t>
  </si>
  <si>
    <t>Netherlands Antilles</t>
  </si>
  <si>
    <t>North Korea</t>
  </si>
  <si>
    <t>Norfolk Island</t>
  </si>
  <si>
    <t>Norway</t>
  </si>
  <si>
    <t>Palestine</t>
  </si>
  <si>
    <t>Papua New Guinea</t>
  </si>
  <si>
    <t>Philippines</t>
  </si>
  <si>
    <t>Réunion</t>
  </si>
  <si>
    <t>Rwanda</t>
  </si>
  <si>
    <t>Russia</t>
  </si>
  <si>
    <t>Zambia</t>
  </si>
  <si>
    <t>São Tomé</t>
  </si>
  <si>
    <t>Saudi Arabia</t>
  </si>
  <si>
    <t>Sweden</t>
  </si>
  <si>
    <t>Switzerland</t>
  </si>
  <si>
    <t>Serbia</t>
  </si>
  <si>
    <t>Seychelles</t>
  </si>
  <si>
    <t>Singapore</t>
  </si>
  <si>
    <t>Slovenia</t>
  </si>
  <si>
    <t>Solomon Islands</t>
  </si>
  <si>
    <t>South Georgia and South Sandwich Islands</t>
  </si>
  <si>
    <t>Saint Helena</t>
  </si>
  <si>
    <t>Saint Kitts and Nevis</t>
  </si>
  <si>
    <t>Saint Pierre and Miquelon</t>
  </si>
  <si>
    <t>Saint Vincent</t>
  </si>
  <si>
    <t>South Korea</t>
  </si>
  <si>
    <t>South Africa</t>
  </si>
  <si>
    <t>Suriname</t>
  </si>
  <si>
    <t>Svalbard and Jan Mayen Islands</t>
  </si>
  <si>
    <t>Eswatini</t>
  </si>
  <si>
    <t>Syria</t>
  </si>
  <si>
    <t>Tajikistan</t>
  </si>
  <si>
    <t>Tanzania</t>
  </si>
  <si>
    <t>Trinidad and Tobago</t>
  </si>
  <si>
    <t>Chad</t>
  </si>
  <si>
    <t>Tunisia</t>
  </si>
  <si>
    <t>Turkey</t>
  </si>
  <si>
    <t>Turks and Caicos Islands</t>
  </si>
  <si>
    <t>Uzbekistan</t>
  </si>
  <si>
    <t>Vatican</t>
  </si>
  <si>
    <t>United Arab Emirates</t>
  </si>
  <si>
    <t>United States of America</t>
  </si>
  <si>
    <t>Virgin Islands (British)</t>
  </si>
  <si>
    <t>Virgin Islands (USA)</t>
  </si>
  <si>
    <t>Wallis and Futuna</t>
  </si>
  <si>
    <t>Belarus</t>
  </si>
  <si>
    <t>Western Sahara</t>
  </si>
  <si>
    <t>Central African Republic</t>
  </si>
  <si>
    <t>Cyprus</t>
  </si>
  <si>
    <t>Have suitable KPIs been defined for customer management, including target values, and are they applied?</t>
  </si>
  <si>
    <t xml:space="preserve">• Business Continuity Management (BCM)
• Alternative capacities (vehicles, storage, etc.) 
• Execution of ad-hoc shipments / special transports
• Staffing hours of shipping department
• Crisis management (e.g. force majeure)
• Emergency strategy
• Backup plan, incl. escalation levels
• Emergency information plan
</t>
  </si>
  <si>
    <t>• Roofing, Weather-proof material handling
• Maintaining the product characteristic  
• Packing sequences and orders that preserve quality
• Handling symbols 
• Requirements regarding the handling of HV batteries 
• Technical cleanliness 
• Climatic and mechanical influences / ambient temperature
• Storage requirements
• Product-specific requirements (ESD, BBD)
• Top arrow
• Hazardous goods</t>
  </si>
  <si>
    <t>1. The IT infrastructure, including relevant EDI interfaces, is available in the right place and at the right time.
2. Access permissions are defined and in place. 
3. The software and hardware updates are provided, approved and communicated. 
4. Contact information is entered into the customer-specific systems. 
5. Requirements relating to information security have been taken into account. 
6. Instructions on the handling of software and hardware are documented, up-to-date and accessible.
7. The parameterization of the logistical IT systems is adapted to the infrastructure and the process objectives.
8. The functionality of the logistical IT systems is monitored; intervention limits for escalation are defined.</t>
  </si>
  <si>
    <t>1. Material master data and material flow data is available and accessible.
2. Roles are defined for master data management.
3. A process is established which describes how changes to material master data are continuously recorded and communicated to the affected departments.</t>
  </si>
  <si>
    <t>• ERP (planning and supply chain) / MRP-System
• Shopfloor Management System
• MES (Operation Management)
• SwimLane
• Network structure plan
• Hardware and software
• Overview of access permissions
• Interface matrix
• Data protection policies</t>
  </si>
  <si>
    <r>
      <t>4. Transport services are commissioned (advised), including the following:
• right quantity / agreed quality / right product / right recipient / labelling / shipping documents / agreed deadline
5. Transports are prepared based on shipment planning (flow of information from customer management to shipment office)
6</t>
    </r>
    <r>
      <rPr>
        <sz val="12"/>
        <rFont val="Porsche Next TT"/>
        <family val="2"/>
      </rPr>
      <t>. ASN is sent as soon as loading is finished</t>
    </r>
  </si>
  <si>
    <t xml:space="preserve">1. The process descriptions, work instructions and other relevant documents are clearly described with an adequate degree of detail.
2. The following requirements are taken into account:
• customer requirements
• internal requirements 
• ESG requirements 
3. A concept for theft prevention is in place. </t>
  </si>
  <si>
    <t>1. Product and process-specific requirements are observed.
2. Labelling requirements are defined and observed. Labels must be loss-proof and legible. 
3. A concept for the prevention of mixing and wrong items is in place. 
4. The component has to be protected in the labelling process.
5. Out-of-date and invalid labels are removed.
6. The defined packaging aids are used.</t>
  </si>
  <si>
    <t xml:space="preserve">
1. The inventory of transport equipment is transparent; the equipment is sorted and stored separately in defined and suitable storage areas. The acceptance of returned transport equipment is regulated and based on acceptance and return criteria.
2. The labelling and separation of “NOK” transport equipment are defined. Criteria for repair and replacement are defined.
3. Alternative transport equipment is defined.
4. A process is in place for identifying and handling dirty (contamination and loss of labels) transport equipment. 
5. The appropriate use of transport equipment is ensured. Requirements pertaining to products and transport equipment are observed. 
6. Unique identification labels, visualization/internal container labels are required.
7. When not in use, appropriate storage which protects quality is provided. </t>
  </si>
  <si>
    <t xml:space="preserve">• Empties management, defined areas for empties
• Reusable / Disposable packaging 
• Container limit sample catalog 
• Reusability and cleanliness
• Special load carriers
• Alternative packaging
• Packaging specification
• Approvals, system for transport equipment management
• Repair concept, Labeling of faulty containers
• Identification system
• Separating faulty containers out of the operative process
• Weatherproof storage
• Order and cleanliness
• Layout
• Cleaning containrs, Container repair </t>
  </si>
  <si>
    <t>• Network structure plan
• Software (e.g. warehouse management system, capacity system)
• Hardware (e.g. scanner, RFID)
• Overview of access permissions
• Interface matrix
• KPIs and system availability
• Data protection policies
• Truck / transport control
• Discovery</t>
  </si>
  <si>
    <t>• TPM (Total Productive Maintenance)
• Maintenance contract
• Checklists
• Inspection and maintenance schedule
• Definition and monitoring of minimum stock levels of function-relevant spare parts
• Documentation of completed maintenance work
• Repair
• Commissioning of external service providers for maintenance work
• Order and cleanliness
• Operational readiness of the operating equipment
• Replenishment lead times
• Resource planning
• Smart warehouse</t>
  </si>
  <si>
    <t>In-house logistics</t>
  </si>
  <si>
    <t>Packaging and container management</t>
  </si>
  <si>
    <t>Commissioning transport services</t>
  </si>
  <si>
    <t>Are all relevant specifications for carrying out transports fully documented and included in instructions?</t>
  </si>
  <si>
    <t>Material flow / material postings</t>
  </si>
  <si>
    <t>Inventory control</t>
  </si>
  <si>
    <t>Asset management methods (FIFO)</t>
  </si>
  <si>
    <t>1. The project organization and the associated escalation management meet the customer requirements. The criteria for escalation are specified, and measures are derived in case of non-compliance with the specifications.
2. Defined measures are sustainably implemented, and the status is regularly monitored and communicated.
3. The relevant functions (including contact information) to which matters should be escalated are available to all employees concerned.</t>
  </si>
  <si>
    <t>VDA 6.8</t>
  </si>
  <si>
    <t>Audi AG   I/BS-R</t>
  </si>
  <si>
    <t>- - -</t>
  </si>
  <si>
    <t>Notes / Remarks / Signature</t>
  </si>
  <si>
    <t>5.1.1</t>
  </si>
  <si>
    <t>Is the output of the upstream process integrated into transport logistics?</t>
  </si>
  <si>
    <t>Anzahl 0</t>
  </si>
  <si>
    <t>Anzahl 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</si>
</sst>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 &quot; - &quot;"/>
    <numFmt numFmtId="166" formatCode="&quot; ≥ &quot;\ 0%\ "/>
    <numFmt numFmtId="167" formatCode="0%\ &quot; ≥ &quot;"/>
    <numFmt numFmtId="168" formatCode="&quot; &lt; &quot;\ 0%\ "/>
  </numFmts>
  <fonts count="59" x14ac:knownFonts="1">
    <font>
      <sz val="12"/>
      <color theme="1"/>
      <name val="Porsche Next TT"/>
      <family val="2"/>
    </font>
    <font>
      <b/>
      <sz val="20"/>
      <color theme="1"/>
      <name val="Porsche Next TT"/>
      <family val="2"/>
    </font>
    <font>
      <b/>
      <sz val="12"/>
      <color theme="1"/>
      <name val="Porsche Next TT"/>
      <family val="2"/>
    </font>
    <font>
      <b/>
      <sz val="10"/>
      <color theme="1"/>
      <name val="Porsche Next TT"/>
      <family val="2"/>
    </font>
    <font>
      <b/>
      <sz val="10"/>
      <color theme="1"/>
      <name val="Audi Type"/>
      <family val="2"/>
    </font>
    <font>
      <sz val="10"/>
      <color theme="1"/>
      <name val="Audi Type"/>
      <family val="2"/>
    </font>
    <font>
      <sz val="10"/>
      <name val="Arial"/>
      <family val="2"/>
    </font>
    <font>
      <b/>
      <sz val="14"/>
      <color theme="1"/>
      <name val="Audi Type"/>
      <family val="2"/>
    </font>
    <font>
      <sz val="8"/>
      <name val="Porsche Next TT"/>
      <family val="2"/>
    </font>
    <font>
      <b/>
      <sz val="16"/>
      <name val="Porsche Next TT"/>
      <family val="2"/>
    </font>
    <font>
      <sz val="12"/>
      <name val="Porsche Next TT"/>
      <family val="2"/>
    </font>
    <font>
      <b/>
      <sz val="11"/>
      <name val="Porsche Next TT"/>
      <family val="2"/>
    </font>
    <font>
      <b/>
      <sz val="10"/>
      <name val="Porsche Next TT"/>
      <family val="2"/>
    </font>
    <font>
      <b/>
      <sz val="22"/>
      <name val="Porsche Next TT"/>
      <family val="2"/>
    </font>
    <font>
      <sz val="20"/>
      <name val="Porsche Next TT"/>
      <family val="2"/>
    </font>
    <font>
      <b/>
      <sz val="20"/>
      <name val="Porsche Next TT"/>
      <family val="2"/>
    </font>
    <font>
      <b/>
      <sz val="16"/>
      <color theme="1"/>
      <name val="Porsche Next TT"/>
      <family val="2"/>
    </font>
    <font>
      <sz val="6"/>
      <color theme="1"/>
      <name val="Audi Type"/>
      <family val="2"/>
    </font>
    <font>
      <sz val="9"/>
      <color theme="1"/>
      <name val="Audi Type"/>
      <family val="2"/>
    </font>
    <font>
      <b/>
      <sz val="9"/>
      <color theme="1"/>
      <name val="Porsche Next TT"/>
      <family val="2"/>
    </font>
    <font>
      <b/>
      <sz val="10"/>
      <name val="Audi Type"/>
      <family val="2"/>
    </font>
    <font>
      <sz val="10"/>
      <name val="Audi Type"/>
      <family val="2"/>
    </font>
    <font>
      <sz val="12"/>
      <color theme="1"/>
      <name val="Porsche Next TT"/>
      <family val="2"/>
    </font>
    <font>
      <b/>
      <u/>
      <sz val="12"/>
      <color theme="1"/>
      <name val="Porsche Next TT"/>
      <family val="2"/>
    </font>
    <font>
      <sz val="12"/>
      <color theme="1"/>
      <name val="Porsche Next TT"/>
      <family val="2"/>
    </font>
    <font>
      <b/>
      <sz val="22"/>
      <color theme="1"/>
      <name val="Porsche Next TT"/>
      <family val="2"/>
    </font>
    <font>
      <sz val="13"/>
      <color theme="1"/>
      <name val="Audi Type"/>
      <family val="2"/>
    </font>
    <font>
      <sz val="10"/>
      <color rgb="FF000000"/>
      <name val="Porsche Next TT"/>
      <family val="2"/>
    </font>
    <font>
      <b/>
      <sz val="14"/>
      <color rgb="FF000000"/>
      <name val="Porsche Next TT"/>
      <family val="2"/>
    </font>
    <font>
      <sz val="20"/>
      <color rgb="FF000000"/>
      <name val="Porsche Next TT"/>
      <family val="2"/>
    </font>
    <font>
      <b/>
      <sz val="10"/>
      <color rgb="FFFF0000"/>
      <name val="Porsche Next TT"/>
      <family val="2"/>
    </font>
    <font>
      <sz val="11"/>
      <color rgb="FF000000"/>
      <name val="Porsche Next TT"/>
      <family val="2"/>
    </font>
    <font>
      <b/>
      <sz val="10"/>
      <color rgb="FF000000"/>
      <name val="Porsche Next TT"/>
      <family val="2"/>
    </font>
    <font>
      <sz val="22"/>
      <color theme="1"/>
      <name val="Audi Type"/>
      <family val="2"/>
    </font>
    <font>
      <sz val="12"/>
      <color theme="0"/>
      <name val="Porsche Next TT"/>
      <family val="2"/>
    </font>
    <font>
      <u/>
      <sz val="12"/>
      <color theme="10"/>
      <name val="Porsche Next TT"/>
      <family val="2"/>
    </font>
    <font>
      <sz val="12"/>
      <color theme="10"/>
      <name val="Porsche Next TT"/>
      <family val="2"/>
    </font>
    <font>
      <sz val="11"/>
      <color theme="1"/>
      <name val="Porsche Next TT"/>
      <family val="2"/>
    </font>
    <font>
      <b/>
      <sz val="14"/>
      <color theme="1"/>
      <name val="Porsche Next TT"/>
      <family val="2"/>
    </font>
    <font>
      <sz val="20"/>
      <color theme="1"/>
      <name val="Porsche Next TT"/>
      <family val="2"/>
    </font>
    <font>
      <sz val="6"/>
      <color theme="1"/>
      <name val="Porsche Next TT"/>
      <family val="2"/>
    </font>
    <font>
      <b/>
      <sz val="11"/>
      <color theme="1"/>
      <name val="Porsche Next TT"/>
      <family val="2"/>
    </font>
    <font>
      <i/>
      <sz val="10"/>
      <color theme="1"/>
      <name val="Porsche Next TT"/>
      <family val="2"/>
    </font>
    <font>
      <sz val="10"/>
      <color theme="1"/>
      <name val="Porsche Next TT"/>
      <family val="2"/>
    </font>
    <font>
      <sz val="40"/>
      <color theme="1"/>
      <name val="Porsche Next TT"/>
      <family val="2"/>
    </font>
    <font>
      <b/>
      <sz val="14"/>
      <name val="Porsche Next TT"/>
      <family val="2"/>
    </font>
    <font>
      <b/>
      <sz val="16"/>
      <color theme="4"/>
      <name val="Porsche Next TT"/>
      <family val="2"/>
    </font>
    <font>
      <sz val="12"/>
      <color rgb="FFFF0000"/>
      <name val="Porsche Next TT"/>
      <family val="2"/>
    </font>
    <font>
      <sz val="10"/>
      <name val="Porsche Next TT"/>
      <family val="2"/>
    </font>
    <font>
      <sz val="13"/>
      <color theme="1"/>
      <name val="Porsche Next TT"/>
      <family val="2"/>
    </font>
    <font>
      <sz val="22"/>
      <color theme="1"/>
      <name val="Porsche Next TT"/>
      <family val="2"/>
    </font>
    <font>
      <b/>
      <sz val="8"/>
      <color rgb="FFFF0000"/>
      <name val="Porsche Next TT"/>
      <family val="2"/>
    </font>
    <font>
      <sz val="11"/>
      <color rgb="FFFF0000"/>
      <name val="Porsche Next TT"/>
      <family val="2"/>
    </font>
    <font>
      <sz val="12"/>
      <color rgb="FF000000"/>
      <name val="Porsche Next TT"/>
      <family val="2"/>
    </font>
    <font>
      <b/>
      <sz val="18"/>
      <name val="Porsche Next TT"/>
      <family val="2"/>
    </font>
    <font>
      <b/>
      <sz val="11"/>
      <color rgb="FFFF0000"/>
      <name val="Porsche Next TT"/>
      <family val="2"/>
    </font>
    <font>
      <sz val="11"/>
      <color theme="1"/>
      <name val="Aptos"/>
      <family val="2"/>
    </font>
    <font>
      <i/>
      <sz val="9"/>
      <color theme="1"/>
      <name val="Audi Type"/>
      <family val="2"/>
    </font>
    <font>
      <b/>
      <i/>
      <sz val="11"/>
      <color rgb="FF000000"/>
      <name val="Porsche Next TT"/>
      <family val="2"/>
    </font>
  </fonts>
  <fills count="9">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2"/>
        <bgColor indexed="64"/>
      </patternFill>
    </fill>
    <fill>
      <patternFill patternType="solid">
        <fgColor rgb="FFFFFFFF"/>
        <bgColor rgb="FF000000"/>
      </patternFill>
    </fill>
    <fill>
      <patternFill patternType="solid">
        <fgColor rgb="FFFFFF00"/>
        <bgColor indexed="64"/>
      </patternFill>
    </fill>
    <fill>
      <patternFill patternType="solid">
        <fgColor theme="0" tint="-4.9989318521683403E-2"/>
        <bgColor indexed="64"/>
      </patternFill>
    </fill>
    <fill>
      <patternFill patternType="solid">
        <fgColor theme="1" tint="0.34998626667073579"/>
        <bgColor indexed="64"/>
      </patternFill>
    </fill>
  </fills>
  <borders count="77">
    <border>
      <left/>
      <right/>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style="hair">
        <color indexed="64"/>
      </bottom>
      <diagonal/>
    </border>
    <border>
      <left/>
      <right/>
      <top/>
      <bottom style="thin">
        <color indexed="64"/>
      </bottom>
      <diagonal/>
    </border>
    <border>
      <left/>
      <right/>
      <top style="medium">
        <color indexed="64"/>
      </top>
      <bottom style="hair">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top style="hair">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style="thin">
        <color indexed="64"/>
      </bottom>
      <diagonal/>
    </border>
    <border>
      <left/>
      <right/>
      <top style="hair">
        <color auto="1"/>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right style="thin">
        <color indexed="64"/>
      </right>
      <top style="thin">
        <color indexed="64"/>
      </top>
      <bottom style="thin">
        <color indexed="64"/>
      </bottom>
      <diagonal/>
    </border>
    <border>
      <left style="hair">
        <color indexed="64"/>
      </left>
      <right style="hair">
        <color indexed="64"/>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77111117893"/>
      </right>
      <top/>
      <bottom/>
      <diagonal/>
    </border>
    <border>
      <left style="thin">
        <color theme="0" tint="-0.24994659260841701"/>
      </left>
      <right style="thin">
        <color indexed="64"/>
      </right>
      <top style="thin">
        <color theme="0" tint="-0.24994659260841701"/>
      </top>
      <bottom style="thin">
        <color theme="0" tint="-0.249977111117893"/>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24994659260841701"/>
      </right>
      <top style="thin">
        <color theme="0" tint="-0.24994659260841701"/>
      </top>
      <bottom/>
      <diagonal/>
    </border>
    <border>
      <left style="thin">
        <color theme="0" tint="-0.249977111117893"/>
      </left>
      <right/>
      <top style="thin">
        <color theme="0" tint="-0.249977111117893"/>
      </top>
      <bottom/>
      <diagonal/>
    </border>
    <border>
      <left/>
      <right style="thin">
        <color theme="0" tint="-0.249977111117893"/>
      </right>
      <top style="thin">
        <color theme="0" tint="-0.249977111117893"/>
      </top>
      <bottom/>
      <diagonal/>
    </border>
    <border>
      <left/>
      <right/>
      <top style="thin">
        <color theme="0" tint="-0.249977111117893"/>
      </top>
      <bottom/>
      <diagonal/>
    </border>
    <border>
      <left style="thin">
        <color theme="0" tint="-0.249977111117893"/>
      </left>
      <right/>
      <top/>
      <bottom/>
      <diagonal/>
    </border>
    <border>
      <left style="thin">
        <color theme="0" tint="-0.249977111117893"/>
      </left>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4659260841701"/>
      </right>
      <top style="thin">
        <color theme="0" tint="-0.249977111117893"/>
      </top>
      <bottom style="thin">
        <color theme="0" tint="-0.249977111117893"/>
      </bottom>
      <diagonal/>
    </border>
    <border>
      <left style="thin">
        <color theme="0" tint="-0.24994659260841701"/>
      </left>
      <right style="thin">
        <color theme="0" tint="-0.249977111117893"/>
      </right>
      <top style="thin">
        <color theme="0" tint="-0.24994659260841701"/>
      </top>
      <bottom style="thin">
        <color theme="0" tint="-0.24994659260841701"/>
      </bottom>
      <diagonal/>
    </border>
    <border>
      <left style="thin">
        <color theme="0" tint="-0.249977111117893"/>
      </left>
      <right style="thin">
        <color indexed="64"/>
      </right>
      <top/>
      <bottom/>
      <diagonal/>
    </border>
    <border>
      <left/>
      <right/>
      <top style="thin">
        <color theme="0" tint="-0.249977111117893"/>
      </top>
      <bottom style="thin">
        <color indexed="64"/>
      </bottom>
      <diagonal/>
    </border>
    <border>
      <left/>
      <right/>
      <top style="thin">
        <color theme="0" tint="-0.24994659260841701"/>
      </top>
      <bottom/>
      <diagonal/>
    </border>
    <border>
      <left/>
      <right/>
      <top/>
      <bottom style="thin">
        <color theme="0" tint="-0.24994659260841701"/>
      </bottom>
      <diagonal/>
    </border>
    <border>
      <left/>
      <right/>
      <top style="thin">
        <color theme="0" tint="-0.24994659260841701"/>
      </top>
      <bottom style="thin">
        <color theme="0" tint="-0.249977111117893"/>
      </bottom>
      <diagonal/>
    </border>
    <border>
      <left/>
      <right/>
      <top style="thin">
        <color theme="0" tint="-0.249977111117893"/>
      </top>
      <bottom style="thin">
        <color theme="0" tint="-0.24994659260841701"/>
      </bottom>
      <diagonal/>
    </border>
    <border>
      <left/>
      <right/>
      <top style="thin">
        <color theme="0" tint="-0.249977111117893"/>
      </top>
      <bottom style="thin">
        <color theme="0" tint="-0.249977111117893"/>
      </bottom>
      <diagonal/>
    </border>
    <border>
      <left style="thin">
        <color indexed="64"/>
      </left>
      <right/>
      <top/>
      <bottom style="thin">
        <color theme="0" tint="-0.249977111117893"/>
      </bottom>
      <diagonal/>
    </border>
    <border>
      <left/>
      <right style="thin">
        <color indexed="64"/>
      </right>
      <top/>
      <bottom style="thin">
        <color theme="0" tint="-0.249977111117893"/>
      </bottom>
      <diagonal/>
    </border>
    <border>
      <left style="thin">
        <color indexed="64"/>
      </left>
      <right/>
      <top style="thin">
        <color theme="0" tint="-0.249977111117893"/>
      </top>
      <bottom/>
      <diagonal/>
    </border>
    <border>
      <left style="thin">
        <color indexed="64"/>
      </left>
      <right/>
      <top style="thin">
        <color theme="0" tint="-0.249977111117893"/>
      </top>
      <bottom style="thin">
        <color indexed="64"/>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1"/>
      </right>
      <top style="thin">
        <color theme="0" tint="-0.249977111117893"/>
      </top>
      <bottom/>
      <diagonal/>
    </border>
    <border>
      <left/>
      <right style="thin">
        <color theme="1"/>
      </right>
      <top/>
      <bottom style="thin">
        <color theme="0" tint="-0.249977111117893"/>
      </bottom>
      <diagonal/>
    </border>
    <border>
      <left/>
      <right style="hair">
        <color indexed="64"/>
      </right>
      <top style="hair">
        <color indexed="64"/>
      </top>
      <bottom style="hair">
        <color indexed="64"/>
      </bottom>
      <diagonal/>
    </border>
  </borders>
  <cellStyleXfs count="4">
    <xf numFmtId="0" fontId="0" fillId="0" borderId="0"/>
    <xf numFmtId="0" fontId="6" fillId="0" borderId="0"/>
    <xf numFmtId="9" fontId="24" fillId="0" borderId="0" applyFont="0" applyFill="0" applyBorder="0" applyAlignment="0" applyProtection="0"/>
    <xf numFmtId="0" fontId="35" fillId="0" borderId="0" applyNumberFormat="0" applyFill="0" applyBorder="0" applyAlignment="0" applyProtection="0"/>
  </cellStyleXfs>
  <cellXfs count="516">
    <xf numFmtId="0" fontId="0" fillId="0" borderId="0" xfId="0"/>
    <xf numFmtId="49" fontId="0" fillId="0" borderId="0" xfId="0" applyNumberFormat="1"/>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5" fillId="0" borderId="0" xfId="0" applyFont="1"/>
    <xf numFmtId="0" fontId="10" fillId="3" borderId="0" xfId="0" applyFont="1" applyFill="1"/>
    <xf numFmtId="0" fontId="10" fillId="3" borderId="0" xfId="0" applyFont="1" applyFill="1" applyAlignment="1">
      <alignment vertical="center" wrapText="1"/>
    </xf>
    <xf numFmtId="0" fontId="7" fillId="0" borderId="0" xfId="0" applyFont="1"/>
    <xf numFmtId="0" fontId="0" fillId="0" borderId="8" xfId="0" applyBorder="1"/>
    <xf numFmtId="0" fontId="0" fillId="0" borderId="9" xfId="0" applyBorder="1"/>
    <xf numFmtId="0" fontId="2" fillId="0" borderId="8" xfId="0" applyFont="1" applyBorder="1" applyAlignment="1">
      <alignment horizontal="center" vertical="center" wrapText="1"/>
    </xf>
    <xf numFmtId="0" fontId="2" fillId="0" borderId="0" xfId="0" applyFont="1" applyAlignment="1">
      <alignment horizontal="center" vertical="center" wrapText="1"/>
    </xf>
    <xf numFmtId="0" fontId="2" fillId="0" borderId="9" xfId="0" applyFont="1" applyBorder="1" applyAlignment="1">
      <alignment horizontal="center" vertical="center" wrapText="1"/>
    </xf>
    <xf numFmtId="0" fontId="0" fillId="0" borderId="8" xfId="0" applyBorder="1" applyAlignment="1">
      <alignment vertical="center" wrapText="1"/>
    </xf>
    <xf numFmtId="0" fontId="0" fillId="0" borderId="0" xfId="0" applyAlignment="1">
      <alignment vertical="center" wrapText="1"/>
    </xf>
    <xf numFmtId="0" fontId="0" fillId="0" borderId="9" xfId="0" applyBorder="1" applyAlignment="1">
      <alignment horizontal="center" vertical="center" wrapText="1"/>
    </xf>
    <xf numFmtId="0" fontId="0" fillId="0" borderId="0" xfId="0" applyAlignment="1">
      <alignment horizontal="right" vertical="center" wrapText="1"/>
    </xf>
    <xf numFmtId="0" fontId="5" fillId="0" borderId="8" xfId="0" applyFont="1" applyBorder="1" applyAlignment="1">
      <alignment horizontal="left"/>
    </xf>
    <xf numFmtId="0" fontId="5" fillId="0" borderId="0" xfId="0" applyFont="1" applyAlignment="1">
      <alignment horizontal="right"/>
    </xf>
    <xf numFmtId="0" fontId="5" fillId="0" borderId="10" xfId="0" applyFont="1" applyBorder="1" applyAlignment="1">
      <alignment horizontal="left"/>
    </xf>
    <xf numFmtId="0" fontId="5" fillId="0" borderId="11" xfId="0" applyFont="1" applyBorder="1" applyAlignment="1">
      <alignment horizontal="right"/>
    </xf>
    <xf numFmtId="0" fontId="0" fillId="0" borderId="12" xfId="0" applyBorder="1" applyAlignment="1">
      <alignment horizontal="center" vertical="center" wrapText="1"/>
    </xf>
    <xf numFmtId="49" fontId="10" fillId="3" borderId="0" xfId="0" applyNumberFormat="1" applyFont="1" applyFill="1"/>
    <xf numFmtId="0" fontId="0" fillId="3" borderId="0" xfId="0" applyFill="1"/>
    <xf numFmtId="0" fontId="0" fillId="4" borderId="15" xfId="0" applyFill="1" applyBorder="1"/>
    <xf numFmtId="0" fontId="0" fillId="4" borderId="16" xfId="0" applyFill="1" applyBorder="1"/>
    <xf numFmtId="0" fontId="0" fillId="3" borderId="0" xfId="0" applyFill="1" applyAlignment="1">
      <alignment horizontal="left" vertical="center"/>
    </xf>
    <xf numFmtId="0" fontId="4" fillId="0" borderId="9" xfId="0" applyFont="1" applyBorder="1"/>
    <xf numFmtId="0" fontId="5" fillId="0" borderId="9" xfId="0" quotePrefix="1" applyFont="1" applyBorder="1"/>
    <xf numFmtId="0" fontId="5" fillId="0" borderId="9" xfId="0" applyFont="1" applyBorder="1" applyAlignment="1">
      <alignment horizontal="left"/>
    </xf>
    <xf numFmtId="0" fontId="5" fillId="0" borderId="9" xfId="0" applyFont="1" applyBorder="1"/>
    <xf numFmtId="0" fontId="0" fillId="0" borderId="14" xfId="0" applyBorder="1"/>
    <xf numFmtId="0" fontId="0" fillId="0" borderId="5"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0" fillId="0" borderId="12" xfId="0" applyBorder="1" applyAlignment="1">
      <alignment vertical="center"/>
    </xf>
    <xf numFmtId="0" fontId="4" fillId="0" borderId="0" xfId="0" applyFont="1" applyAlignment="1">
      <alignment vertical="center"/>
    </xf>
    <xf numFmtId="49" fontId="20" fillId="0" borderId="0" xfId="1" applyNumberFormat="1" applyFont="1" applyProtection="1">
      <protection hidden="1"/>
    </xf>
    <xf numFmtId="49" fontId="21" fillId="0" borderId="0" xfId="1" applyNumberFormat="1" applyFont="1" applyProtection="1">
      <protection hidden="1"/>
    </xf>
    <xf numFmtId="49" fontId="21" fillId="0" borderId="0" xfId="1" applyNumberFormat="1" applyFont="1" applyAlignment="1">
      <alignment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center" vertical="center" wrapText="1"/>
    </xf>
    <xf numFmtId="0" fontId="22" fillId="3" borderId="0" xfId="0" applyFont="1" applyFill="1"/>
    <xf numFmtId="49" fontId="22" fillId="3" borderId="0" xfId="0" applyNumberFormat="1" applyFont="1" applyFill="1"/>
    <xf numFmtId="10" fontId="22" fillId="3" borderId="0" xfId="0" applyNumberFormat="1" applyFont="1" applyFill="1"/>
    <xf numFmtId="0" fontId="23" fillId="0" borderId="0" xfId="0" applyFont="1"/>
    <xf numFmtId="0" fontId="0" fillId="0" borderId="2" xfId="0" applyBorder="1"/>
    <xf numFmtId="0" fontId="0" fillId="0" borderId="3" xfId="0" applyBorder="1"/>
    <xf numFmtId="0" fontId="0" fillId="0" borderId="4" xfId="0" applyBorder="1"/>
    <xf numFmtId="10" fontId="0" fillId="0" borderId="0" xfId="0" applyNumberFormat="1"/>
    <xf numFmtId="0" fontId="0" fillId="0" borderId="0" xfId="0" applyAlignment="1">
      <alignment vertical="center"/>
    </xf>
    <xf numFmtId="0" fontId="0" fillId="0" borderId="0" xfId="0" applyAlignment="1">
      <alignment horizontal="right" vertical="center"/>
    </xf>
    <xf numFmtId="49" fontId="0" fillId="3" borderId="0" xfId="0" applyNumberFormat="1" applyFill="1"/>
    <xf numFmtId="0" fontId="23" fillId="0" borderId="0" xfId="0" applyFont="1" applyAlignment="1">
      <alignment horizontal="center" vertical="center"/>
    </xf>
    <xf numFmtId="10" fontId="0" fillId="0" borderId="0" xfId="0" applyNumberFormat="1" applyAlignment="1">
      <alignment horizontal="center" vertical="center"/>
    </xf>
    <xf numFmtId="2" fontId="0" fillId="0" borderId="0" xfId="0" applyNumberFormat="1"/>
    <xf numFmtId="49" fontId="0" fillId="3" borderId="0" xfId="0" applyNumberFormat="1" applyFill="1" applyAlignment="1">
      <alignment horizontal="left" vertical="center"/>
    </xf>
    <xf numFmtId="0" fontId="37" fillId="3" borderId="5" xfId="0" applyFont="1" applyFill="1" applyBorder="1"/>
    <xf numFmtId="14" fontId="38" fillId="3" borderId="1" xfId="0" applyNumberFormat="1" applyFont="1" applyFill="1" applyBorder="1" applyAlignment="1">
      <alignment horizontal="left" vertical="center"/>
    </xf>
    <xf numFmtId="0" fontId="39" fillId="3" borderId="7" xfId="0" applyFont="1" applyFill="1" applyBorder="1"/>
    <xf numFmtId="0" fontId="40" fillId="3" borderId="5" xfId="0" applyFont="1" applyFill="1" applyBorder="1"/>
    <xf numFmtId="14" fontId="40" fillId="3" borderId="6" xfId="0" applyNumberFormat="1" applyFont="1" applyFill="1" applyBorder="1"/>
    <xf numFmtId="0" fontId="40" fillId="3" borderId="6" xfId="0" applyFont="1" applyFill="1" applyBorder="1"/>
    <xf numFmtId="14" fontId="40" fillId="3" borderId="6" xfId="0" applyNumberFormat="1" applyFont="1" applyFill="1" applyBorder="1" applyAlignment="1">
      <alignment horizontal="left"/>
    </xf>
    <xf numFmtId="0" fontId="40" fillId="3" borderId="7" xfId="0" applyFont="1" applyFill="1" applyBorder="1"/>
    <xf numFmtId="0" fontId="37" fillId="3" borderId="8" xfId="0" applyFont="1" applyFill="1" applyBorder="1"/>
    <xf numFmtId="0" fontId="41" fillId="3" borderId="0" xfId="0" applyFont="1" applyFill="1" applyAlignment="1">
      <alignment vertical="top"/>
    </xf>
    <xf numFmtId="0" fontId="37" fillId="3" borderId="9" xfId="0" applyFont="1" applyFill="1" applyBorder="1"/>
    <xf numFmtId="0" fontId="42" fillId="3" borderId="8" xfId="0" applyFont="1" applyFill="1" applyBorder="1" applyAlignment="1">
      <alignment wrapText="1"/>
    </xf>
    <xf numFmtId="0" fontId="42" fillId="3" borderId="0" xfId="0" applyFont="1" applyFill="1" applyAlignment="1">
      <alignment vertical="top" wrapText="1"/>
    </xf>
    <xf numFmtId="0" fontId="42" fillId="3" borderId="9" xfId="0" applyFont="1" applyFill="1" applyBorder="1" applyAlignment="1">
      <alignment wrapText="1"/>
    </xf>
    <xf numFmtId="0" fontId="40" fillId="3" borderId="10" xfId="0" applyFont="1" applyFill="1" applyBorder="1"/>
    <xf numFmtId="0" fontId="40" fillId="3" borderId="11" xfId="0" applyFont="1" applyFill="1" applyBorder="1"/>
    <xf numFmtId="0" fontId="40" fillId="3" borderId="11" xfId="0" applyFont="1" applyFill="1" applyBorder="1" applyAlignment="1">
      <alignment wrapText="1"/>
    </xf>
    <xf numFmtId="0" fontId="40" fillId="3" borderId="12" xfId="0" applyFont="1" applyFill="1" applyBorder="1"/>
    <xf numFmtId="0" fontId="37" fillId="3" borderId="18" xfId="0" applyFont="1" applyFill="1" applyBorder="1" applyAlignment="1">
      <alignment vertical="top"/>
    </xf>
    <xf numFmtId="0" fontId="37" fillId="3" borderId="18" xfId="0" applyFont="1" applyFill="1" applyBorder="1" applyAlignment="1">
      <alignment vertical="top" wrapText="1"/>
    </xf>
    <xf numFmtId="49" fontId="37" fillId="3" borderId="18" xfId="0" applyNumberFormat="1" applyFont="1" applyFill="1" applyBorder="1" applyAlignment="1">
      <alignment vertical="top" wrapText="1"/>
    </xf>
    <xf numFmtId="49" fontId="37" fillId="3" borderId="18" xfId="0" applyNumberFormat="1" applyFont="1" applyFill="1" applyBorder="1" applyAlignment="1">
      <alignment vertical="top"/>
    </xf>
    <xf numFmtId="14" fontId="37" fillId="3" borderId="18" xfId="0" applyNumberFormat="1" applyFont="1" applyFill="1" applyBorder="1" applyAlignment="1">
      <alignment vertical="top"/>
    </xf>
    <xf numFmtId="0" fontId="37" fillId="3" borderId="16" xfId="0" applyFont="1" applyFill="1" applyBorder="1" applyAlignment="1">
      <alignment vertical="top"/>
    </xf>
    <xf numFmtId="0" fontId="37" fillId="3" borderId="16" xfId="0" quotePrefix="1" applyFont="1" applyFill="1" applyBorder="1" applyAlignment="1">
      <alignment vertical="top" wrapText="1"/>
    </xf>
    <xf numFmtId="0" fontId="37" fillId="3" borderId="16" xfId="0" applyFont="1" applyFill="1" applyBorder="1" applyAlignment="1">
      <alignment vertical="top" wrapText="1"/>
    </xf>
    <xf numFmtId="49" fontId="37" fillId="3" borderId="16" xfId="0" applyNumberFormat="1" applyFont="1" applyFill="1" applyBorder="1" applyAlignment="1">
      <alignment vertical="top" wrapText="1"/>
    </xf>
    <xf numFmtId="49" fontId="37" fillId="3" borderId="16" xfId="0" applyNumberFormat="1" applyFont="1" applyFill="1" applyBorder="1" applyAlignment="1">
      <alignment vertical="top"/>
    </xf>
    <xf numFmtId="14" fontId="37" fillId="3" borderId="16" xfId="0" applyNumberFormat="1" applyFont="1" applyFill="1" applyBorder="1" applyAlignment="1">
      <alignment vertical="top"/>
    </xf>
    <xf numFmtId="0" fontId="40" fillId="3" borderId="0" xfId="0" applyFont="1" applyFill="1"/>
    <xf numFmtId="0" fontId="40" fillId="3" borderId="9" xfId="0" applyFont="1" applyFill="1" applyBorder="1"/>
    <xf numFmtId="0" fontId="37" fillId="3" borderId="13" xfId="0" applyFont="1" applyFill="1" applyBorder="1"/>
    <xf numFmtId="0" fontId="44" fillId="3" borderId="14" xfId="0" applyFont="1" applyFill="1" applyBorder="1"/>
    <xf numFmtId="0" fontId="10" fillId="3" borderId="0" xfId="0" applyFont="1" applyFill="1" applyAlignment="1">
      <alignment vertical="top" wrapText="1"/>
    </xf>
    <xf numFmtId="0" fontId="27" fillId="5" borderId="0" xfId="0" applyFont="1" applyFill="1"/>
    <xf numFmtId="0" fontId="27" fillId="5" borderId="23" xfId="0" applyFont="1" applyFill="1" applyBorder="1"/>
    <xf numFmtId="0" fontId="31" fillId="5" borderId="24" xfId="0" applyFont="1" applyFill="1" applyBorder="1" applyAlignment="1">
      <alignment vertical="center"/>
    </xf>
    <xf numFmtId="0" fontId="22" fillId="3" borderId="28" xfId="0" applyFont="1" applyFill="1" applyBorder="1"/>
    <xf numFmtId="0" fontId="17" fillId="3" borderId="17" xfId="0" applyFont="1" applyFill="1" applyBorder="1"/>
    <xf numFmtId="0" fontId="17" fillId="3" borderId="29" xfId="0" applyFont="1" applyFill="1" applyBorder="1"/>
    <xf numFmtId="164" fontId="29" fillId="5" borderId="27" xfId="0" applyNumberFormat="1" applyFont="1" applyFill="1" applyBorder="1"/>
    <xf numFmtId="0" fontId="27" fillId="5" borderId="27" xfId="0" applyFont="1" applyFill="1" applyBorder="1"/>
    <xf numFmtId="0" fontId="27" fillId="5" borderId="17" xfId="0" applyFont="1" applyFill="1" applyBorder="1" applyAlignment="1">
      <alignment vertical="center" textRotation="90"/>
    </xf>
    <xf numFmtId="0" fontId="30" fillId="5" borderId="17" xfId="0" applyFont="1" applyFill="1" applyBorder="1" applyAlignment="1">
      <alignment horizontal="center" vertical="center"/>
    </xf>
    <xf numFmtId="10" fontId="32" fillId="5" borderId="17" xfId="0" applyNumberFormat="1" applyFont="1" applyFill="1" applyBorder="1" applyAlignment="1">
      <alignment horizontal="center" vertical="center" wrapText="1"/>
    </xf>
    <xf numFmtId="0" fontId="32" fillId="5" borderId="33" xfId="0" applyFont="1" applyFill="1" applyBorder="1" applyAlignment="1">
      <alignment horizontal="center" vertical="center" wrapText="1"/>
    </xf>
    <xf numFmtId="0" fontId="31" fillId="5" borderId="0" xfId="0" applyFont="1" applyFill="1" applyAlignment="1">
      <alignment vertical="center"/>
    </xf>
    <xf numFmtId="0" fontId="26" fillId="3" borderId="0" xfId="0" applyFont="1" applyFill="1" applyAlignment="1">
      <alignment vertical="center"/>
    </xf>
    <xf numFmtId="0" fontId="33" fillId="3" borderId="0" xfId="0" applyFont="1" applyFill="1" applyAlignment="1">
      <alignment vertical="center"/>
    </xf>
    <xf numFmtId="0" fontId="25" fillId="3" borderId="0" xfId="0" applyFont="1" applyFill="1" applyAlignment="1">
      <alignment horizontal="center" vertical="center"/>
    </xf>
    <xf numFmtId="49" fontId="32" fillId="5" borderId="17" xfId="0" applyNumberFormat="1" applyFont="1" applyFill="1" applyBorder="1" applyAlignment="1">
      <alignment vertical="center"/>
    </xf>
    <xf numFmtId="0" fontId="0" fillId="3" borderId="24" xfId="0" applyFill="1" applyBorder="1"/>
    <xf numFmtId="0" fontId="18" fillId="3" borderId="24" xfId="0" applyFont="1" applyFill="1" applyBorder="1"/>
    <xf numFmtId="0" fontId="17" fillId="3" borderId="24" xfId="0" applyFont="1" applyFill="1" applyBorder="1"/>
    <xf numFmtId="0" fontId="0" fillId="3" borderId="17" xfId="0" applyFill="1" applyBorder="1"/>
    <xf numFmtId="0" fontId="0" fillId="3" borderId="29" xfId="0" applyFill="1" applyBorder="1"/>
    <xf numFmtId="0" fontId="19" fillId="3" borderId="27" xfId="0" applyFont="1" applyFill="1" applyBorder="1" applyAlignment="1">
      <alignment horizontal="left" vertical="center"/>
    </xf>
    <xf numFmtId="0" fontId="18" fillId="3" borderId="27" xfId="0" applyFont="1" applyFill="1" applyBorder="1"/>
    <xf numFmtId="0" fontId="18" fillId="3" borderId="23" xfId="0" applyFont="1" applyFill="1" applyBorder="1"/>
    <xf numFmtId="0" fontId="34" fillId="3" borderId="27" xfId="0" applyFont="1" applyFill="1" applyBorder="1"/>
    <xf numFmtId="0" fontId="12" fillId="3" borderId="0" xfId="0" applyFont="1" applyFill="1" applyAlignment="1">
      <alignment horizontal="center" vertical="center" textRotation="90"/>
    </xf>
    <xf numFmtId="0" fontId="10" fillId="3" borderId="27" xfId="0" applyFont="1" applyFill="1" applyBorder="1"/>
    <xf numFmtId="0" fontId="0" fillId="3" borderId="15" xfId="0" applyFill="1" applyBorder="1" applyAlignment="1">
      <alignment horizontal="left" vertical="center"/>
    </xf>
    <xf numFmtId="49" fontId="0" fillId="3" borderId="15" xfId="0" applyNumberFormat="1" applyFill="1" applyBorder="1" applyAlignment="1">
      <alignment horizontal="left" vertical="center"/>
    </xf>
    <xf numFmtId="0" fontId="0" fillId="3" borderId="15" xfId="0" applyFill="1" applyBorder="1" applyAlignment="1">
      <alignment horizontal="center" vertical="center"/>
    </xf>
    <xf numFmtId="0" fontId="0" fillId="3" borderId="15" xfId="0" applyFill="1" applyBorder="1" applyAlignment="1">
      <alignment horizontal="left" vertical="center" wrapText="1"/>
    </xf>
    <xf numFmtId="0" fontId="10" fillId="3" borderId="15" xfId="0" applyFont="1" applyFill="1" applyBorder="1" applyAlignment="1">
      <alignment horizontal="center" vertical="center"/>
    </xf>
    <xf numFmtId="0" fontId="0" fillId="3" borderId="16" xfId="0" applyFill="1" applyBorder="1" applyAlignment="1">
      <alignment horizontal="left" vertical="center"/>
    </xf>
    <xf numFmtId="49" fontId="0" fillId="3" borderId="16" xfId="0" applyNumberFormat="1" applyFill="1" applyBorder="1" applyAlignment="1">
      <alignment horizontal="left" vertical="center"/>
    </xf>
    <xf numFmtId="0" fontId="0" fillId="3" borderId="16" xfId="0" applyFill="1" applyBorder="1" applyAlignment="1">
      <alignment horizontal="center" vertical="center"/>
    </xf>
    <xf numFmtId="0" fontId="0" fillId="3" borderId="16" xfId="0" applyFill="1" applyBorder="1" applyAlignment="1">
      <alignment horizontal="left" vertical="center" wrapText="1"/>
    </xf>
    <xf numFmtId="0" fontId="10" fillId="3" borderId="16" xfId="0" applyFont="1" applyFill="1" applyBorder="1" applyAlignment="1">
      <alignment horizontal="center" vertical="center"/>
    </xf>
    <xf numFmtId="0" fontId="2" fillId="3" borderId="24" xfId="0" applyFont="1" applyFill="1" applyBorder="1" applyAlignment="1">
      <alignment horizontal="center" vertical="center"/>
    </xf>
    <xf numFmtId="0" fontId="36" fillId="3" borderId="24" xfId="3" applyFont="1" applyFill="1" applyBorder="1" applyAlignment="1">
      <alignment horizontal="center" vertical="center"/>
    </xf>
    <xf numFmtId="49" fontId="0" fillId="4" borderId="24" xfId="0" applyNumberFormat="1" applyFill="1" applyBorder="1" applyAlignment="1">
      <alignment horizontal="center"/>
    </xf>
    <xf numFmtId="0" fontId="10" fillId="3" borderId="0" xfId="0" applyFont="1" applyFill="1" applyAlignment="1">
      <alignment horizontal="center" vertical="center"/>
    </xf>
    <xf numFmtId="0" fontId="2" fillId="3" borderId="24" xfId="0" applyFont="1" applyFill="1" applyBorder="1" applyAlignment="1">
      <alignment horizontal="left"/>
    </xf>
    <xf numFmtId="49" fontId="0" fillId="3" borderId="24" xfId="0" applyNumberFormat="1" applyFill="1" applyBorder="1" applyAlignment="1">
      <alignment horizontal="center"/>
    </xf>
    <xf numFmtId="0" fontId="0" fillId="3" borderId="0" xfId="0" applyFill="1" applyAlignment="1">
      <alignment horizontal="center" vertical="center"/>
    </xf>
    <xf numFmtId="0" fontId="0" fillId="3" borderId="0" xfId="0" applyFill="1" applyAlignment="1">
      <alignment horizontal="left" vertical="center" wrapText="1"/>
    </xf>
    <xf numFmtId="0" fontId="0" fillId="3" borderId="28" xfId="0" applyFill="1" applyBorder="1"/>
    <xf numFmtId="49" fontId="0" fillId="3" borderId="17" xfId="0" applyNumberFormat="1" applyFill="1" applyBorder="1" applyAlignment="1">
      <alignment horizontal="left" vertical="center"/>
    </xf>
    <xf numFmtId="0" fontId="0" fillId="3" borderId="17" xfId="0" applyFill="1" applyBorder="1" applyAlignment="1">
      <alignment horizontal="left" vertical="center"/>
    </xf>
    <xf numFmtId="0" fontId="22" fillId="3" borderId="17" xfId="0" applyFont="1" applyFill="1" applyBorder="1"/>
    <xf numFmtId="0" fontId="22" fillId="3" borderId="29" xfId="0" applyFont="1" applyFill="1" applyBorder="1"/>
    <xf numFmtId="0" fontId="0" fillId="3" borderId="22" xfId="0" applyFill="1" applyBorder="1"/>
    <xf numFmtId="0" fontId="10" fillId="3" borderId="28" xfId="0" applyFont="1" applyFill="1" applyBorder="1"/>
    <xf numFmtId="49" fontId="10" fillId="3" borderId="28" xfId="0" applyNumberFormat="1" applyFont="1" applyFill="1" applyBorder="1"/>
    <xf numFmtId="0" fontId="10" fillId="3" borderId="26" xfId="0" applyFont="1" applyFill="1" applyBorder="1"/>
    <xf numFmtId="0" fontId="18" fillId="3" borderId="26" xfId="0" applyFont="1" applyFill="1" applyBorder="1"/>
    <xf numFmtId="0" fontId="17" fillId="3" borderId="28" xfId="0" applyFont="1" applyFill="1" applyBorder="1"/>
    <xf numFmtId="0" fontId="18" fillId="3" borderId="28" xfId="0" applyFont="1" applyFill="1" applyBorder="1"/>
    <xf numFmtId="0" fontId="27" fillId="5" borderId="26" xfId="0" applyFont="1" applyFill="1" applyBorder="1"/>
    <xf numFmtId="0" fontId="27" fillId="5" borderId="28" xfId="0" applyFont="1" applyFill="1" applyBorder="1" applyAlignment="1">
      <alignment vertical="center"/>
    </xf>
    <xf numFmtId="0" fontId="27" fillId="5" borderId="27" xfId="0" applyFont="1" applyFill="1" applyBorder="1" applyAlignment="1">
      <alignment textRotation="90"/>
    </xf>
    <xf numFmtId="49" fontId="27" fillId="5" borderId="27" xfId="0" applyNumberFormat="1" applyFont="1" applyFill="1" applyBorder="1"/>
    <xf numFmtId="0" fontId="28" fillId="5" borderId="27" xfId="0" applyFont="1" applyFill="1" applyBorder="1" applyAlignment="1">
      <alignment horizontal="left" vertical="center"/>
    </xf>
    <xf numFmtId="0" fontId="15" fillId="3" borderId="24" xfId="0" applyFont="1" applyFill="1" applyBorder="1" applyAlignment="1">
      <alignment horizontal="left" vertical="center"/>
    </xf>
    <xf numFmtId="0" fontId="10" fillId="3" borderId="24" xfId="0" applyFont="1" applyFill="1" applyBorder="1"/>
    <xf numFmtId="0" fontId="10" fillId="3" borderId="29" xfId="0" applyFont="1" applyFill="1" applyBorder="1"/>
    <xf numFmtId="0" fontId="10" fillId="3" borderId="22" xfId="0" applyFont="1" applyFill="1" applyBorder="1"/>
    <xf numFmtId="0" fontId="10" fillId="3" borderId="17" xfId="0" applyFont="1" applyFill="1" applyBorder="1"/>
    <xf numFmtId="0" fontId="34" fillId="3" borderId="17" xfId="0" applyFont="1" applyFill="1" applyBorder="1"/>
    <xf numFmtId="0" fontId="10" fillId="3" borderId="28" xfId="0" applyFont="1" applyFill="1" applyBorder="1" applyAlignment="1">
      <alignment horizontal="center"/>
    </xf>
    <xf numFmtId="49" fontId="10" fillId="3" borderId="26" xfId="0" applyNumberFormat="1" applyFont="1" applyFill="1" applyBorder="1"/>
    <xf numFmtId="0" fontId="15" fillId="3" borderId="29" xfId="0" applyFont="1" applyFill="1" applyBorder="1" applyAlignment="1">
      <alignment horizontal="left" vertical="center"/>
    </xf>
    <xf numFmtId="0" fontId="2" fillId="3" borderId="0" xfId="0" applyFont="1" applyFill="1" applyAlignment="1">
      <alignment horizontal="left" vertical="center"/>
    </xf>
    <xf numFmtId="49" fontId="2" fillId="3" borderId="0" xfId="0" applyNumberFormat="1" applyFont="1" applyFill="1" applyAlignment="1">
      <alignment horizontal="left" vertical="center"/>
    </xf>
    <xf numFmtId="49" fontId="2" fillId="3" borderId="0" xfId="0" applyNumberFormat="1" applyFont="1" applyFill="1" applyAlignment="1">
      <alignment horizontal="center" vertical="center" textRotation="90"/>
    </xf>
    <xf numFmtId="49" fontId="2" fillId="3" borderId="0" xfId="0" applyNumberFormat="1" applyFont="1" applyFill="1" applyAlignment="1">
      <alignment horizontal="center" vertical="center"/>
    </xf>
    <xf numFmtId="0" fontId="0" fillId="3" borderId="26" xfId="0" applyFill="1" applyBorder="1"/>
    <xf numFmtId="0" fontId="0" fillId="0" borderId="0" xfId="0" applyAlignment="1">
      <alignment horizontal="left" vertical="center" wrapText="1"/>
    </xf>
    <xf numFmtId="0" fontId="2" fillId="0" borderId="0" xfId="0" applyFont="1"/>
    <xf numFmtId="0" fontId="35" fillId="3" borderId="0" xfId="3" applyFill="1" applyBorder="1" applyAlignment="1">
      <alignment horizontal="center" vertical="center"/>
    </xf>
    <xf numFmtId="0" fontId="35" fillId="3" borderId="15" xfId="3" applyFill="1" applyBorder="1" applyAlignment="1">
      <alignment horizontal="center" vertical="center"/>
    </xf>
    <xf numFmtId="0" fontId="35" fillId="3" borderId="16" xfId="3" applyFill="1" applyBorder="1" applyAlignment="1">
      <alignment horizontal="center" vertical="center"/>
    </xf>
    <xf numFmtId="49" fontId="15" fillId="3" borderId="17" xfId="0" applyNumberFormat="1" applyFont="1" applyFill="1" applyBorder="1" applyAlignment="1">
      <alignment horizontal="right" vertical="center"/>
    </xf>
    <xf numFmtId="10" fontId="15" fillId="3" borderId="17" xfId="0" applyNumberFormat="1" applyFont="1" applyFill="1" applyBorder="1" applyAlignment="1">
      <alignment horizontal="center" vertical="center"/>
    </xf>
    <xf numFmtId="0" fontId="16" fillId="3" borderId="0" xfId="0" applyFont="1" applyFill="1" applyAlignment="1">
      <alignment horizontal="left" vertical="center"/>
    </xf>
    <xf numFmtId="0" fontId="0" fillId="3" borderId="0" xfId="0" applyFill="1" applyAlignment="1">
      <alignment horizontal="left"/>
    </xf>
    <xf numFmtId="0" fontId="0" fillId="4" borderId="0" xfId="0" applyFill="1"/>
    <xf numFmtId="0" fontId="2" fillId="4" borderId="0" xfId="0" applyFont="1" applyFill="1" applyAlignment="1">
      <alignment horizontal="left" vertical="center"/>
    </xf>
    <xf numFmtId="0" fontId="2" fillId="3" borderId="0" xfId="0" applyFont="1" applyFill="1"/>
    <xf numFmtId="0" fontId="23" fillId="3" borderId="0" xfId="0" applyFont="1" applyFill="1" applyAlignment="1">
      <alignment horizontal="center"/>
    </xf>
    <xf numFmtId="0" fontId="0" fillId="3" borderId="0" xfId="0" applyFill="1" applyAlignment="1">
      <alignment vertical="top"/>
    </xf>
    <xf numFmtId="0" fontId="47" fillId="3" borderId="0" xfId="0" applyFont="1" applyFill="1" applyAlignment="1">
      <alignment horizontal="center" wrapText="1"/>
    </xf>
    <xf numFmtId="9" fontId="2" fillId="4" borderId="0" xfId="0" applyNumberFormat="1" applyFont="1" applyFill="1" applyAlignment="1">
      <alignment horizontal="center" vertical="center"/>
    </xf>
    <xf numFmtId="0" fontId="17" fillId="3" borderId="0" xfId="0" applyFont="1" applyFill="1"/>
    <xf numFmtId="0" fontId="0" fillId="3" borderId="0" xfId="0" applyFill="1" applyAlignment="1">
      <alignment wrapText="1"/>
    </xf>
    <xf numFmtId="0" fontId="17" fillId="3" borderId="0" xfId="0" applyFont="1" applyFill="1" applyAlignment="1">
      <alignment horizontal="left" vertical="center"/>
    </xf>
    <xf numFmtId="0" fontId="18" fillId="3" borderId="0" xfId="0" applyFont="1" applyFill="1"/>
    <xf numFmtId="14" fontId="0" fillId="3" borderId="0" xfId="0" applyNumberFormat="1" applyFill="1" applyAlignment="1">
      <alignment horizontal="left"/>
    </xf>
    <xf numFmtId="49" fontId="3" fillId="7" borderId="0" xfId="0" applyNumberFormat="1" applyFont="1" applyFill="1" applyAlignment="1">
      <alignment horizontal="left" vertical="center"/>
    </xf>
    <xf numFmtId="0" fontId="43" fillId="7" borderId="0" xfId="0" applyFont="1" applyFill="1" applyAlignment="1">
      <alignment vertical="center"/>
    </xf>
    <xf numFmtId="0" fontId="3" fillId="7" borderId="15" xfId="0" applyFont="1" applyFill="1" applyBorder="1" applyAlignment="1">
      <alignment vertical="center" wrapText="1"/>
    </xf>
    <xf numFmtId="0" fontId="48" fillId="7" borderId="32" xfId="2" applyNumberFormat="1" applyFont="1" applyFill="1" applyBorder="1" applyAlignment="1">
      <alignment horizontal="center" vertical="center"/>
    </xf>
    <xf numFmtId="9" fontId="3" fillId="7" borderId="15" xfId="2" applyFont="1" applyFill="1" applyBorder="1" applyAlignment="1">
      <alignment horizontal="center" vertical="center"/>
    </xf>
    <xf numFmtId="0" fontId="49" fillId="3" borderId="24" xfId="0" applyFont="1" applyFill="1" applyBorder="1" applyAlignment="1">
      <alignment vertical="center"/>
    </xf>
    <xf numFmtId="49" fontId="43" fillId="3" borderId="0" xfId="0" applyNumberFormat="1" applyFont="1" applyFill="1" applyAlignment="1">
      <alignment vertical="center"/>
    </xf>
    <xf numFmtId="0" fontId="43" fillId="3" borderId="0" xfId="0" applyFont="1" applyFill="1" applyAlignment="1">
      <alignment vertical="center"/>
    </xf>
    <xf numFmtId="0" fontId="43" fillId="3" borderId="15" xfId="0" applyFont="1" applyFill="1" applyBorder="1" applyAlignment="1">
      <alignment vertical="center" wrapText="1"/>
    </xf>
    <xf numFmtId="0" fontId="48" fillId="0" borderId="32" xfId="2" applyNumberFormat="1" applyFont="1" applyFill="1" applyBorder="1" applyAlignment="1">
      <alignment horizontal="center" vertical="center"/>
    </xf>
    <xf numFmtId="9" fontId="43" fillId="3" borderId="15" xfId="2" applyFont="1" applyFill="1" applyBorder="1" applyAlignment="1">
      <alignment horizontal="center" vertical="center"/>
    </xf>
    <xf numFmtId="49" fontId="43" fillId="3" borderId="15" xfId="0" applyNumberFormat="1" applyFont="1" applyFill="1" applyBorder="1" applyAlignment="1">
      <alignment vertical="center" wrapText="1"/>
    </xf>
    <xf numFmtId="0" fontId="43" fillId="0" borderId="32" xfId="2" applyNumberFormat="1" applyFont="1" applyFill="1" applyBorder="1" applyAlignment="1">
      <alignment horizontal="center" vertical="center"/>
    </xf>
    <xf numFmtId="49" fontId="43" fillId="3" borderId="17" xfId="0" applyNumberFormat="1" applyFont="1" applyFill="1" applyBorder="1" applyAlignment="1">
      <alignment vertical="center"/>
    </xf>
    <xf numFmtId="0" fontId="43" fillId="3" borderId="17" xfId="0" applyFont="1" applyFill="1" applyBorder="1" applyAlignment="1">
      <alignment vertical="center"/>
    </xf>
    <xf numFmtId="0" fontId="43" fillId="7" borderId="32" xfId="2" applyNumberFormat="1" applyFont="1" applyFill="1" applyBorder="1" applyAlignment="1">
      <alignment horizontal="center" vertical="center"/>
    </xf>
    <xf numFmtId="49" fontId="43" fillId="3" borderId="16" xfId="0" applyNumberFormat="1" applyFont="1" applyFill="1" applyBorder="1" applyAlignment="1">
      <alignment vertical="center" wrapText="1"/>
    </xf>
    <xf numFmtId="0" fontId="43" fillId="3" borderId="32" xfId="2" applyNumberFormat="1" applyFont="1" applyFill="1" applyBorder="1" applyAlignment="1">
      <alignment horizontal="center" vertical="center"/>
    </xf>
    <xf numFmtId="9" fontId="43" fillId="3" borderId="16" xfId="2" applyFont="1" applyFill="1" applyBorder="1" applyAlignment="1">
      <alignment horizontal="center" vertical="center"/>
    </xf>
    <xf numFmtId="49" fontId="43" fillId="3" borderId="16" xfId="2" applyNumberFormat="1" applyFont="1" applyFill="1" applyBorder="1" applyAlignment="1">
      <alignment vertical="center" wrapText="1"/>
    </xf>
    <xf numFmtId="49" fontId="43" fillId="3" borderId="34" xfId="2" applyNumberFormat="1" applyFont="1" applyFill="1" applyBorder="1" applyAlignment="1">
      <alignment vertical="center" wrapText="1"/>
    </xf>
    <xf numFmtId="0" fontId="43" fillId="3" borderId="31" xfId="2" applyNumberFormat="1" applyFont="1" applyFill="1" applyBorder="1" applyAlignment="1">
      <alignment horizontal="center" vertical="center"/>
    </xf>
    <xf numFmtId="9" fontId="43" fillId="3" borderId="30" xfId="2" applyFont="1" applyFill="1" applyBorder="1" applyAlignment="1">
      <alignment horizontal="center" vertical="center"/>
    </xf>
    <xf numFmtId="0" fontId="0" fillId="3" borderId="0" xfId="0" applyFill="1" applyAlignment="1">
      <alignment vertical="center"/>
    </xf>
    <xf numFmtId="0" fontId="0" fillId="3" borderId="17" xfId="0" applyFill="1" applyBorder="1" applyAlignment="1">
      <alignment vertical="center"/>
    </xf>
    <xf numFmtId="49" fontId="43" fillId="3" borderId="30" xfId="0" applyNumberFormat="1" applyFont="1" applyFill="1" applyBorder="1" applyAlignment="1">
      <alignment vertical="center" wrapText="1"/>
    </xf>
    <xf numFmtId="0" fontId="3" fillId="7" borderId="15" xfId="0" quotePrefix="1" applyFont="1" applyFill="1" applyBorder="1" applyAlignment="1">
      <alignment horizontal="left" vertical="center" wrapText="1"/>
    </xf>
    <xf numFmtId="0" fontId="3" fillId="7" borderId="15" xfId="0" applyFont="1" applyFill="1" applyBorder="1" applyAlignment="1">
      <alignment horizontal="left" vertical="center" wrapText="1"/>
    </xf>
    <xf numFmtId="0" fontId="50" fillId="3" borderId="24" xfId="0" applyFont="1" applyFill="1" applyBorder="1" applyAlignment="1">
      <alignment vertical="center"/>
    </xf>
    <xf numFmtId="10" fontId="43" fillId="3" borderId="16" xfId="2" applyNumberFormat="1" applyFont="1" applyFill="1" applyBorder="1" applyAlignment="1">
      <alignment horizontal="center" vertical="center"/>
    </xf>
    <xf numFmtId="0" fontId="43" fillId="3" borderId="35" xfId="2" applyNumberFormat="1" applyFont="1" applyFill="1" applyBorder="1" applyAlignment="1">
      <alignment horizontal="center" vertical="center"/>
    </xf>
    <xf numFmtId="0" fontId="40" fillId="3" borderId="0" xfId="0" applyFont="1" applyFill="1" applyAlignment="1">
      <alignment vertical="center"/>
    </xf>
    <xf numFmtId="0" fontId="40" fillId="3" borderId="0" xfId="0" applyFont="1" applyFill="1" applyAlignment="1">
      <alignment horizontal="center" vertical="center"/>
    </xf>
    <xf numFmtId="9" fontId="3" fillId="3" borderId="0" xfId="0" applyNumberFormat="1" applyFont="1" applyFill="1" applyAlignment="1">
      <alignment horizontal="right" vertical="center"/>
    </xf>
    <xf numFmtId="9" fontId="45" fillId="4" borderId="19" xfId="2" applyFont="1" applyFill="1" applyBorder="1" applyAlignment="1">
      <alignment horizontal="center" vertical="center"/>
    </xf>
    <xf numFmtId="9" fontId="40" fillId="3" borderId="0" xfId="0" applyNumberFormat="1" applyFont="1" applyFill="1"/>
    <xf numFmtId="0" fontId="40" fillId="3" borderId="27" xfId="0" applyFont="1" applyFill="1" applyBorder="1"/>
    <xf numFmtId="9" fontId="40" fillId="3" borderId="27" xfId="0" applyNumberFormat="1" applyFont="1" applyFill="1" applyBorder="1"/>
    <xf numFmtId="0" fontId="49" fillId="3" borderId="23" xfId="0" applyFont="1" applyFill="1" applyBorder="1" applyAlignment="1">
      <alignment vertical="center"/>
    </xf>
    <xf numFmtId="0" fontId="43" fillId="3" borderId="0" xfId="0" applyFont="1" applyFill="1"/>
    <xf numFmtId="0" fontId="40" fillId="3" borderId="17" xfId="0" applyFont="1" applyFill="1" applyBorder="1"/>
    <xf numFmtId="0" fontId="51" fillId="3" borderId="17" xfId="0" applyFont="1" applyFill="1" applyBorder="1" applyAlignment="1">
      <alignment horizontal="center"/>
    </xf>
    <xf numFmtId="0" fontId="49" fillId="3" borderId="29" xfId="0" applyFont="1" applyFill="1" applyBorder="1" applyAlignment="1">
      <alignment vertical="center"/>
    </xf>
    <xf numFmtId="0" fontId="39" fillId="3" borderId="0" xfId="0" applyFont="1" applyFill="1"/>
    <xf numFmtId="0" fontId="40" fillId="3" borderId="0" xfId="0" applyFont="1" applyFill="1" applyAlignment="1">
      <alignment horizontal="left" vertical="top"/>
    </xf>
    <xf numFmtId="0" fontId="43" fillId="3" borderId="27" xfId="0" applyFont="1" applyFill="1" applyBorder="1"/>
    <xf numFmtId="0" fontId="38" fillId="3" borderId="27" xfId="0" applyFont="1" applyFill="1" applyBorder="1"/>
    <xf numFmtId="0" fontId="3" fillId="3" borderId="0" xfId="0" applyFont="1" applyFill="1" applyAlignment="1">
      <alignment horizontal="right"/>
    </xf>
    <xf numFmtId="165" fontId="43" fillId="3" borderId="0" xfId="2" applyNumberFormat="1" applyFont="1" applyFill="1" applyBorder="1" applyAlignment="1">
      <alignment horizontal="right"/>
    </xf>
    <xf numFmtId="166" fontId="43" fillId="3" borderId="0" xfId="2" applyNumberFormat="1" applyFont="1" applyFill="1" applyBorder="1" applyAlignment="1">
      <alignment horizontal="left"/>
    </xf>
    <xf numFmtId="167" fontId="43" fillId="3" borderId="0" xfId="2" applyNumberFormat="1" applyFont="1" applyFill="1" applyBorder="1" applyAlignment="1">
      <alignment horizontal="right"/>
    </xf>
    <xf numFmtId="168" fontId="43" fillId="3" borderId="0" xfId="2" applyNumberFormat="1" applyFont="1" applyFill="1" applyBorder="1" applyAlignment="1">
      <alignment horizontal="left"/>
    </xf>
    <xf numFmtId="0" fontId="0" fillId="0" borderId="9" xfId="0" applyBorder="1" applyAlignment="1">
      <alignment horizontal="center"/>
    </xf>
    <xf numFmtId="10" fontId="2" fillId="0" borderId="0" xfId="0" applyNumberFormat="1" applyFont="1" applyAlignment="1">
      <alignment horizontal="center" vertical="center"/>
    </xf>
    <xf numFmtId="0" fontId="0" fillId="2" borderId="0" xfId="0" applyFill="1"/>
    <xf numFmtId="10" fontId="10" fillId="0" borderId="0" xfId="0" applyNumberFormat="1" applyFont="1" applyAlignment="1">
      <alignment horizontal="center" vertical="center"/>
    </xf>
    <xf numFmtId="10" fontId="0" fillId="2" borderId="0" xfId="0" applyNumberFormat="1" applyFill="1" applyAlignment="1">
      <alignment horizontal="center" vertical="center"/>
    </xf>
    <xf numFmtId="10" fontId="0" fillId="2" borderId="0" xfId="0" applyNumberFormat="1" applyFill="1"/>
    <xf numFmtId="10" fontId="10" fillId="0" borderId="0" xfId="0" applyNumberFormat="1" applyFont="1"/>
    <xf numFmtId="10" fontId="0" fillId="8" borderId="0" xfId="0" applyNumberFormat="1" applyFill="1" applyAlignment="1">
      <alignment horizontal="center" vertical="center"/>
    </xf>
    <xf numFmtId="0" fontId="0" fillId="8" borderId="0" xfId="0" applyFill="1"/>
    <xf numFmtId="0" fontId="0" fillId="8" borderId="0" xfId="0" applyFill="1" applyAlignment="1">
      <alignment horizontal="center" vertical="center"/>
    </xf>
    <xf numFmtId="0" fontId="0" fillId="8" borderId="9" xfId="0" applyFill="1" applyBorder="1"/>
    <xf numFmtId="0" fontId="0" fillId="0" borderId="12" xfId="0" applyBorder="1"/>
    <xf numFmtId="49" fontId="0" fillId="8" borderId="0" xfId="0" applyNumberFormat="1" applyFill="1"/>
    <xf numFmtId="0" fontId="51" fillId="3" borderId="0" xfId="0" applyFont="1" applyFill="1" applyAlignment="1">
      <alignment horizontal="center"/>
    </xf>
    <xf numFmtId="0" fontId="26" fillId="3" borderId="28" xfId="0" applyFont="1" applyFill="1" applyBorder="1" applyAlignment="1">
      <alignment vertical="center"/>
    </xf>
    <xf numFmtId="14" fontId="0" fillId="4" borderId="0" xfId="0" applyNumberFormat="1" applyFill="1" applyAlignment="1">
      <alignment horizontal="left" vertical="top"/>
    </xf>
    <xf numFmtId="0" fontId="56" fillId="0" borderId="0" xfId="0" applyFont="1"/>
    <xf numFmtId="0" fontId="22" fillId="3" borderId="8" xfId="0" applyFont="1" applyFill="1" applyBorder="1"/>
    <xf numFmtId="49" fontId="57" fillId="3" borderId="0" xfId="0" applyNumberFormat="1" applyFont="1" applyFill="1" applyAlignment="1">
      <alignment vertical="center" wrapText="1"/>
    </xf>
    <xf numFmtId="0" fontId="0" fillId="3" borderId="15" xfId="0" applyFill="1" applyBorder="1" applyAlignment="1">
      <alignment wrapText="1"/>
    </xf>
    <xf numFmtId="49" fontId="57" fillId="3" borderId="16" xfId="0" applyNumberFormat="1" applyFont="1" applyFill="1" applyBorder="1" applyAlignment="1">
      <alignment vertical="center" wrapText="1"/>
    </xf>
    <xf numFmtId="49" fontId="0" fillId="3" borderId="15" xfId="0" quotePrefix="1" applyNumberFormat="1" applyFill="1" applyBorder="1" applyAlignment="1">
      <alignment horizontal="left" vertical="center"/>
    </xf>
    <xf numFmtId="49" fontId="0" fillId="3" borderId="0" xfId="0" quotePrefix="1" applyNumberFormat="1" applyFill="1" applyAlignment="1">
      <alignment horizontal="left" vertical="center"/>
    </xf>
    <xf numFmtId="49" fontId="0" fillId="3" borderId="16" xfId="0" quotePrefix="1" applyNumberFormat="1" applyFill="1" applyBorder="1" applyAlignment="1">
      <alignment horizontal="left" vertical="center"/>
    </xf>
    <xf numFmtId="49" fontId="57" fillId="3" borderId="15" xfId="0" applyNumberFormat="1" applyFont="1" applyFill="1" applyBorder="1" applyAlignment="1">
      <alignment vertical="center" wrapText="1"/>
    </xf>
    <xf numFmtId="0" fontId="43" fillId="0" borderId="37" xfId="2" applyNumberFormat="1" applyFont="1" applyFill="1" applyBorder="1" applyAlignment="1">
      <alignment horizontal="center" vertical="center"/>
    </xf>
    <xf numFmtId="9" fontId="43" fillId="3" borderId="0" xfId="2" applyFont="1" applyFill="1" applyBorder="1" applyAlignment="1">
      <alignment horizontal="center" vertical="center"/>
    </xf>
    <xf numFmtId="0" fontId="43" fillId="0" borderId="32" xfId="2" applyNumberFormat="1" applyFont="1" applyBorder="1" applyAlignment="1">
      <alignment horizontal="center" vertical="center"/>
    </xf>
    <xf numFmtId="49" fontId="42" fillId="3" borderId="16" xfId="2" applyNumberFormat="1" applyFont="1" applyFill="1" applyBorder="1" applyAlignment="1">
      <alignment vertical="center" wrapText="1"/>
    </xf>
    <xf numFmtId="49" fontId="42" fillId="3" borderId="16" xfId="0" applyNumberFormat="1" applyFont="1" applyFill="1" applyBorder="1" applyAlignment="1">
      <alignment vertical="center" wrapText="1"/>
    </xf>
    <xf numFmtId="49" fontId="43" fillId="3" borderId="25" xfId="0" applyNumberFormat="1" applyFont="1" applyFill="1" applyBorder="1" applyAlignment="1">
      <alignment vertical="center" wrapText="1"/>
    </xf>
    <xf numFmtId="0" fontId="43" fillId="3" borderId="37" xfId="2" applyNumberFormat="1" applyFont="1" applyFill="1" applyBorder="1" applyAlignment="1">
      <alignment horizontal="center" vertical="center"/>
    </xf>
    <xf numFmtId="9" fontId="43" fillId="3" borderId="25" xfId="2" applyFont="1" applyFill="1" applyBorder="1" applyAlignment="1">
      <alignment horizontal="center" vertical="center"/>
    </xf>
    <xf numFmtId="0" fontId="9" fillId="3" borderId="0" xfId="0" applyFont="1" applyFill="1" applyAlignment="1">
      <alignment horizontal="center" vertical="center"/>
    </xf>
    <xf numFmtId="0" fontId="9" fillId="3" borderId="0" xfId="0" applyFont="1" applyFill="1" applyAlignment="1">
      <alignment vertical="center"/>
    </xf>
    <xf numFmtId="49" fontId="9" fillId="4" borderId="38" xfId="0" applyNumberFormat="1" applyFont="1" applyFill="1" applyBorder="1" applyAlignment="1">
      <alignment vertical="center"/>
    </xf>
    <xf numFmtId="49" fontId="9" fillId="4" borderId="40" xfId="0" applyNumberFormat="1" applyFont="1" applyFill="1" applyBorder="1" applyAlignment="1">
      <alignment vertical="center"/>
    </xf>
    <xf numFmtId="0" fontId="9" fillId="4" borderId="0" xfId="0" applyFont="1" applyFill="1" applyAlignment="1">
      <alignment horizontal="center" vertical="center"/>
    </xf>
    <xf numFmtId="49" fontId="11" fillId="3" borderId="0" xfId="0" applyNumberFormat="1" applyFont="1" applyFill="1" applyAlignment="1">
      <alignment vertical="center"/>
    </xf>
    <xf numFmtId="0" fontId="12" fillId="3" borderId="48" xfId="0" applyFont="1" applyFill="1" applyBorder="1" applyAlignment="1">
      <alignment horizontal="center" vertical="center" textRotation="90"/>
    </xf>
    <xf numFmtId="0" fontId="9" fillId="3" borderId="43" xfId="0" applyFont="1" applyFill="1" applyBorder="1" applyAlignment="1">
      <alignment vertical="center"/>
    </xf>
    <xf numFmtId="49" fontId="11" fillId="3" borderId="48" xfId="0" applyNumberFormat="1" applyFont="1" applyFill="1" applyBorder="1" applyAlignment="1">
      <alignment vertical="center"/>
    </xf>
    <xf numFmtId="0" fontId="9" fillId="3" borderId="49" xfId="0" applyFont="1" applyFill="1" applyBorder="1" applyAlignment="1">
      <alignment vertical="center"/>
    </xf>
    <xf numFmtId="0" fontId="9" fillId="3" borderId="48" xfId="0" applyFont="1" applyFill="1" applyBorder="1" applyAlignment="1">
      <alignment vertical="center"/>
    </xf>
    <xf numFmtId="0" fontId="11" fillId="3" borderId="49" xfId="0" applyFont="1" applyFill="1" applyBorder="1" applyAlignment="1">
      <alignment vertical="center"/>
    </xf>
    <xf numFmtId="0" fontId="11" fillId="3" borderId="48" xfId="0" applyFont="1" applyFill="1" applyBorder="1" applyAlignment="1">
      <alignment vertical="center"/>
    </xf>
    <xf numFmtId="0" fontId="9" fillId="4" borderId="50" xfId="0" applyFont="1" applyFill="1" applyBorder="1" applyAlignment="1">
      <alignment horizontal="center" vertical="center"/>
    </xf>
    <xf numFmtId="0" fontId="9" fillId="4" borderId="55" xfId="0" applyFont="1" applyFill="1" applyBorder="1" applyAlignment="1">
      <alignment horizontal="center" vertical="center"/>
    </xf>
    <xf numFmtId="49" fontId="11" fillId="3" borderId="57" xfId="0" applyNumberFormat="1" applyFont="1" applyFill="1" applyBorder="1" applyAlignment="1">
      <alignment vertical="center"/>
    </xf>
    <xf numFmtId="0" fontId="10" fillId="3" borderId="55" xfId="0" applyFont="1" applyFill="1" applyBorder="1"/>
    <xf numFmtId="0" fontId="9" fillId="3" borderId="53" xfId="0" applyFont="1" applyFill="1" applyBorder="1" applyAlignment="1">
      <alignment horizontal="center" vertical="center"/>
    </xf>
    <xf numFmtId="0" fontId="9" fillId="4" borderId="53" xfId="0" applyFont="1" applyFill="1" applyBorder="1" applyAlignment="1">
      <alignment horizontal="center" vertical="center"/>
    </xf>
    <xf numFmtId="0" fontId="10" fillId="4" borderId="60" xfId="0" applyFont="1" applyFill="1" applyBorder="1" applyAlignment="1">
      <alignment horizontal="center" vertical="center"/>
    </xf>
    <xf numFmtId="0" fontId="34" fillId="3" borderId="55" xfId="0" applyFont="1" applyFill="1" applyBorder="1"/>
    <xf numFmtId="0" fontId="12" fillId="3" borderId="56" xfId="0" applyFont="1" applyFill="1" applyBorder="1" applyAlignment="1">
      <alignment horizontal="center" vertical="center" textRotation="90"/>
    </xf>
    <xf numFmtId="0" fontId="10" fillId="4" borderId="58" xfId="0" applyFont="1" applyFill="1" applyBorder="1" applyAlignment="1">
      <alignment horizontal="center" vertical="center"/>
    </xf>
    <xf numFmtId="0" fontId="10" fillId="4" borderId="51" xfId="0" applyFont="1" applyFill="1" applyBorder="1" applyAlignment="1">
      <alignment horizontal="center" vertical="center"/>
    </xf>
    <xf numFmtId="0" fontId="9" fillId="3" borderId="56" xfId="0" applyFont="1" applyFill="1" applyBorder="1" applyAlignment="1">
      <alignment horizontal="center" vertical="center"/>
    </xf>
    <xf numFmtId="0" fontId="9" fillId="3" borderId="57" xfId="0" applyFont="1" applyFill="1" applyBorder="1" applyAlignment="1">
      <alignment horizontal="center" vertical="center"/>
    </xf>
    <xf numFmtId="0" fontId="10" fillId="4" borderId="47" xfId="0" applyFont="1" applyFill="1" applyBorder="1" applyAlignment="1">
      <alignment horizontal="center" vertical="center"/>
    </xf>
    <xf numFmtId="0" fontId="10" fillId="4" borderId="0" xfId="0" applyFont="1" applyFill="1" applyAlignment="1">
      <alignment horizontal="center" vertical="center"/>
    </xf>
    <xf numFmtId="0" fontId="9" fillId="4" borderId="56" xfId="0" applyFont="1" applyFill="1" applyBorder="1" applyAlignment="1">
      <alignment horizontal="center" vertical="center"/>
    </xf>
    <xf numFmtId="0" fontId="10" fillId="3" borderId="71" xfId="0" applyFont="1" applyFill="1" applyBorder="1"/>
    <xf numFmtId="0" fontId="10" fillId="3" borderId="62" xfId="0" applyFont="1" applyFill="1" applyBorder="1"/>
    <xf numFmtId="49" fontId="15" fillId="3" borderId="62" xfId="0" applyNumberFormat="1" applyFont="1" applyFill="1" applyBorder="1" applyAlignment="1">
      <alignment horizontal="right" vertical="center"/>
    </xf>
    <xf numFmtId="10" fontId="15" fillId="3" borderId="62" xfId="0" applyNumberFormat="1" applyFont="1" applyFill="1" applyBorder="1" applyAlignment="1">
      <alignment horizontal="center" vertical="center"/>
    </xf>
    <xf numFmtId="0" fontId="10" fillId="4" borderId="53" xfId="0" applyFont="1" applyFill="1" applyBorder="1" applyAlignment="1">
      <alignment horizontal="center" vertical="center"/>
    </xf>
    <xf numFmtId="0" fontId="9" fillId="3" borderId="48" xfId="0" applyFont="1" applyFill="1" applyBorder="1" applyAlignment="1">
      <alignment horizontal="center" vertical="center"/>
    </xf>
    <xf numFmtId="0" fontId="10" fillId="4" borderId="43" xfId="0" applyFont="1" applyFill="1" applyBorder="1" applyAlignment="1">
      <alignment horizontal="center" vertical="center"/>
    </xf>
    <xf numFmtId="0" fontId="9" fillId="3" borderId="55" xfId="0" applyFont="1" applyFill="1" applyBorder="1" applyAlignment="1">
      <alignment horizontal="center" vertical="center"/>
    </xf>
    <xf numFmtId="0" fontId="9" fillId="4" borderId="67" xfId="0" applyFont="1" applyFill="1" applyBorder="1" applyAlignment="1">
      <alignment horizontal="center" vertical="center"/>
    </xf>
    <xf numFmtId="0" fontId="10" fillId="4" borderId="55" xfId="0" applyFont="1" applyFill="1" applyBorder="1" applyAlignment="1">
      <alignment horizontal="center" vertical="center"/>
    </xf>
    <xf numFmtId="0" fontId="12" fillId="3" borderId="57" xfId="0" applyFont="1" applyFill="1" applyBorder="1" applyAlignment="1">
      <alignment horizontal="center" vertical="center" textRotation="90"/>
    </xf>
    <xf numFmtId="0" fontId="9" fillId="3" borderId="56" xfId="0" applyFont="1" applyFill="1" applyBorder="1" applyAlignment="1">
      <alignment vertical="center"/>
    </xf>
    <xf numFmtId="0" fontId="9" fillId="3" borderId="57" xfId="0" applyFont="1" applyFill="1" applyBorder="1" applyAlignment="1">
      <alignment vertical="center"/>
    </xf>
    <xf numFmtId="0" fontId="12" fillId="3" borderId="53" xfId="0" applyFont="1" applyFill="1" applyBorder="1" applyAlignment="1">
      <alignment horizontal="center" vertical="center" textRotation="90"/>
    </xf>
    <xf numFmtId="0" fontId="35" fillId="5" borderId="24" xfId="3" applyFill="1" applyBorder="1" applyAlignment="1">
      <alignment vertical="center"/>
    </xf>
    <xf numFmtId="0" fontId="35" fillId="3" borderId="24" xfId="3" applyFill="1" applyBorder="1" applyAlignment="1">
      <alignment vertical="center"/>
    </xf>
    <xf numFmtId="49" fontId="9" fillId="3" borderId="0" xfId="0" applyNumberFormat="1" applyFont="1" applyFill="1" applyAlignment="1">
      <alignment vertical="center"/>
    </xf>
    <xf numFmtId="49" fontId="9" fillId="3" borderId="43" xfId="0" applyNumberFormat="1" applyFont="1" applyFill="1" applyBorder="1" applyAlignment="1">
      <alignment vertical="center"/>
    </xf>
    <xf numFmtId="0" fontId="10" fillId="4" borderId="73" xfId="0" applyFont="1" applyFill="1" applyBorder="1" applyAlignment="1">
      <alignment horizontal="center" vertical="center"/>
    </xf>
    <xf numFmtId="49" fontId="9" fillId="3" borderId="54" xfId="0" applyNumberFormat="1" applyFont="1" applyFill="1" applyBorder="1" applyAlignment="1">
      <alignment vertical="center"/>
    </xf>
    <xf numFmtId="0" fontId="46" fillId="3" borderId="56" xfId="0" applyFont="1" applyFill="1" applyBorder="1" applyAlignment="1">
      <alignment horizontal="center" vertical="center"/>
    </xf>
    <xf numFmtId="0" fontId="0" fillId="0" borderId="0" xfId="0" applyAlignment="1">
      <alignment wrapText="1"/>
    </xf>
    <xf numFmtId="0" fontId="35" fillId="5" borderId="24" xfId="3" applyFill="1" applyBorder="1" applyAlignment="1">
      <alignment horizontal="center" vertical="center"/>
    </xf>
    <xf numFmtId="49" fontId="43" fillId="3" borderId="76" xfId="0" applyNumberFormat="1" applyFont="1" applyFill="1" applyBorder="1" applyAlignment="1">
      <alignment vertical="center" wrapText="1"/>
    </xf>
    <xf numFmtId="9" fontId="43" fillId="7" borderId="16" xfId="2" applyFont="1" applyFill="1" applyBorder="1" applyAlignment="1">
      <alignment horizontal="center" vertical="center"/>
    </xf>
    <xf numFmtId="9" fontId="43" fillId="7" borderId="15" xfId="2" applyFont="1" applyFill="1" applyBorder="1" applyAlignment="1">
      <alignment horizontal="center" vertical="center"/>
    </xf>
    <xf numFmtId="0" fontId="0" fillId="3" borderId="16" xfId="0" applyFill="1" applyBorder="1" applyAlignment="1">
      <alignment wrapText="1"/>
    </xf>
    <xf numFmtId="0" fontId="10" fillId="7" borderId="16" xfId="0" applyFont="1" applyFill="1" applyBorder="1" applyAlignment="1">
      <alignment horizontal="center" vertical="center"/>
    </xf>
    <xf numFmtId="0" fontId="10" fillId="7" borderId="15" xfId="0" applyFont="1" applyFill="1" applyBorder="1" applyAlignment="1">
      <alignment horizontal="center" vertical="center"/>
    </xf>
    <xf numFmtId="0" fontId="0" fillId="7" borderId="16" xfId="0" applyFill="1" applyBorder="1" applyAlignment="1">
      <alignment wrapText="1"/>
    </xf>
    <xf numFmtId="0" fontId="0" fillId="7" borderId="16" xfId="0" applyFill="1" applyBorder="1" applyAlignment="1">
      <alignment horizontal="left" vertical="center" wrapText="1"/>
    </xf>
    <xf numFmtId="0" fontId="0" fillId="7" borderId="15" xfId="0" applyFill="1" applyBorder="1" applyAlignment="1">
      <alignment horizontal="left" vertical="center" wrapText="1"/>
    </xf>
    <xf numFmtId="0" fontId="0" fillId="7" borderId="15" xfId="0" applyFill="1" applyBorder="1" applyAlignment="1">
      <alignment wrapText="1"/>
    </xf>
    <xf numFmtId="0" fontId="0" fillId="7" borderId="0" xfId="0" applyFill="1"/>
    <xf numFmtId="0" fontId="35" fillId="7" borderId="15" xfId="3" applyFill="1" applyBorder="1" applyAlignment="1">
      <alignment horizontal="center" vertical="center"/>
    </xf>
    <xf numFmtId="0" fontId="35" fillId="7" borderId="16" xfId="3" applyFill="1" applyBorder="1" applyAlignment="1">
      <alignment horizontal="center" vertical="center"/>
    </xf>
    <xf numFmtId="0" fontId="0" fillId="3" borderId="25" xfId="0" applyFill="1" applyBorder="1" applyAlignment="1">
      <alignment wrapText="1"/>
    </xf>
    <xf numFmtId="0" fontId="35" fillId="3" borderId="25" xfId="3" applyFill="1" applyBorder="1" applyAlignment="1">
      <alignment horizontal="center" vertical="center"/>
    </xf>
    <xf numFmtId="49" fontId="0" fillId="3" borderId="25" xfId="0" quotePrefix="1" applyNumberFormat="1" applyFill="1" applyBorder="1" applyAlignment="1">
      <alignment vertical="center"/>
    </xf>
    <xf numFmtId="49" fontId="0" fillId="3" borderId="25" xfId="0" applyNumberFormat="1" applyFill="1" applyBorder="1" applyAlignment="1">
      <alignment vertical="center"/>
    </xf>
    <xf numFmtId="49" fontId="0" fillId="3" borderId="0" xfId="0" applyNumberFormat="1" applyFill="1" applyAlignment="1">
      <alignment vertical="center"/>
    </xf>
    <xf numFmtId="49" fontId="34" fillId="3" borderId="15" xfId="0" quotePrefix="1" applyNumberFormat="1" applyFont="1" applyFill="1" applyBorder="1" applyAlignment="1">
      <alignment vertical="center"/>
    </xf>
    <xf numFmtId="49" fontId="34" fillId="3" borderId="15" xfId="0" applyNumberFormat="1" applyFont="1" applyFill="1" applyBorder="1" applyAlignment="1">
      <alignment vertical="center"/>
    </xf>
    <xf numFmtId="49" fontId="34" fillId="3" borderId="0" xfId="0" applyNumberFormat="1" applyFont="1" applyFill="1" applyAlignment="1">
      <alignment vertical="center"/>
    </xf>
    <xf numFmtId="49" fontId="34" fillId="3" borderId="0" xfId="0" quotePrefix="1" applyNumberFormat="1" applyFont="1" applyFill="1" applyAlignment="1">
      <alignment vertical="center"/>
    </xf>
    <xf numFmtId="49" fontId="34" fillId="3" borderId="15" xfId="0" applyNumberFormat="1" applyFont="1" applyFill="1" applyBorder="1" applyAlignment="1">
      <alignment horizontal="left" vertical="center"/>
    </xf>
    <xf numFmtId="49" fontId="34" fillId="3" borderId="0" xfId="0" applyNumberFormat="1" applyFont="1" applyFill="1" applyAlignment="1">
      <alignment horizontal="left" vertical="center"/>
    </xf>
    <xf numFmtId="0" fontId="0" fillId="3" borderId="25" xfId="0" applyFill="1" applyBorder="1" applyAlignment="1">
      <alignment vertical="center"/>
    </xf>
    <xf numFmtId="0" fontId="58" fillId="3" borderId="18" xfId="0" applyFont="1" applyFill="1" applyBorder="1" applyAlignment="1">
      <alignment vertical="top" wrapText="1"/>
    </xf>
    <xf numFmtId="0" fontId="58" fillId="3" borderId="16" xfId="0" applyFont="1" applyFill="1" applyBorder="1" applyAlignment="1">
      <alignment vertical="top" wrapText="1"/>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1" fillId="2" borderId="0" xfId="0" applyFont="1" applyFill="1" applyAlignment="1">
      <alignment horizontal="center" vertical="center"/>
    </xf>
    <xf numFmtId="0" fontId="1" fillId="2" borderId="9"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7" fillId="0" borderId="13" xfId="0" applyFont="1" applyBorder="1" applyAlignment="1">
      <alignment horizontal="center"/>
    </xf>
    <xf numFmtId="0" fontId="7" fillId="0" borderId="1" xfId="0" applyFont="1" applyBorder="1" applyAlignment="1">
      <alignment horizontal="center"/>
    </xf>
    <xf numFmtId="0" fontId="7" fillId="0" borderId="14" xfId="0" applyFont="1" applyBorder="1" applyAlignment="1">
      <alignment horizontal="center"/>
    </xf>
    <xf numFmtId="0" fontId="7" fillId="0" borderId="0" xfId="0" applyFont="1" applyAlignment="1">
      <alignment horizontal="left"/>
    </xf>
    <xf numFmtId="0" fontId="0" fillId="0" borderId="2" xfId="0" applyBorder="1" applyAlignment="1">
      <alignment horizontal="center"/>
    </xf>
    <xf numFmtId="0" fontId="0" fillId="0" borderId="3" xfId="0" applyBorder="1" applyAlignment="1">
      <alignment horizontal="center"/>
    </xf>
    <xf numFmtId="10" fontId="2" fillId="0" borderId="0" xfId="0" applyNumberFormat="1" applyFont="1" applyAlignment="1">
      <alignment horizontal="center" vertical="center"/>
    </xf>
    <xf numFmtId="0" fontId="13" fillId="4" borderId="26" xfId="0" applyFont="1" applyFill="1" applyBorder="1" applyAlignment="1">
      <alignment horizontal="center" vertical="center"/>
    </xf>
    <xf numFmtId="0" fontId="13" fillId="4" borderId="27" xfId="0" applyFont="1" applyFill="1" applyBorder="1" applyAlignment="1">
      <alignment horizontal="center" vertical="center"/>
    </xf>
    <xf numFmtId="0" fontId="13" fillId="4" borderId="23"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17" xfId="0" applyFont="1" applyFill="1" applyBorder="1" applyAlignment="1">
      <alignment horizontal="center" vertical="center"/>
    </xf>
    <xf numFmtId="0" fontId="13" fillId="4" borderId="29" xfId="0" applyFont="1" applyFill="1" applyBorder="1" applyAlignment="1">
      <alignment horizontal="center" vertical="center"/>
    </xf>
    <xf numFmtId="0" fontId="54" fillId="3" borderId="0" xfId="0" applyFont="1" applyFill="1" applyAlignment="1">
      <alignment horizontal="center" vertical="center"/>
    </xf>
    <xf numFmtId="0" fontId="0" fillId="3" borderId="0" xfId="0" applyFill="1" applyAlignment="1">
      <alignment horizontal="left" vertical="top" wrapText="1"/>
    </xf>
    <xf numFmtId="0" fontId="54" fillId="6" borderId="0" xfId="2" applyNumberFormat="1" applyFont="1" applyFill="1" applyBorder="1" applyAlignment="1">
      <alignment horizontal="center" vertical="center"/>
    </xf>
    <xf numFmtId="0" fontId="38" fillId="3" borderId="0" xfId="0" applyFont="1" applyFill="1" applyAlignment="1">
      <alignment horizontal="left" vertical="center"/>
    </xf>
    <xf numFmtId="0" fontId="43" fillId="7" borderId="0" xfId="0" applyFont="1" applyFill="1" applyAlignment="1">
      <alignment horizontal="center"/>
    </xf>
    <xf numFmtId="0" fontId="16" fillId="3" borderId="0" xfId="0" applyFont="1" applyFill="1" applyAlignment="1">
      <alignment horizontal="left" vertical="center"/>
    </xf>
    <xf numFmtId="0" fontId="52" fillId="3" borderId="0" xfId="0" applyFont="1" applyFill="1" applyAlignment="1">
      <alignment horizontal="center" vertical="center" wrapText="1"/>
    </xf>
    <xf numFmtId="0" fontId="55" fillId="3" borderId="0" xfId="0" applyFont="1" applyFill="1" applyAlignment="1">
      <alignment horizontal="left" vertical="center" wrapText="1"/>
    </xf>
    <xf numFmtId="0" fontId="55" fillId="3" borderId="24" xfId="0" applyFont="1" applyFill="1" applyBorder="1" applyAlignment="1">
      <alignment horizontal="left" vertical="center" wrapText="1"/>
    </xf>
    <xf numFmtId="0" fontId="52" fillId="3" borderId="0" xfId="0" applyFont="1" applyFill="1" applyAlignment="1">
      <alignment horizontal="left" vertical="center" wrapText="1"/>
    </xf>
    <xf numFmtId="0" fontId="52" fillId="3" borderId="24" xfId="0" applyFont="1" applyFill="1" applyBorder="1" applyAlignment="1">
      <alignment horizontal="left" vertical="center" wrapText="1"/>
    </xf>
    <xf numFmtId="0" fontId="52" fillId="3" borderId="17" xfId="0" applyFont="1" applyFill="1" applyBorder="1" applyAlignment="1">
      <alignment horizontal="left" vertical="center" wrapText="1"/>
    </xf>
    <xf numFmtId="0" fontId="52" fillId="3" borderId="29" xfId="0" applyFont="1" applyFill="1" applyBorder="1" applyAlignment="1">
      <alignment horizontal="left" vertical="center" wrapText="1"/>
    </xf>
    <xf numFmtId="0" fontId="43" fillId="3" borderId="0" xfId="0" applyFont="1" applyFill="1" applyAlignment="1">
      <alignment horizontal="left" vertical="center"/>
    </xf>
    <xf numFmtId="49" fontId="43" fillId="3" borderId="0" xfId="0" applyNumberFormat="1" applyFont="1" applyFill="1" applyAlignment="1">
      <alignment horizontal="left" vertical="center"/>
    </xf>
    <xf numFmtId="0" fontId="0" fillId="3" borderId="0" xfId="0" applyFill="1" applyAlignment="1">
      <alignment horizontal="center" vertical="center"/>
    </xf>
    <xf numFmtId="0" fontId="38" fillId="3" borderId="27" xfId="0" applyFont="1" applyFill="1" applyBorder="1" applyAlignment="1">
      <alignment horizontal="left"/>
    </xf>
    <xf numFmtId="0" fontId="25" fillId="4" borderId="21" xfId="0" applyFont="1" applyFill="1" applyBorder="1" applyAlignment="1">
      <alignment horizontal="center" vertical="center"/>
    </xf>
    <xf numFmtId="0" fontId="25" fillId="4" borderId="20" xfId="0" applyFont="1" applyFill="1" applyBorder="1" applyAlignment="1">
      <alignment horizontal="center" vertical="center"/>
    </xf>
    <xf numFmtId="0" fontId="25" fillId="4" borderId="36" xfId="0" applyFont="1" applyFill="1" applyBorder="1" applyAlignment="1">
      <alignment horizontal="center" vertical="center"/>
    </xf>
    <xf numFmtId="49" fontId="11" fillId="3" borderId="0" xfId="0" applyNumberFormat="1" applyFont="1" applyFill="1" applyAlignment="1">
      <alignment horizontal="center" vertical="center"/>
    </xf>
    <xf numFmtId="0" fontId="9" fillId="3" borderId="43" xfId="0" applyFont="1" applyFill="1" applyBorder="1" applyAlignment="1">
      <alignment horizontal="center" vertical="center"/>
    </xf>
    <xf numFmtId="0" fontId="10" fillId="3" borderId="42" xfId="0" applyFont="1" applyFill="1" applyBorder="1" applyAlignment="1">
      <alignment horizontal="left" vertical="center" wrapText="1"/>
    </xf>
    <xf numFmtId="49" fontId="9" fillId="4" borderId="42" xfId="0" applyNumberFormat="1" applyFont="1" applyFill="1" applyBorder="1" applyAlignment="1">
      <alignment horizontal="left" vertical="center"/>
    </xf>
    <xf numFmtId="49" fontId="9" fillId="4" borderId="40" xfId="0" applyNumberFormat="1" applyFont="1" applyFill="1" applyBorder="1" applyAlignment="1">
      <alignment horizontal="left" vertical="center"/>
    </xf>
    <xf numFmtId="0" fontId="13" fillId="4" borderId="38" xfId="0" applyFont="1" applyFill="1" applyBorder="1" applyAlignment="1">
      <alignment horizontal="center" vertical="center"/>
    </xf>
    <xf numFmtId="0" fontId="13" fillId="4" borderId="39" xfId="0" applyFont="1" applyFill="1" applyBorder="1" applyAlignment="1">
      <alignment horizontal="center" vertical="center"/>
    </xf>
    <xf numFmtId="0" fontId="13" fillId="4" borderId="46" xfId="0" applyFont="1" applyFill="1" applyBorder="1" applyAlignment="1">
      <alignment horizontal="center" vertical="center"/>
    </xf>
    <xf numFmtId="0" fontId="13" fillId="4" borderId="44" xfId="0" applyFont="1" applyFill="1" applyBorder="1" applyAlignment="1">
      <alignment horizontal="center" vertical="center"/>
    </xf>
    <xf numFmtId="49" fontId="15" fillId="3" borderId="0" xfId="0" applyNumberFormat="1" applyFont="1" applyFill="1" applyAlignment="1">
      <alignment horizontal="center" vertical="center"/>
    </xf>
    <xf numFmtId="49" fontId="15" fillId="3" borderId="48" xfId="0" applyNumberFormat="1" applyFont="1" applyFill="1" applyBorder="1" applyAlignment="1">
      <alignment horizontal="center" vertical="center"/>
    </xf>
    <xf numFmtId="0" fontId="15" fillId="3" borderId="64" xfId="0" applyFont="1" applyFill="1" applyBorder="1" applyAlignment="1">
      <alignment horizontal="left" vertical="center" wrapText="1"/>
    </xf>
    <xf numFmtId="0" fontId="15" fillId="3" borderId="42" xfId="0" applyFont="1" applyFill="1" applyBorder="1" applyAlignment="1">
      <alignment horizontal="left" vertical="center" wrapText="1"/>
    </xf>
    <xf numFmtId="0" fontId="15" fillId="3" borderId="66" xfId="0" applyFont="1" applyFill="1" applyBorder="1" applyAlignment="1">
      <alignment horizontal="left" vertical="center" wrapText="1"/>
    </xf>
    <xf numFmtId="0" fontId="12" fillId="3" borderId="43" xfId="0" applyFont="1" applyFill="1" applyBorder="1" applyAlignment="1">
      <alignment horizontal="center" vertical="center" textRotation="90"/>
    </xf>
    <xf numFmtId="0" fontId="12" fillId="3" borderId="49" xfId="0" applyFont="1" applyFill="1" applyBorder="1" applyAlignment="1">
      <alignment horizontal="center" vertical="center" textRotation="90"/>
    </xf>
    <xf numFmtId="0" fontId="12" fillId="3" borderId="24" xfId="0" applyFont="1" applyFill="1" applyBorder="1" applyAlignment="1">
      <alignment horizontal="center" vertical="center" textRotation="90"/>
    </xf>
    <xf numFmtId="49" fontId="11" fillId="3" borderId="53" xfId="0" applyNumberFormat="1" applyFont="1" applyFill="1" applyBorder="1" applyAlignment="1">
      <alignment horizontal="center" vertical="center"/>
    </xf>
    <xf numFmtId="49" fontId="11" fillId="3" borderId="56" xfId="0" applyNumberFormat="1" applyFont="1" applyFill="1" applyBorder="1" applyAlignment="1">
      <alignment horizontal="center" vertical="center"/>
    </xf>
    <xf numFmtId="0" fontId="9" fillId="3" borderId="54" xfId="0" applyFont="1" applyFill="1" applyBorder="1" applyAlignment="1">
      <alignment horizontal="center" vertical="center"/>
    </xf>
    <xf numFmtId="0" fontId="15" fillId="3" borderId="64" xfId="0" applyFont="1" applyFill="1" applyBorder="1" applyAlignment="1">
      <alignment horizontal="center" vertical="center"/>
    </xf>
    <xf numFmtId="0" fontId="15" fillId="3" borderId="42" xfId="0" applyFont="1" applyFill="1" applyBorder="1" applyAlignment="1">
      <alignment horizontal="center" vertical="center"/>
    </xf>
    <xf numFmtId="0" fontId="2" fillId="0" borderId="0" xfId="0" applyFont="1" applyAlignment="1">
      <alignment horizontal="center" vertical="center"/>
    </xf>
    <xf numFmtId="0" fontId="14" fillId="3" borderId="60" xfId="0" applyFont="1" applyFill="1" applyBorder="1" applyAlignment="1">
      <alignment horizontal="center" vertical="center"/>
    </xf>
    <xf numFmtId="0" fontId="10" fillId="3" borderId="63" xfId="0" applyFont="1" applyFill="1" applyBorder="1" applyAlignment="1">
      <alignment horizontal="left" vertical="center" wrapText="1"/>
    </xf>
    <xf numFmtId="0" fontId="14" fillId="3" borderId="41" xfId="0" applyFont="1" applyFill="1" applyBorder="1" applyAlignment="1">
      <alignment horizontal="center" vertical="center"/>
    </xf>
    <xf numFmtId="0" fontId="10" fillId="3" borderId="40" xfId="0" applyFont="1" applyFill="1" applyBorder="1" applyAlignment="1">
      <alignment horizontal="left" vertical="center" wrapText="1"/>
    </xf>
    <xf numFmtId="49" fontId="9" fillId="4" borderId="67" xfId="0" applyNumberFormat="1" applyFont="1" applyFill="1" applyBorder="1" applyAlignment="1">
      <alignment horizontal="left" vertical="center"/>
    </xf>
    <xf numFmtId="49" fontId="9" fillId="4" borderId="59" xfId="0" applyNumberFormat="1" applyFont="1" applyFill="1" applyBorder="1" applyAlignment="1">
      <alignment horizontal="left" vertical="center"/>
    </xf>
    <xf numFmtId="0" fontId="10" fillId="3" borderId="52" xfId="0" applyFont="1" applyFill="1" applyBorder="1" applyAlignment="1">
      <alignment horizontal="left" vertical="center" wrapText="1"/>
    </xf>
    <xf numFmtId="0" fontId="0" fillId="3" borderId="45" xfId="0" applyFill="1" applyBorder="1" applyAlignment="1">
      <alignment horizontal="left" vertical="center" wrapText="1"/>
    </xf>
    <xf numFmtId="0" fontId="0" fillId="3" borderId="40" xfId="0" applyFill="1" applyBorder="1" applyAlignment="1">
      <alignment horizontal="left" vertical="center" wrapText="1"/>
    </xf>
    <xf numFmtId="0" fontId="0" fillId="3" borderId="64" xfId="0" applyFill="1" applyBorder="1" applyAlignment="1">
      <alignment horizontal="left" vertical="center" wrapText="1"/>
    </xf>
    <xf numFmtId="0" fontId="0" fillId="3" borderId="65" xfId="0" applyFill="1" applyBorder="1" applyAlignment="1">
      <alignment horizontal="left" vertical="center" wrapText="1"/>
    </xf>
    <xf numFmtId="49" fontId="15" fillId="3" borderId="55" xfId="0" applyNumberFormat="1" applyFont="1" applyFill="1" applyBorder="1" applyAlignment="1">
      <alignment horizontal="right" vertical="center"/>
    </xf>
    <xf numFmtId="49" fontId="15" fillId="3" borderId="17" xfId="0" applyNumberFormat="1" applyFont="1" applyFill="1" applyBorder="1" applyAlignment="1">
      <alignment horizontal="right" vertical="center"/>
    </xf>
    <xf numFmtId="10" fontId="15" fillId="3" borderId="55" xfId="0" applyNumberFormat="1" applyFont="1" applyFill="1" applyBorder="1" applyAlignment="1">
      <alignment horizontal="center" vertical="center"/>
    </xf>
    <xf numFmtId="10" fontId="15" fillId="3" borderId="0" xfId="0" applyNumberFormat="1" applyFont="1" applyFill="1" applyAlignment="1">
      <alignment horizontal="center" vertical="center"/>
    </xf>
    <xf numFmtId="0" fontId="35" fillId="3" borderId="24" xfId="3" applyFill="1" applyBorder="1" applyAlignment="1">
      <alignment horizontal="center" vertical="center"/>
    </xf>
    <xf numFmtId="0" fontId="35" fillId="3" borderId="61" xfId="3" applyFill="1" applyBorder="1" applyAlignment="1">
      <alignment horizontal="center" vertical="center"/>
    </xf>
    <xf numFmtId="49" fontId="9" fillId="4" borderId="58" xfId="0" applyNumberFormat="1" applyFont="1" applyFill="1" applyBorder="1" applyAlignment="1">
      <alignment horizontal="left" vertical="center"/>
    </xf>
    <xf numFmtId="49" fontId="11" fillId="3" borderId="28" xfId="0" applyNumberFormat="1" applyFont="1" applyFill="1" applyBorder="1" applyAlignment="1">
      <alignment horizontal="center" vertical="center"/>
    </xf>
    <xf numFmtId="0" fontId="9" fillId="3" borderId="0" xfId="0" applyFont="1" applyFill="1" applyAlignment="1">
      <alignment horizontal="center" vertical="center"/>
    </xf>
    <xf numFmtId="49" fontId="11" fillId="3" borderId="70" xfId="0" applyNumberFormat="1" applyFont="1" applyFill="1" applyBorder="1" applyAlignment="1">
      <alignment horizontal="center" vertical="center"/>
    </xf>
    <xf numFmtId="0" fontId="9" fillId="3" borderId="55" xfId="0" applyFont="1" applyFill="1" applyBorder="1" applyAlignment="1">
      <alignment horizontal="center" vertical="center"/>
    </xf>
    <xf numFmtId="0" fontId="10" fillId="3" borderId="0" xfId="0" applyFont="1" applyFill="1" applyAlignment="1">
      <alignment horizontal="left" vertical="center" wrapText="1"/>
    </xf>
    <xf numFmtId="0" fontId="10" fillId="3" borderId="48" xfId="0" applyFont="1" applyFill="1" applyBorder="1" applyAlignment="1">
      <alignment horizontal="left" vertical="center" wrapText="1"/>
    </xf>
    <xf numFmtId="49" fontId="11" fillId="3" borderId="68" xfId="0" applyNumberFormat="1" applyFont="1" applyFill="1" applyBorder="1" applyAlignment="1">
      <alignment horizontal="center" vertical="center"/>
    </xf>
    <xf numFmtId="0" fontId="9" fillId="3" borderId="48" xfId="0" applyFont="1" applyFill="1" applyBorder="1" applyAlignment="1">
      <alignment horizontal="center" vertical="center"/>
    </xf>
    <xf numFmtId="0" fontId="10" fillId="3" borderId="54" xfId="0" applyFont="1" applyFill="1" applyBorder="1" applyAlignment="1">
      <alignment horizontal="left" vertical="center" wrapText="1"/>
    </xf>
    <xf numFmtId="0" fontId="10" fillId="3" borderId="43" xfId="0" applyFont="1" applyFill="1" applyBorder="1" applyAlignment="1">
      <alignment horizontal="left" vertical="center" wrapText="1"/>
    </xf>
    <xf numFmtId="0" fontId="10" fillId="3" borderId="49" xfId="0" applyFont="1" applyFill="1" applyBorder="1" applyAlignment="1">
      <alignment horizontal="left" vertical="center" wrapText="1"/>
    </xf>
    <xf numFmtId="49" fontId="9" fillId="4" borderId="67" xfId="0" applyNumberFormat="1" applyFont="1" applyFill="1" applyBorder="1" applyAlignment="1">
      <alignment horizontal="left" vertical="center" wrapText="1"/>
    </xf>
    <xf numFmtId="49" fontId="9" fillId="4" borderId="58" xfId="0" applyNumberFormat="1" applyFont="1" applyFill="1" applyBorder="1" applyAlignment="1">
      <alignment horizontal="left" vertical="center" wrapText="1"/>
    </xf>
    <xf numFmtId="0" fontId="14" fillId="3" borderId="47" xfId="0" applyFont="1" applyFill="1" applyBorder="1" applyAlignment="1">
      <alignment horizontal="center" vertical="center"/>
    </xf>
    <xf numFmtId="0" fontId="14" fillId="3" borderId="72" xfId="0" applyFont="1" applyFill="1" applyBorder="1" applyAlignment="1">
      <alignment horizontal="center" vertical="center"/>
    </xf>
    <xf numFmtId="0" fontId="14" fillId="3" borderId="73" xfId="0" applyFont="1" applyFill="1" applyBorder="1" applyAlignment="1">
      <alignment horizontal="center" vertical="center"/>
    </xf>
    <xf numFmtId="0" fontId="10" fillId="3" borderId="55" xfId="0" applyFont="1" applyFill="1" applyBorder="1" applyAlignment="1">
      <alignment horizontal="left" vertical="center" wrapText="1"/>
    </xf>
    <xf numFmtId="0" fontId="15" fillId="4" borderId="26" xfId="0" applyFont="1" applyFill="1" applyBorder="1" applyAlignment="1">
      <alignment horizontal="center" vertical="center"/>
    </xf>
    <xf numFmtId="0" fontId="15" fillId="4" borderId="27" xfId="0" applyFont="1" applyFill="1" applyBorder="1" applyAlignment="1">
      <alignment horizontal="center" vertical="center"/>
    </xf>
    <xf numFmtId="0" fontId="15" fillId="4" borderId="23" xfId="0" applyFont="1" applyFill="1" applyBorder="1" applyAlignment="1">
      <alignment horizontal="center" vertical="center"/>
    </xf>
    <xf numFmtId="0" fontId="15" fillId="4" borderId="68" xfId="0" applyFont="1" applyFill="1" applyBorder="1" applyAlignment="1">
      <alignment horizontal="center" vertical="center"/>
    </xf>
    <xf numFmtId="0" fontId="15" fillId="4" borderId="48" xfId="0" applyFont="1" applyFill="1" applyBorder="1" applyAlignment="1">
      <alignment horizontal="center" vertical="center"/>
    </xf>
    <xf numFmtId="0" fontId="15" fillId="4" borderId="69" xfId="0" applyFont="1" applyFill="1" applyBorder="1" applyAlignment="1">
      <alignment horizontal="center" vertical="center"/>
    </xf>
    <xf numFmtId="0" fontId="14" fillId="3" borderId="0" xfId="0" applyFont="1" applyFill="1" applyAlignment="1">
      <alignment horizontal="center" vertical="center"/>
    </xf>
    <xf numFmtId="49" fontId="15" fillId="3" borderId="28" xfId="0" applyNumberFormat="1" applyFont="1" applyFill="1" applyBorder="1" applyAlignment="1">
      <alignment horizontal="center" vertical="center"/>
    </xf>
    <xf numFmtId="0" fontId="12" fillId="3" borderId="54" xfId="0" applyFont="1" applyFill="1" applyBorder="1" applyAlignment="1">
      <alignment horizontal="center" vertical="center" textRotation="90"/>
    </xf>
    <xf numFmtId="0" fontId="15" fillId="3" borderId="0" xfId="0" applyFont="1" applyFill="1" applyAlignment="1">
      <alignment horizontal="left" vertical="center" wrapText="1"/>
    </xf>
    <xf numFmtId="0" fontId="15" fillId="3" borderId="0" xfId="0" applyFont="1" applyFill="1" applyAlignment="1">
      <alignment horizontal="center" vertical="center"/>
    </xf>
    <xf numFmtId="49" fontId="11" fillId="3" borderId="57" xfId="0" applyNumberFormat="1" applyFont="1" applyFill="1" applyBorder="1" applyAlignment="1">
      <alignment horizontal="center" vertical="center"/>
    </xf>
    <xf numFmtId="0" fontId="9" fillId="3" borderId="49" xfId="0" applyFont="1" applyFill="1" applyBorder="1" applyAlignment="1">
      <alignment horizontal="center" vertical="center"/>
    </xf>
    <xf numFmtId="0" fontId="14" fillId="3" borderId="55" xfId="0" applyFont="1" applyFill="1" applyBorder="1" applyAlignment="1">
      <alignment horizontal="center" vertical="center"/>
    </xf>
    <xf numFmtId="0" fontId="14" fillId="3" borderId="48" xfId="0" applyFont="1" applyFill="1" applyBorder="1" applyAlignment="1">
      <alignment horizontal="center" vertical="center"/>
    </xf>
    <xf numFmtId="0" fontId="0" fillId="3" borderId="0" xfId="0" applyFill="1" applyAlignment="1">
      <alignment horizontal="left" vertical="center" wrapText="1"/>
    </xf>
    <xf numFmtId="0" fontId="0" fillId="3" borderId="55" xfId="0" applyFill="1" applyBorder="1" applyAlignment="1">
      <alignment horizontal="left" vertical="center" wrapText="1"/>
    </xf>
    <xf numFmtId="0" fontId="0" fillId="3" borderId="48" xfId="0" applyFill="1" applyBorder="1" applyAlignment="1">
      <alignment horizontal="left" vertical="center" wrapText="1"/>
    </xf>
    <xf numFmtId="0" fontId="0" fillId="3" borderId="54" xfId="0" applyFill="1" applyBorder="1" applyAlignment="1">
      <alignment horizontal="left" vertical="center" wrapText="1"/>
    </xf>
    <xf numFmtId="0" fontId="0" fillId="3" borderId="43" xfId="0" applyFill="1" applyBorder="1" applyAlignment="1">
      <alignment horizontal="left" vertical="center" wrapText="1"/>
    </xf>
    <xf numFmtId="0" fontId="15" fillId="3" borderId="55" xfId="0" applyFont="1" applyFill="1" applyBorder="1" applyAlignment="1">
      <alignment horizontal="center" vertical="center"/>
    </xf>
    <xf numFmtId="0" fontId="15" fillId="3" borderId="48" xfId="0" applyFont="1" applyFill="1" applyBorder="1" applyAlignment="1">
      <alignment horizontal="center" vertical="center"/>
    </xf>
    <xf numFmtId="0" fontId="14" fillId="3" borderId="43" xfId="0" applyFont="1" applyFill="1" applyBorder="1" applyAlignment="1">
      <alignment horizontal="center" vertical="center"/>
    </xf>
    <xf numFmtId="0" fontId="14" fillId="3" borderId="49" xfId="0" applyFont="1" applyFill="1" applyBorder="1" applyAlignment="1">
      <alignment horizontal="center" vertical="center"/>
    </xf>
    <xf numFmtId="0" fontId="15" fillId="4" borderId="53" xfId="0" applyFont="1" applyFill="1" applyBorder="1" applyAlignment="1">
      <alignment horizontal="center" vertical="center"/>
    </xf>
    <xf numFmtId="0" fontId="15" fillId="4" borderId="55" xfId="0" applyFont="1" applyFill="1" applyBorder="1" applyAlignment="1">
      <alignment horizontal="center" vertical="center"/>
    </xf>
    <xf numFmtId="0" fontId="15" fillId="4" borderId="74" xfId="0" applyFont="1" applyFill="1" applyBorder="1" applyAlignment="1">
      <alignment horizontal="center" vertical="center"/>
    </xf>
    <xf numFmtId="0" fontId="15" fillId="4" borderId="57" xfId="0" applyFont="1" applyFill="1" applyBorder="1" applyAlignment="1">
      <alignment horizontal="center" vertical="center"/>
    </xf>
    <xf numFmtId="0" fontId="15" fillId="4" borderId="75" xfId="0" applyFont="1" applyFill="1" applyBorder="1" applyAlignment="1">
      <alignment horizontal="center" vertical="center"/>
    </xf>
    <xf numFmtId="0" fontId="35" fillId="5" borderId="61" xfId="3" applyFill="1" applyBorder="1" applyAlignment="1">
      <alignment horizontal="center" vertical="center"/>
    </xf>
    <xf numFmtId="0" fontId="0" fillId="3" borderId="49" xfId="0" applyFill="1" applyBorder="1" applyAlignment="1">
      <alignment horizontal="left" vertical="center" wrapText="1"/>
    </xf>
    <xf numFmtId="49" fontId="10" fillId="3" borderId="43" xfId="0" applyNumberFormat="1" applyFont="1" applyFill="1" applyBorder="1" applyAlignment="1">
      <alignment horizontal="left" vertical="center" wrapText="1"/>
    </xf>
    <xf numFmtId="49" fontId="10" fillId="3" borderId="49" xfId="0" applyNumberFormat="1" applyFont="1" applyFill="1" applyBorder="1" applyAlignment="1">
      <alignment horizontal="left" vertical="center" wrapText="1"/>
    </xf>
    <xf numFmtId="0" fontId="12" fillId="3" borderId="0" xfId="0" applyFont="1" applyFill="1" applyAlignment="1">
      <alignment horizontal="center" vertical="center" textRotation="90"/>
    </xf>
    <xf numFmtId="0" fontId="15" fillId="3" borderId="48" xfId="0" applyFont="1" applyFill="1" applyBorder="1" applyAlignment="1">
      <alignment horizontal="left" vertical="center" wrapText="1"/>
    </xf>
    <xf numFmtId="49" fontId="45" fillId="3" borderId="0" xfId="0" applyNumberFormat="1" applyFont="1" applyFill="1" applyAlignment="1">
      <alignment horizontal="left" vertical="top" wrapText="1"/>
    </xf>
    <xf numFmtId="49" fontId="45" fillId="3" borderId="0" xfId="0" applyNumberFormat="1" applyFont="1" applyFill="1" applyAlignment="1">
      <alignment horizontal="left" vertical="top"/>
    </xf>
    <xf numFmtId="0" fontId="10" fillId="3" borderId="0" xfId="0" applyFont="1" applyFill="1" applyAlignment="1">
      <alignment vertical="center" wrapText="1"/>
    </xf>
    <xf numFmtId="0" fontId="10" fillId="3" borderId="48" xfId="0" applyFont="1" applyFill="1" applyBorder="1" applyAlignment="1">
      <alignment vertical="center" wrapText="1"/>
    </xf>
    <xf numFmtId="0" fontId="15" fillId="3" borderId="55" xfId="0" applyFont="1" applyFill="1" applyBorder="1" applyAlignment="1">
      <alignment horizontal="left" vertical="center" wrapText="1"/>
    </xf>
    <xf numFmtId="0" fontId="0" fillId="3" borderId="43" xfId="0" quotePrefix="1" applyFill="1" applyBorder="1" applyAlignment="1">
      <alignment horizontal="left" vertical="center" wrapText="1"/>
    </xf>
    <xf numFmtId="49" fontId="41" fillId="3" borderId="28" xfId="0" applyNumberFormat="1" applyFont="1" applyFill="1" applyBorder="1" applyAlignment="1">
      <alignment horizontal="center" vertical="center"/>
    </xf>
    <xf numFmtId="0" fontId="46" fillId="3" borderId="0" xfId="0" applyFont="1" applyFill="1" applyAlignment="1">
      <alignment horizontal="center" vertical="center"/>
    </xf>
    <xf numFmtId="0" fontId="14" fillId="3" borderId="54" xfId="0" applyFont="1" applyFill="1" applyBorder="1" applyAlignment="1">
      <alignment horizontal="center" vertical="center"/>
    </xf>
    <xf numFmtId="0" fontId="2" fillId="3" borderId="0" xfId="0" applyFont="1" applyFill="1" applyAlignment="1">
      <alignment horizontal="center" vertical="center"/>
    </xf>
    <xf numFmtId="0" fontId="2" fillId="4" borderId="0" xfId="0" applyFont="1" applyFill="1" applyAlignment="1">
      <alignment horizontal="left"/>
    </xf>
    <xf numFmtId="0" fontId="2" fillId="4" borderId="0" xfId="0" applyFont="1" applyFill="1" applyAlignment="1">
      <alignment horizontal="left" wrapText="1"/>
    </xf>
    <xf numFmtId="0" fontId="9" fillId="4" borderId="0" xfId="0" applyFont="1" applyFill="1" applyAlignment="1">
      <alignment horizontal="center" vertical="center"/>
    </xf>
    <xf numFmtId="0" fontId="9" fillId="4" borderId="24" xfId="0" applyFont="1" applyFill="1" applyBorder="1" applyAlignment="1">
      <alignment horizontal="center" vertical="center"/>
    </xf>
    <xf numFmtId="0" fontId="2" fillId="4" borderId="0" xfId="0" applyFont="1" applyFill="1" applyAlignment="1">
      <alignment horizontal="left" vertical="center" wrapText="1"/>
    </xf>
    <xf numFmtId="0" fontId="2" fillId="4" borderId="0" xfId="0" applyFont="1" applyFill="1" applyAlignment="1">
      <alignment horizontal="left" vertical="top" wrapText="1"/>
    </xf>
    <xf numFmtId="0" fontId="0" fillId="3" borderId="25" xfId="0" applyFill="1" applyBorder="1" applyAlignment="1">
      <alignment horizontal="center" vertical="center"/>
    </xf>
    <xf numFmtId="0" fontId="0" fillId="3" borderId="15" xfId="0" applyFill="1" applyBorder="1" applyAlignment="1">
      <alignment horizontal="center" vertical="center"/>
    </xf>
    <xf numFmtId="0" fontId="0" fillId="3" borderId="25" xfId="0" applyFill="1" applyBorder="1" applyAlignment="1">
      <alignment horizontal="left" vertical="center"/>
    </xf>
    <xf numFmtId="0" fontId="0" fillId="3" borderId="0" xfId="0" applyFill="1" applyAlignment="1">
      <alignment horizontal="left" vertical="center"/>
    </xf>
    <xf numFmtId="0" fontId="0" fillId="3" borderId="15" xfId="0" applyFill="1" applyBorder="1" applyAlignment="1">
      <alignment horizontal="left" vertical="center"/>
    </xf>
    <xf numFmtId="0" fontId="43" fillId="3" borderId="1" xfId="0" applyFont="1" applyFill="1" applyBorder="1" applyAlignment="1">
      <alignment horizontal="left" vertical="center" wrapText="1"/>
    </xf>
    <xf numFmtId="0" fontId="16" fillId="4" borderId="13" xfId="0" applyFont="1" applyFill="1" applyBorder="1" applyAlignment="1">
      <alignment horizontal="center" vertical="center"/>
    </xf>
    <xf numFmtId="0" fontId="16" fillId="4" borderId="1" xfId="0" applyFont="1" applyFill="1" applyBorder="1" applyAlignment="1">
      <alignment horizontal="center" vertical="center"/>
    </xf>
    <xf numFmtId="0" fontId="16" fillId="4" borderId="14" xfId="0" applyFont="1" applyFill="1" applyBorder="1" applyAlignment="1">
      <alignment horizontal="center" vertical="center"/>
    </xf>
  </cellXfs>
  <cellStyles count="4">
    <cellStyle name="Link" xfId="3" builtinId="8"/>
    <cellStyle name="Prozent" xfId="2" builtinId="5"/>
    <cellStyle name="Standard" xfId="0" builtinId="0"/>
    <cellStyle name="Standard 2" xfId="1" xr:uid="{5747C0E1-9007-438B-AA0B-1B84155130F7}"/>
  </cellStyles>
  <dxfs count="249">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A8E6A3"/>
        </patternFill>
      </fill>
    </dxf>
    <dxf>
      <font>
        <b/>
        <i val="0"/>
      </font>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numFmt numFmtId="0" formatCode="General"/>
      <fill>
        <patternFill patternType="lightDown"/>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A8E6A3"/>
        </patternFill>
      </fill>
    </dxf>
    <dxf>
      <font>
        <color theme="0"/>
      </font>
      <fill>
        <patternFill>
          <bgColor rgb="FFFF0000"/>
        </patternFill>
      </fill>
    </dxf>
    <dxf>
      <fill>
        <patternFill>
          <bgColor rgb="FF00B050"/>
        </patternFill>
      </fill>
    </dxf>
    <dxf>
      <fill>
        <patternFill>
          <bgColor rgb="FFFFFF00"/>
        </patternFill>
      </fill>
    </dxf>
    <dxf>
      <font>
        <color theme="0"/>
      </font>
      <fill>
        <patternFill>
          <bgColor rgb="FFFF0000"/>
        </patternFill>
      </fill>
    </dxf>
    <dxf>
      <fill>
        <patternFill>
          <bgColor rgb="FFFFFF00"/>
        </patternFill>
      </fill>
    </dxf>
    <dxf>
      <fill>
        <patternFill>
          <bgColor rgb="FF00B05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colors>
    <mruColors>
      <color rgb="FFFFD966"/>
      <color rgb="FFA9D08E"/>
      <color rgb="FFF4B084"/>
      <color rgb="FFF7F3A1"/>
      <color rgb="FFF5A3A3"/>
      <color rgb="FFFAD7C0"/>
      <color rgb="FFF9E79F"/>
      <color rgb="FFD9F0D2"/>
      <color rgb="FFA8E6A3"/>
      <color rgb="FFC2E9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3</xdr:row>
          <xdr:rowOff>209550</xdr:rowOff>
        </xdr:from>
        <xdr:to>
          <xdr:col>8</xdr:col>
          <xdr:colOff>657225</xdr:colOff>
          <xdr:row>7</xdr:row>
          <xdr:rowOff>104775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200" b="0" i="0" u="none" strike="noStrike" baseline="0">
                  <a:solidFill>
                    <a:srgbClr val="000000"/>
                  </a:solidFill>
                  <a:latin typeface="Porsche Next TT"/>
                  <a:cs typeface="Porsche Next TT"/>
                </a:rPr>
                <a:t>Save result as pdf and LOP as excel</a:t>
              </a:r>
            </a:p>
            <a:p>
              <a:pPr algn="ctr" rtl="0">
                <a:defRPr sz="1000"/>
              </a:pPr>
              <a:r>
                <a:rPr lang="de-DE" sz="1200" b="0" i="0" u="none" strike="noStrike" baseline="0">
                  <a:solidFill>
                    <a:srgbClr val="000000"/>
                  </a:solidFill>
                  <a:latin typeface="Porsche Next TT"/>
                  <a:cs typeface="Porsche Next TT"/>
                </a:rPr>
                <a:t>for supplier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152400</xdr:colOff>
          <xdr:row>3</xdr:row>
          <xdr:rowOff>180975</xdr:rowOff>
        </xdr:from>
        <xdr:to>
          <xdr:col>12</xdr:col>
          <xdr:colOff>952500</xdr:colOff>
          <xdr:row>6</xdr:row>
          <xdr:rowOff>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A00-0000018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200" b="0" i="0" u="none" strike="noStrike" baseline="0">
                  <a:solidFill>
                    <a:srgbClr val="000000"/>
                  </a:solidFill>
                  <a:latin typeface="Porsche Next TT"/>
                  <a:cs typeface="Porsche Next TT"/>
                </a:rPr>
                <a:t>Create LOP</a:t>
              </a:r>
            </a:p>
          </xdr:txBody>
        </xdr:sp>
        <xdr:clientData fPrintsWithSheet="0"/>
      </xdr:twoCellAnchor>
    </mc:Choice>
    <mc:Fallback/>
  </mc:AlternateContent>
</xdr:wsDr>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EF2EA-7A94-4338-9F08-61156F82BFD8}">
  <sheetPr codeName="Tabelle1"/>
  <dimension ref="A1:K467"/>
  <sheetViews>
    <sheetView topLeftCell="A19" zoomScale="80" zoomScaleNormal="80" workbookViewId="0">
      <selection activeCell="D30" sqref="D30"/>
    </sheetView>
  </sheetViews>
  <sheetFormatPr baseColWidth="10" defaultColWidth="11.5546875" defaultRowHeight="18" x14ac:dyDescent="0.4"/>
  <cols>
    <col min="1" max="1" width="8.44140625" bestFit="1" customWidth="1"/>
    <col min="2" max="2" width="30.5546875" bestFit="1" customWidth="1"/>
    <col min="3" max="3" width="28.44140625" bestFit="1" customWidth="1"/>
    <col min="4" max="4" width="38.5546875" bestFit="1" customWidth="1"/>
    <col min="5" max="5" width="19.5546875" bestFit="1" customWidth="1"/>
    <col min="6" max="6" width="36.88671875" bestFit="1" customWidth="1"/>
    <col min="7" max="7" width="19.33203125" bestFit="1" customWidth="1"/>
    <col min="8" max="8" width="31.21875" bestFit="1" customWidth="1"/>
    <col min="10" max="10" width="15.77734375" customWidth="1"/>
  </cols>
  <sheetData>
    <row r="1" spans="1:11" ht="36.75" customHeight="1" x14ac:dyDescent="0.4">
      <c r="A1" s="356" t="s">
        <v>0</v>
      </c>
      <c r="B1" s="357"/>
      <c r="C1" s="357"/>
      <c r="D1" s="357"/>
      <c r="E1" s="357"/>
      <c r="F1" s="357"/>
      <c r="G1" s="357"/>
      <c r="H1" s="357"/>
      <c r="I1" s="358"/>
      <c r="J1" s="38"/>
      <c r="K1" s="4"/>
    </row>
    <row r="2" spans="1:11" ht="15" customHeight="1" x14ac:dyDescent="0.4">
      <c r="A2" s="359"/>
      <c r="B2" s="360"/>
      <c r="C2" s="360"/>
      <c r="D2" s="360"/>
      <c r="E2" s="360"/>
      <c r="F2" s="360"/>
      <c r="G2" s="360"/>
      <c r="H2" s="360"/>
      <c r="I2" s="361"/>
      <c r="J2" s="368" t="s">
        <v>1</v>
      </c>
      <c r="K2" s="368"/>
    </row>
    <row r="3" spans="1:11" ht="15" customHeight="1" thickBot="1" x14ac:dyDescent="0.45">
      <c r="A3" s="362"/>
      <c r="B3" s="363"/>
      <c r="C3" s="363"/>
      <c r="D3" s="363"/>
      <c r="E3" s="363"/>
      <c r="F3" s="363"/>
      <c r="G3" s="363"/>
      <c r="H3" s="363"/>
      <c r="I3" s="364"/>
      <c r="J3" s="4"/>
      <c r="K3" s="4"/>
    </row>
    <row r="4" spans="1:11" ht="30.75" thickBot="1" x14ac:dyDescent="0.45">
      <c r="A4" s="49"/>
      <c r="B4" s="2" t="s">
        <v>2</v>
      </c>
      <c r="C4" s="2" t="s">
        <v>3</v>
      </c>
      <c r="D4" s="3" t="s">
        <v>4</v>
      </c>
      <c r="E4" s="2" t="s">
        <v>5</v>
      </c>
      <c r="F4" s="2" t="s">
        <v>6</v>
      </c>
      <c r="G4" s="2" t="s">
        <v>7</v>
      </c>
      <c r="H4" s="2" t="s">
        <v>8</v>
      </c>
      <c r="I4" s="369"/>
      <c r="J4" s="39" t="s">
        <v>9</v>
      </c>
      <c r="K4" s="39" t="s">
        <v>10</v>
      </c>
    </row>
    <row r="5" spans="1:11" x14ac:dyDescent="0.4">
      <c r="A5" s="50"/>
      <c r="B5" s="42" t="str">
        <f>'L1 - Project management'!F22</f>
        <v>n.e.</v>
      </c>
      <c r="C5" s="42" t="str">
        <f>'L2 - Planning'!F22</f>
        <v>n.e.</v>
      </c>
      <c r="D5" s="42"/>
      <c r="E5" s="42" t="str">
        <f>'L4 - Procurement logistics'!F28</f>
        <v>n.e.</v>
      </c>
      <c r="F5" s="42" t="str">
        <f>'L5 - Transport logistics'!F22</f>
        <v>n.e.</v>
      </c>
      <c r="G5" s="42" t="str">
        <f>'L6 -  In-house logistics'!F61</f>
        <v>n.e.</v>
      </c>
      <c r="H5" s="42" t="str">
        <f>'L7 - Customer management'!F19</f>
        <v>n.e.</v>
      </c>
      <c r="I5" s="370"/>
      <c r="J5" s="40" t="s">
        <v>11</v>
      </c>
      <c r="K5" s="39" t="s">
        <v>12</v>
      </c>
    </row>
    <row r="6" spans="1:11" x14ac:dyDescent="0.4">
      <c r="A6" s="50"/>
      <c r="B6" s="43" t="s">
        <v>13</v>
      </c>
      <c r="C6" s="43" t="s">
        <v>14</v>
      </c>
      <c r="D6" s="43" t="s">
        <v>15</v>
      </c>
      <c r="E6" s="43" t="s">
        <v>16</v>
      </c>
      <c r="F6" s="43" t="s">
        <v>17</v>
      </c>
      <c r="G6" s="43" t="s">
        <v>18</v>
      </c>
      <c r="H6" s="43" t="s">
        <v>19</v>
      </c>
      <c r="I6" s="370"/>
      <c r="J6" s="40"/>
      <c r="K6" s="39"/>
    </row>
    <row r="7" spans="1:11" x14ac:dyDescent="0.4">
      <c r="A7" s="50"/>
      <c r="B7" s="53" t="str">
        <f>Evaluationsheet!E5</f>
        <v>n.e.</v>
      </c>
      <c r="C7" s="54"/>
      <c r="D7" s="54"/>
      <c r="E7" s="54" t="str">
        <f>Evaluationsheet!E18</f>
        <v>n.e.</v>
      </c>
      <c r="F7" s="54" t="str">
        <f>Evaluationsheet!E29</f>
        <v>n.e.</v>
      </c>
      <c r="G7" s="54" t="str">
        <f>Evaluationsheet!E33</f>
        <v>n.e.</v>
      </c>
      <c r="H7" s="54" t="str">
        <f>Evaluationsheet!E53</f>
        <v>n.e.</v>
      </c>
      <c r="I7" s="370"/>
      <c r="J7" t="s">
        <v>725</v>
      </c>
      <c r="K7" s="41" t="s">
        <v>20</v>
      </c>
    </row>
    <row r="8" spans="1:11" x14ac:dyDescent="0.4">
      <c r="A8" s="50"/>
      <c r="B8" s="53" t="str">
        <f>Evaluationsheet!E6</f>
        <v>n.e.</v>
      </c>
      <c r="C8" s="54" t="str">
        <f>Evaluationsheet!E11</f>
        <v>n.e.</v>
      </c>
      <c r="D8" s="54"/>
      <c r="E8" s="54" t="str">
        <f>Evaluationsheet!E20</f>
        <v>n.e.</v>
      </c>
      <c r="F8" s="54" t="str">
        <f>Evaluationsheet!E30</f>
        <v>n.e.</v>
      </c>
      <c r="G8" s="54" t="str">
        <f>Evaluationsheet!E34</f>
        <v>n.e.</v>
      </c>
      <c r="H8" s="54" t="str">
        <f>Evaluationsheet!E54</f>
        <v>n.e.</v>
      </c>
      <c r="I8" s="370"/>
      <c r="J8" t="s">
        <v>668</v>
      </c>
      <c r="K8" s="41" t="s">
        <v>21</v>
      </c>
    </row>
    <row r="9" spans="1:11" x14ac:dyDescent="0.4">
      <c r="A9" s="50"/>
      <c r="B9" s="16" t="str">
        <f>Evaluationsheet!E8</f>
        <v>n.e.</v>
      </c>
      <c r="C9" s="54" t="str">
        <f>Evaluationsheet!E13</f>
        <v>n.e.</v>
      </c>
      <c r="D9" s="54"/>
      <c r="E9" s="54"/>
      <c r="F9" s="54" t="str">
        <f>Evaluationsheet!E31</f>
        <v>n.e.</v>
      </c>
      <c r="G9" s="54" t="str">
        <f>Evaluationsheet!E35</f>
        <v>n.e.</v>
      </c>
      <c r="H9" s="54" t="str">
        <f>Evaluationsheet!E56</f>
        <v>n.e.</v>
      </c>
      <c r="I9" s="370"/>
      <c r="J9" t="s">
        <v>669</v>
      </c>
      <c r="K9" s="41" t="s">
        <v>22</v>
      </c>
    </row>
    <row r="10" spans="1:11" x14ac:dyDescent="0.4">
      <c r="A10" s="50"/>
      <c r="C10" s="54" t="str">
        <f>Evaluationsheet!E14</f>
        <v>n.e.</v>
      </c>
      <c r="D10" s="54"/>
      <c r="E10" s="54"/>
      <c r="F10" s="42" t="s">
        <v>23</v>
      </c>
      <c r="G10" s="54" t="str">
        <f>Evaluationsheet!E36</f>
        <v>n.e.</v>
      </c>
      <c r="H10" s="54"/>
      <c r="I10" s="370"/>
      <c r="J10" t="s">
        <v>726</v>
      </c>
      <c r="K10" s="41" t="s">
        <v>24</v>
      </c>
    </row>
    <row r="11" spans="1:11" x14ac:dyDescent="0.4">
      <c r="A11" s="50"/>
      <c r="C11" s="54" t="str">
        <f>Evaluationsheet!E15</f>
        <v>n.e.</v>
      </c>
      <c r="D11" s="54"/>
      <c r="E11" s="54"/>
      <c r="G11" s="54" t="str">
        <f>Evaluationsheet!E39</f>
        <v>n.e.</v>
      </c>
      <c r="H11" s="42" t="s">
        <v>23</v>
      </c>
      <c r="I11" s="370"/>
      <c r="J11" t="s">
        <v>670</v>
      </c>
      <c r="K11" s="41" t="s">
        <v>25</v>
      </c>
    </row>
    <row r="12" spans="1:11" x14ac:dyDescent="0.4">
      <c r="A12" s="50"/>
      <c r="C12" s="54"/>
      <c r="D12" s="54"/>
      <c r="E12" s="54" t="str">
        <f>Evaluationsheet!E22</f>
        <v>n.e.</v>
      </c>
      <c r="G12" s="54" t="str">
        <f>Evaluationsheet!E40</f>
        <v>n.e.</v>
      </c>
      <c r="I12" s="370"/>
      <c r="J12" t="s">
        <v>727</v>
      </c>
      <c r="K12" s="41" t="s">
        <v>26</v>
      </c>
    </row>
    <row r="13" spans="1:11" x14ac:dyDescent="0.4">
      <c r="A13" s="50"/>
      <c r="C13" s="54" t="str">
        <f>Evaluationsheet!E16</f>
        <v>n.e.</v>
      </c>
      <c r="D13" s="54"/>
      <c r="E13" s="54" t="str">
        <f>Evaluationsheet!E24</f>
        <v>n.e.</v>
      </c>
      <c r="G13" s="54" t="str">
        <f>Evaluationsheet!E41</f>
        <v>n.e.</v>
      </c>
      <c r="I13" s="370"/>
      <c r="J13" t="s">
        <v>671</v>
      </c>
      <c r="K13" s="41" t="s">
        <v>27</v>
      </c>
    </row>
    <row r="14" spans="1:11" x14ac:dyDescent="0.4">
      <c r="A14" s="50"/>
      <c r="B14" s="42" t="s">
        <v>23</v>
      </c>
      <c r="C14" s="42" t="s">
        <v>664</v>
      </c>
      <c r="D14" s="42" t="s">
        <v>892</v>
      </c>
      <c r="E14" s="54"/>
      <c r="G14" s="54" t="str">
        <f>Evaluationsheet!E44</f>
        <v>n.e.</v>
      </c>
      <c r="I14" s="370"/>
      <c r="J14" t="s">
        <v>672</v>
      </c>
      <c r="K14" s="41" t="s">
        <v>28</v>
      </c>
    </row>
    <row r="15" spans="1:11" x14ac:dyDescent="0.4">
      <c r="A15" s="50"/>
      <c r="E15" s="42" t="s">
        <v>665</v>
      </c>
      <c r="G15" s="54"/>
      <c r="I15" s="370"/>
      <c r="J15" t="s">
        <v>728</v>
      </c>
      <c r="K15" s="41" t="s">
        <v>29</v>
      </c>
    </row>
    <row r="16" spans="1:11" x14ac:dyDescent="0.4">
      <c r="A16" s="50"/>
      <c r="G16" s="54" t="str">
        <f>Evaluationsheet!E45</f>
        <v>n.e.</v>
      </c>
      <c r="I16" s="370"/>
      <c r="J16" t="s">
        <v>729</v>
      </c>
      <c r="K16" s="41" t="s">
        <v>30</v>
      </c>
    </row>
    <row r="17" spans="1:11" x14ac:dyDescent="0.4">
      <c r="A17" s="50"/>
      <c r="G17" s="54" t="str">
        <f>Evaluationsheet!E46</f>
        <v>n.e.</v>
      </c>
      <c r="I17" s="370"/>
      <c r="J17" t="s">
        <v>673</v>
      </c>
      <c r="K17" s="41" t="s">
        <v>31</v>
      </c>
    </row>
    <row r="18" spans="1:11" x14ac:dyDescent="0.4">
      <c r="A18" s="50"/>
      <c r="G18" s="54" t="str">
        <f>Evaluationsheet!E48</f>
        <v>n.e.</v>
      </c>
      <c r="I18" s="370"/>
      <c r="J18" t="s">
        <v>730</v>
      </c>
      <c r="K18" s="41" t="s">
        <v>32</v>
      </c>
    </row>
    <row r="19" spans="1:11" x14ac:dyDescent="0.4">
      <c r="A19" s="50"/>
      <c r="G19" s="54" t="str">
        <f>Evaluationsheet!E51</f>
        <v>n.e.</v>
      </c>
      <c r="I19" s="370"/>
      <c r="J19" t="s">
        <v>731</v>
      </c>
      <c r="K19" s="41" t="s">
        <v>33</v>
      </c>
    </row>
    <row r="20" spans="1:11" x14ac:dyDescent="0.4">
      <c r="A20" s="50"/>
      <c r="B20" s="1"/>
      <c r="G20" s="54"/>
      <c r="I20" s="370"/>
      <c r="K20" s="41"/>
    </row>
    <row r="21" spans="1:11" x14ac:dyDescent="0.4">
      <c r="A21" s="50"/>
      <c r="B21" s="55"/>
      <c r="C21" s="23"/>
      <c r="D21" s="23"/>
      <c r="E21" s="23"/>
      <c r="F21" s="23"/>
      <c r="G21" s="42" t="s">
        <v>893</v>
      </c>
      <c r="H21" s="23"/>
      <c r="I21" s="370"/>
      <c r="J21" t="s">
        <v>34</v>
      </c>
      <c r="K21" s="41" t="s">
        <v>35</v>
      </c>
    </row>
    <row r="22" spans="1:11" x14ac:dyDescent="0.4">
      <c r="A22" s="50"/>
      <c r="B22" s="256"/>
      <c r="C22" s="252"/>
      <c r="D22" s="252"/>
      <c r="E22" s="252"/>
      <c r="F22" s="252"/>
      <c r="G22" s="252"/>
      <c r="H22" s="252"/>
      <c r="I22" s="370"/>
      <c r="J22" t="s">
        <v>732</v>
      </c>
      <c r="K22" s="41" t="s">
        <v>36</v>
      </c>
    </row>
    <row r="23" spans="1:11" ht="36" x14ac:dyDescent="0.4">
      <c r="A23" s="50"/>
      <c r="B23" s="44" t="s">
        <v>37</v>
      </c>
      <c r="C23" s="44" t="s">
        <v>37</v>
      </c>
      <c r="D23" s="44" t="s">
        <v>37</v>
      </c>
      <c r="E23" s="44" t="s">
        <v>37</v>
      </c>
      <c r="F23" s="44" t="s">
        <v>37</v>
      </c>
      <c r="G23" s="44" t="s">
        <v>37</v>
      </c>
      <c r="H23" s="44" t="s">
        <v>37</v>
      </c>
      <c r="I23" s="370"/>
      <c r="J23" t="s">
        <v>733</v>
      </c>
      <c r="K23" s="41" t="s">
        <v>38</v>
      </c>
    </row>
    <row r="24" spans="1:11" x14ac:dyDescent="0.4">
      <c r="A24" s="50"/>
      <c r="B24" s="42">
        <f>COUNTIF(B7:B13, "n.e.")</f>
        <v>3</v>
      </c>
      <c r="C24" s="42">
        <f>COUNTIF(C7:C13, "n.e.")</f>
        <v>5</v>
      </c>
      <c r="D24" s="42">
        <f>COUNTIF(D7:D13, "n.e.")</f>
        <v>0</v>
      </c>
      <c r="E24" s="42">
        <f>COUNTIF(E7:E14, "n.e.")</f>
        <v>4</v>
      </c>
      <c r="F24" s="42">
        <f>COUNTIF(F7:F9, "n.e.")</f>
        <v>3</v>
      </c>
      <c r="G24" s="42">
        <f>COUNTIF(G7:G20, "n.e.")</f>
        <v>12</v>
      </c>
      <c r="H24" s="42">
        <f>COUNTIF(H7:H10, "n.e.")</f>
        <v>3</v>
      </c>
      <c r="I24" s="370"/>
      <c r="J24" t="s">
        <v>734</v>
      </c>
      <c r="K24" s="41" t="s">
        <v>39</v>
      </c>
    </row>
    <row r="25" spans="1:11" x14ac:dyDescent="0.4">
      <c r="A25" s="50"/>
      <c r="I25" s="370"/>
      <c r="J25" t="s">
        <v>40</v>
      </c>
      <c r="K25" s="41" t="s">
        <v>41</v>
      </c>
    </row>
    <row r="26" spans="1:11" x14ac:dyDescent="0.4">
      <c r="A26" s="50"/>
      <c r="B26" s="252"/>
      <c r="C26" s="252"/>
      <c r="D26" s="252"/>
      <c r="E26" s="252"/>
      <c r="F26" s="252"/>
      <c r="G26" s="252"/>
      <c r="H26" s="252"/>
      <c r="I26" s="370"/>
      <c r="J26" t="s">
        <v>42</v>
      </c>
      <c r="K26" s="41" t="s">
        <v>43</v>
      </c>
    </row>
    <row r="27" spans="1:11" x14ac:dyDescent="0.4">
      <c r="A27" s="50"/>
      <c r="G27" t="s">
        <v>44</v>
      </c>
      <c r="H27" t="s">
        <v>45</v>
      </c>
      <c r="I27" s="370"/>
      <c r="J27" t="s">
        <v>46</v>
      </c>
      <c r="K27" s="41" t="s">
        <v>47</v>
      </c>
    </row>
    <row r="28" spans="1:11" x14ac:dyDescent="0.4">
      <c r="A28" s="50"/>
      <c r="B28" s="172" t="s">
        <v>48</v>
      </c>
      <c r="D28" s="172" t="s">
        <v>49</v>
      </c>
      <c r="G28">
        <f>'L1 - Project management'!D22*10</f>
        <v>0</v>
      </c>
      <c r="H28">
        <f>Evaluationsheet!E4</f>
        <v>0</v>
      </c>
      <c r="I28" s="370"/>
      <c r="J28" t="s">
        <v>735</v>
      </c>
      <c r="K28" s="41" t="s">
        <v>50</v>
      </c>
    </row>
    <row r="29" spans="1:11" x14ac:dyDescent="0.4">
      <c r="A29" s="50"/>
      <c r="B29" s="58">
        <f>MIN(E5,G5)</f>
        <v>0</v>
      </c>
      <c r="C29" t="str">
        <f>IF(B29&gt;=0.8,"A",IF(B29&lt;0.7,"C","B"))</f>
        <v>C</v>
      </c>
      <c r="D29">
        <f>MIN(Evaluationsheet!E4:E56)</f>
        <v>0</v>
      </c>
      <c r="E29" t="str">
        <f>IF(D29&gt;1,"A",IF(D29&lt;1,"B"))</f>
        <v>B</v>
      </c>
      <c r="G29">
        <f>'L2 - Planning'!D22*10</f>
        <v>0</v>
      </c>
      <c r="H29">
        <f>Evaluationsheet!E10</f>
        <v>0</v>
      </c>
      <c r="I29" s="370"/>
      <c r="J29" t="s">
        <v>736</v>
      </c>
      <c r="K29" s="41" t="s">
        <v>51</v>
      </c>
    </row>
    <row r="30" spans="1:11" x14ac:dyDescent="0.4">
      <c r="A30" s="50"/>
      <c r="I30" s="370"/>
      <c r="J30" t="s">
        <v>737</v>
      </c>
      <c r="K30" s="41" t="s">
        <v>52</v>
      </c>
    </row>
    <row r="31" spans="1:11" x14ac:dyDescent="0.4">
      <c r="A31" s="50"/>
      <c r="B31" s="172" t="s">
        <v>53</v>
      </c>
      <c r="G31">
        <f>'L4 - Procurement logistics'!D28*10</f>
        <v>0</v>
      </c>
      <c r="H31">
        <f>Evaluationsheet!E17</f>
        <v>0</v>
      </c>
      <c r="I31" s="370"/>
      <c r="J31" t="s">
        <v>738</v>
      </c>
      <c r="K31" s="41" t="s">
        <v>54</v>
      </c>
    </row>
    <row r="32" spans="1:11" x14ac:dyDescent="0.4">
      <c r="A32" s="50"/>
      <c r="B32" s="58">
        <f>MIN(B7:B13,C7:C13,D7:D13,E7:E14,F7:F9,G7:G20,H7:H10)</f>
        <v>0</v>
      </c>
      <c r="C32" t="str">
        <f>IF(B32=0,"C",IF(B32=4,"B","A"))</f>
        <v>C</v>
      </c>
      <c r="D32" s="172" t="s">
        <v>55</v>
      </c>
      <c r="G32">
        <f>'L5 - Transport logistics'!D22*10</f>
        <v>0</v>
      </c>
      <c r="H32">
        <f>Evaluationsheet!E25</f>
        <v>0</v>
      </c>
      <c r="I32" s="370"/>
      <c r="J32" t="s">
        <v>739</v>
      </c>
      <c r="K32" s="41" t="s">
        <v>56</v>
      </c>
    </row>
    <row r="33" spans="1:11" x14ac:dyDescent="0.4">
      <c r="A33" s="50"/>
      <c r="F33" t="str">
        <f>IF(C29="C","C",IF(C32="C","C",IF(C35="C","C",IF(C29="B","B",IF(C32="B","B",IF(C35="B","B",IF(E29="B","B","A")))))))</f>
        <v>C</v>
      </c>
      <c r="G33">
        <f>'L6 -  In-house logistics'!D61*10</f>
        <v>0</v>
      </c>
      <c r="H33">
        <f>Evaluationsheet!E32</f>
        <v>0</v>
      </c>
      <c r="I33" s="370"/>
      <c r="J33" t="s">
        <v>57</v>
      </c>
      <c r="K33" s="41" t="s">
        <v>58</v>
      </c>
    </row>
    <row r="34" spans="1:11" x14ac:dyDescent="0.4">
      <c r="A34" s="50"/>
      <c r="B34" s="172" t="s">
        <v>59</v>
      </c>
      <c r="G34">
        <f>'L7 - Customer management'!D19*10</f>
        <v>0</v>
      </c>
      <c r="H34">
        <f>Evaluationsheet!E52</f>
        <v>0</v>
      </c>
      <c r="I34" s="370"/>
      <c r="J34" t="s">
        <v>740</v>
      </c>
      <c r="K34" s="41" t="s">
        <v>60</v>
      </c>
    </row>
    <row r="35" spans="1:11" x14ac:dyDescent="0.4">
      <c r="A35" s="50"/>
      <c r="B35" t="str">
        <f>IF(SUM(B7:B13,C8:C13,D7:D13,E7:E14,F7:F9,G7:G20,H7:H9)=0,"n.b.",AVERAGE(B7:B13,C8:C13,D7:D13,E7:E14,F7:F9,G7:G20,H7:H9))</f>
        <v>n.b.</v>
      </c>
      <c r="C35" t="str">
        <f>IF(B35&lt;7,"C",IF(B35&gt;=8,"A","B"))</f>
        <v>A</v>
      </c>
      <c r="D35" s="172" t="s">
        <v>61</v>
      </c>
      <c r="F35" t="str">
        <f>IF((OR(B84="No result (too many questions n.e.)",C84="No result (too many questions n.e.)",D84="No result (too many questions n.e.)",E84="No result (too many questions n.e.)",F84="No result (too many questions n.e.)",G84="No result (too many questions n.e.)",H84="No result (too many questions n.e.)")),"No result (too many questions n.e.)",F33)</f>
        <v>No result (too many questions n.e.)</v>
      </c>
      <c r="I35" s="370"/>
      <c r="J35" t="s">
        <v>741</v>
      </c>
      <c r="K35" s="41" t="s">
        <v>62</v>
      </c>
    </row>
    <row r="36" spans="1:11" x14ac:dyDescent="0.4">
      <c r="A36" s="50"/>
      <c r="I36" s="370"/>
      <c r="J36" t="s">
        <v>742</v>
      </c>
      <c r="K36" s="41" t="s">
        <v>63</v>
      </c>
    </row>
    <row r="37" spans="1:11" x14ac:dyDescent="0.4">
      <c r="A37" s="50"/>
      <c r="D37" s="52"/>
      <c r="I37" s="370"/>
      <c r="J37" t="s">
        <v>64</v>
      </c>
      <c r="K37" s="41" t="s">
        <v>65</v>
      </c>
    </row>
    <row r="38" spans="1:11" x14ac:dyDescent="0.4">
      <c r="A38" s="50"/>
      <c r="B38" s="48" t="s">
        <v>630</v>
      </c>
      <c r="C38" s="56" t="s">
        <v>66</v>
      </c>
      <c r="F38" s="56" t="s">
        <v>67</v>
      </c>
      <c r="I38" s="370"/>
      <c r="J38" t="s">
        <v>68</v>
      </c>
      <c r="K38" s="41" t="s">
        <v>69</v>
      </c>
    </row>
    <row r="39" spans="1:11" x14ac:dyDescent="0.4">
      <c r="A39" s="50"/>
      <c r="B39" s="57" t="str" cm="1">
        <f t="array" ref="B39">IF(SUM(G28:G34)=0,"n.e.",ROUND(SUM((H28:H34)/SUM(G28:G34)),2))</f>
        <v>n.e.</v>
      </c>
      <c r="C39" s="57" t="e">
        <f>SUM(B7:B13,C7:C13,D7:D13,E7:E14,F7:F9,G7:G20,H7:H10) / ((30-F39)*10)</f>
        <v>#DIV/0!</v>
      </c>
      <c r="F39" s="42">
        <f>COUNTIF(B7:B13, "n.e.") + COUNTIF(C7:C13, "n.e.") + COUNTIF(D7:D13, "n.e.") + COUNTIF(E7:E14, "n.e.") + COUNTIF(F7:F9, "n.e.") + COUNTIF(G7:G20, "n.e.") + COUNTIF(H7:H10, "n.e.")</f>
        <v>30</v>
      </c>
      <c r="I39" s="370"/>
      <c r="J39" t="s">
        <v>70</v>
      </c>
      <c r="K39" s="41" t="s">
        <v>71</v>
      </c>
    </row>
    <row r="40" spans="1:11" x14ac:dyDescent="0.4">
      <c r="A40" s="50"/>
      <c r="B40" s="57"/>
      <c r="C40" s="57"/>
      <c r="F40" s="42"/>
      <c r="H40" s="9"/>
      <c r="I40" s="244"/>
      <c r="J40" t="s">
        <v>72</v>
      </c>
      <c r="K40" s="41" t="s">
        <v>73</v>
      </c>
    </row>
    <row r="41" spans="1:11" x14ac:dyDescent="0.4">
      <c r="A41" s="50"/>
      <c r="B41" s="251"/>
      <c r="C41" s="251"/>
      <c r="D41" s="252"/>
      <c r="E41" s="252"/>
      <c r="F41" s="253"/>
      <c r="G41" s="252"/>
      <c r="H41" s="254"/>
      <c r="I41" s="244"/>
      <c r="J41" t="s">
        <v>74</v>
      </c>
      <c r="K41" s="41" t="s">
        <v>75</v>
      </c>
    </row>
    <row r="42" spans="1:11" x14ac:dyDescent="0.4">
      <c r="A42" s="50"/>
      <c r="B42" s="371" t="s">
        <v>624</v>
      </c>
      <c r="C42" s="371"/>
      <c r="F42" s="42"/>
      <c r="H42" s="9"/>
      <c r="I42" s="244"/>
      <c r="J42" t="s">
        <v>743</v>
      </c>
      <c r="K42" s="41" t="s">
        <v>76</v>
      </c>
    </row>
    <row r="43" spans="1:11" x14ac:dyDescent="0.4">
      <c r="A43" s="50"/>
      <c r="B43" s="245" t="s">
        <v>625</v>
      </c>
      <c r="C43" s="245" t="s">
        <v>626</v>
      </c>
      <c r="D43" t="s">
        <v>627</v>
      </c>
      <c r="E43" t="s">
        <v>628</v>
      </c>
      <c r="F43" s="172" t="s">
        <v>629</v>
      </c>
      <c r="H43" s="9"/>
      <c r="I43" s="244"/>
      <c r="J43" t="s">
        <v>77</v>
      </c>
      <c r="K43" s="41" t="s">
        <v>78</v>
      </c>
    </row>
    <row r="44" spans="1:11" x14ac:dyDescent="0.4">
      <c r="A44" s="50"/>
      <c r="B44" s="42" t="str">
        <f>IF(AND(Source!F33="B",B39&gt;=0.9),"Downgrading rule applies","")</f>
        <v/>
      </c>
      <c r="C44" s="57" t="str">
        <f>IF(AND(Source!F33="C",B39&gt;=0.8),"Downgrading rule applies","")</f>
        <v>Downgrading rule applies</v>
      </c>
      <c r="D44" s="246"/>
      <c r="E44" s="246"/>
      <c r="F44" s="246"/>
      <c r="H44" s="9"/>
      <c r="I44" s="244"/>
      <c r="J44" t="s">
        <v>744</v>
      </c>
      <c r="K44" s="41" t="s">
        <v>81</v>
      </c>
    </row>
    <row r="45" spans="1:11" x14ac:dyDescent="0.4">
      <c r="A45" s="50"/>
      <c r="B45" s="247" t="str">
        <f>IF(Source!E29="B","non *-question(s) 0 points","")</f>
        <v>non *-question(s) 0 points</v>
      </c>
      <c r="C45" s="248"/>
      <c r="D45" t="str">
        <f>IF(B44="Downgrading rule applies",B45,"")</f>
        <v/>
      </c>
      <c r="E45" s="249"/>
      <c r="F45" t="str">
        <f>D45</f>
        <v/>
      </c>
      <c r="H45" s="9"/>
      <c r="I45" s="244"/>
      <c r="J45" t="s">
        <v>745</v>
      </c>
      <c r="K45" s="41" t="s">
        <v>85</v>
      </c>
    </row>
    <row r="46" spans="1:11" x14ac:dyDescent="0.4">
      <c r="A46" s="50"/>
      <c r="B46" s="247" t="str">
        <f>IF(Source!C35="B","*-questions &lt; 80%","")</f>
        <v/>
      </c>
      <c r="C46" t="str">
        <f>IF(Source!C35="C","*-questions &lt; 70%","")</f>
        <v/>
      </c>
      <c r="D46" s="250" t="str">
        <f>IF(B44="Downgrading rule applies",B46,"")</f>
        <v/>
      </c>
      <c r="E46" s="250" t="str">
        <f>IF(C44="Downgrading rule applies",C46,"")</f>
        <v/>
      </c>
      <c r="F46" s="57" t="str">
        <f>D46&amp;E46</f>
        <v/>
      </c>
      <c r="H46" s="9"/>
      <c r="I46" s="244"/>
      <c r="J46" t="s">
        <v>746</v>
      </c>
      <c r="K46" s="41" t="s">
        <v>87</v>
      </c>
    </row>
    <row r="47" spans="1:11" x14ac:dyDescent="0.4">
      <c r="A47" s="50"/>
      <c r="B47" s="247" t="str">
        <f>IF(Source!C32="B","*-question(s) 4 points","")</f>
        <v/>
      </c>
      <c r="C47" s="57" t="str">
        <f>IF(Source!C32="C","*-question(s) 0 points","")</f>
        <v>*-question(s) 0 points</v>
      </c>
      <c r="D47" s="250" t="str">
        <f>IF(B44="Downgrading rule applies",B47,"")</f>
        <v/>
      </c>
      <c r="E47" s="250" t="str">
        <f>IF(C44="Downgrading rule applies",C47,"")</f>
        <v>*-question(s) 0 points</v>
      </c>
      <c r="F47" s="57" t="str">
        <f>D47&amp;E47</f>
        <v>*-question(s) 0 points</v>
      </c>
      <c r="H47" s="9"/>
      <c r="I47" s="244"/>
      <c r="J47" t="s">
        <v>747</v>
      </c>
      <c r="K47" s="41" t="s">
        <v>91</v>
      </c>
    </row>
    <row r="48" spans="1:11" x14ac:dyDescent="0.4">
      <c r="A48" s="50"/>
      <c r="B48" s="57" t="str">
        <f>IF(Source!C29="B","prozess element(s) &lt;80%","")</f>
        <v/>
      </c>
      <c r="C48" s="57" t="str">
        <f>IF(Source!C29="C","prozess element(s) &lt;70%","")</f>
        <v>prozess element(s) &lt;70%</v>
      </c>
      <c r="D48" s="250" t="str">
        <f>IF(B44="Downgrading rule applies",B48,"")</f>
        <v/>
      </c>
      <c r="E48" s="250" t="str">
        <f>IF(C44="Downgrading rule applies",C48,"")</f>
        <v>prozess element(s) &lt;70%</v>
      </c>
      <c r="F48" s="57" t="str">
        <f>D48&amp;E48</f>
        <v>prozess element(s) &lt;70%</v>
      </c>
      <c r="H48" s="9"/>
      <c r="I48" s="244"/>
      <c r="J48" t="s">
        <v>748</v>
      </c>
      <c r="K48" s="41" t="s">
        <v>95</v>
      </c>
    </row>
    <row r="49" spans="1:11" x14ac:dyDescent="0.4">
      <c r="A49" s="50"/>
      <c r="B49" s="57"/>
      <c r="C49" s="57"/>
      <c r="F49" s="42"/>
      <c r="H49" s="9"/>
      <c r="I49" s="244"/>
      <c r="J49" t="s">
        <v>749</v>
      </c>
      <c r="K49" s="41" t="s">
        <v>99</v>
      </c>
    </row>
    <row r="50" spans="1:11" x14ac:dyDescent="0.4">
      <c r="A50" s="50"/>
      <c r="B50" s="57"/>
      <c r="C50" s="57"/>
      <c r="F50" s="42"/>
      <c r="H50" s="9"/>
      <c r="I50" s="244"/>
      <c r="J50" t="s">
        <v>103</v>
      </c>
      <c r="K50" s="41" t="s">
        <v>104</v>
      </c>
    </row>
    <row r="51" spans="1:11" x14ac:dyDescent="0.4">
      <c r="A51" s="50"/>
      <c r="B51" s="57"/>
      <c r="C51" s="57"/>
      <c r="F51" s="42"/>
      <c r="H51" s="9"/>
      <c r="I51" s="244"/>
      <c r="J51" t="s">
        <v>750</v>
      </c>
      <c r="K51" s="41" t="s">
        <v>107</v>
      </c>
    </row>
    <row r="52" spans="1:11" ht="18.75" thickBot="1" x14ac:dyDescent="0.45">
      <c r="A52" s="51"/>
      <c r="B52" s="57"/>
      <c r="C52" s="57"/>
      <c r="F52" s="42"/>
      <c r="H52" s="255"/>
      <c r="I52" s="244"/>
      <c r="J52" t="s">
        <v>112</v>
      </c>
      <c r="K52" s="41" t="s">
        <v>113</v>
      </c>
    </row>
    <row r="53" spans="1:11" x14ac:dyDescent="0.4">
      <c r="A53" s="356"/>
      <c r="B53" s="357"/>
      <c r="C53" s="357"/>
      <c r="D53" s="357"/>
      <c r="E53" s="357"/>
      <c r="F53" s="357"/>
      <c r="G53" s="357"/>
      <c r="H53" s="357"/>
      <c r="I53" s="358"/>
      <c r="J53" t="s">
        <v>115</v>
      </c>
      <c r="K53" s="41" t="s">
        <v>116</v>
      </c>
    </row>
    <row r="54" spans="1:11" x14ac:dyDescent="0.4">
      <c r="A54" s="359"/>
      <c r="B54" s="360"/>
      <c r="C54" s="360"/>
      <c r="D54" s="360"/>
      <c r="E54" s="360"/>
      <c r="F54" s="360"/>
      <c r="G54" s="360"/>
      <c r="H54" s="360"/>
      <c r="I54" s="361"/>
      <c r="J54" t="s">
        <v>118</v>
      </c>
      <c r="K54" s="41" t="s">
        <v>119</v>
      </c>
    </row>
    <row r="55" spans="1:11" ht="18.75" thickBot="1" x14ac:dyDescent="0.45">
      <c r="A55" s="362"/>
      <c r="B55" s="363"/>
      <c r="C55" s="363"/>
      <c r="D55" s="363"/>
      <c r="E55" s="363"/>
      <c r="F55" s="363"/>
      <c r="G55" s="363"/>
      <c r="H55" s="363"/>
      <c r="I55" s="364"/>
      <c r="J55" t="s">
        <v>751</v>
      </c>
      <c r="K55" s="41" t="s">
        <v>121</v>
      </c>
    </row>
    <row r="56" spans="1:11" ht="18.75" thickBot="1" x14ac:dyDescent="0.45">
      <c r="J56" t="s">
        <v>123</v>
      </c>
      <c r="K56" s="41" t="s">
        <v>124</v>
      </c>
    </row>
    <row r="57" spans="1:11" ht="21" thickBot="1" x14ac:dyDescent="0.45">
      <c r="B57" s="365" t="s">
        <v>79</v>
      </c>
      <c r="C57" s="366"/>
      <c r="D57" s="367"/>
      <c r="E57" s="7"/>
      <c r="F57" s="365" t="s">
        <v>80</v>
      </c>
      <c r="G57" s="366"/>
      <c r="H57" s="8"/>
      <c r="J57" t="s">
        <v>752</v>
      </c>
      <c r="K57" s="41" t="s">
        <v>126</v>
      </c>
    </row>
    <row r="58" spans="1:11" ht="18.75" thickBot="1" x14ac:dyDescent="0.45">
      <c r="B58" s="10" t="s">
        <v>82</v>
      </c>
      <c r="C58" s="11" t="s">
        <v>83</v>
      </c>
      <c r="D58" s="12" t="s">
        <v>84</v>
      </c>
      <c r="E58" s="9"/>
      <c r="F58" s="171" t="s">
        <v>11</v>
      </c>
      <c r="G58" s="31"/>
      <c r="J58" t="s">
        <v>753</v>
      </c>
      <c r="K58" s="41" t="s">
        <v>128</v>
      </c>
    </row>
    <row r="59" spans="1:11" x14ac:dyDescent="0.4">
      <c r="B59" s="8"/>
      <c r="D59" s="9"/>
      <c r="E59" s="27"/>
      <c r="F59" s="32" t="s">
        <v>86</v>
      </c>
      <c r="G59" s="33"/>
      <c r="J59" t="s">
        <v>754</v>
      </c>
      <c r="K59" s="41" t="s">
        <v>129</v>
      </c>
    </row>
    <row r="60" spans="1:11" x14ac:dyDescent="0.4">
      <c r="B60" s="14" t="s">
        <v>88</v>
      </c>
      <c r="C60" s="14">
        <v>10</v>
      </c>
      <c r="D60" s="15" t="s">
        <v>89</v>
      </c>
      <c r="E60" s="28"/>
      <c r="F60" s="34" t="s">
        <v>90</v>
      </c>
      <c r="G60" s="35"/>
      <c r="J60" t="s">
        <v>755</v>
      </c>
      <c r="K60" s="41" t="s">
        <v>130</v>
      </c>
    </row>
    <row r="61" spans="1:11" x14ac:dyDescent="0.4">
      <c r="B61" s="14" t="s">
        <v>92</v>
      </c>
      <c r="C61" s="14">
        <v>8</v>
      </c>
      <c r="D61" s="15" t="s">
        <v>93</v>
      </c>
      <c r="E61" s="28"/>
      <c r="F61" s="34" t="s">
        <v>94</v>
      </c>
      <c r="G61" s="35"/>
      <c r="J61" t="s">
        <v>131</v>
      </c>
      <c r="K61" s="41" t="s">
        <v>132</v>
      </c>
    </row>
    <row r="62" spans="1:11" x14ac:dyDescent="0.4">
      <c r="B62" s="14" t="s">
        <v>96</v>
      </c>
      <c r="C62" s="14">
        <v>6</v>
      </c>
      <c r="D62" s="15" t="s">
        <v>97</v>
      </c>
      <c r="E62" s="29"/>
      <c r="F62" s="34" t="s">
        <v>98</v>
      </c>
      <c r="G62" s="35"/>
      <c r="J62" t="s">
        <v>133</v>
      </c>
      <c r="K62" s="41" t="s">
        <v>134</v>
      </c>
    </row>
    <row r="63" spans="1:11" x14ac:dyDescent="0.4">
      <c r="B63" s="14" t="s">
        <v>100</v>
      </c>
      <c r="C63" s="14">
        <v>4</v>
      </c>
      <c r="D63" s="15" t="s">
        <v>101</v>
      </c>
      <c r="E63" s="28"/>
      <c r="F63" s="34" t="s">
        <v>102</v>
      </c>
      <c r="G63" s="35"/>
      <c r="J63" t="s">
        <v>756</v>
      </c>
      <c r="K63" s="41" t="s">
        <v>135</v>
      </c>
    </row>
    <row r="64" spans="1:11" x14ac:dyDescent="0.4">
      <c r="B64" s="14" t="s">
        <v>105</v>
      </c>
      <c r="C64" s="14">
        <v>0</v>
      </c>
      <c r="D64" s="15" t="s">
        <v>101</v>
      </c>
      <c r="E64" s="28"/>
      <c r="F64" s="34" t="s">
        <v>106</v>
      </c>
      <c r="G64" s="35"/>
      <c r="J64" t="s">
        <v>137</v>
      </c>
      <c r="K64" s="41" t="s">
        <v>138</v>
      </c>
    </row>
    <row r="65" spans="1:11" x14ac:dyDescent="0.4">
      <c r="B65" s="13" t="s">
        <v>108</v>
      </c>
      <c r="C65" s="16" t="s">
        <v>109</v>
      </c>
      <c r="D65" s="15" t="s">
        <v>110</v>
      </c>
      <c r="E65" s="30"/>
      <c r="F65" s="34" t="s">
        <v>111</v>
      </c>
      <c r="G65" s="35"/>
      <c r="J65" t="s">
        <v>757</v>
      </c>
      <c r="K65" s="41" t="s">
        <v>139</v>
      </c>
    </row>
    <row r="66" spans="1:11" x14ac:dyDescent="0.4">
      <c r="B66" s="17" t="b">
        <v>1</v>
      </c>
      <c r="C66" s="18" t="b">
        <v>1</v>
      </c>
      <c r="D66" s="15" t="s">
        <v>89</v>
      </c>
      <c r="E66" s="9"/>
      <c r="F66" s="34" t="s">
        <v>114</v>
      </c>
      <c r="G66" s="35"/>
      <c r="J66" t="s">
        <v>758</v>
      </c>
      <c r="K66" s="41" t="s">
        <v>140</v>
      </c>
    </row>
    <row r="67" spans="1:11" ht="18.75" thickBot="1" x14ac:dyDescent="0.45">
      <c r="B67" s="19" t="b">
        <v>0</v>
      </c>
      <c r="C67" s="20" t="b">
        <v>0</v>
      </c>
      <c r="D67" s="21" t="s">
        <v>101</v>
      </c>
      <c r="E67" s="28"/>
      <c r="F67" s="34" t="s">
        <v>117</v>
      </c>
      <c r="G67" s="35"/>
      <c r="J67" t="s">
        <v>759</v>
      </c>
      <c r="K67" s="41" t="s">
        <v>141</v>
      </c>
    </row>
    <row r="68" spans="1:11" x14ac:dyDescent="0.4">
      <c r="E68" s="9"/>
      <c r="F68" s="34" t="s">
        <v>120</v>
      </c>
      <c r="G68" s="35"/>
      <c r="J68" t="s">
        <v>760</v>
      </c>
      <c r="K68" s="41" t="s">
        <v>142</v>
      </c>
    </row>
    <row r="69" spans="1:11" x14ac:dyDescent="0.4">
      <c r="F69" s="34" t="s">
        <v>122</v>
      </c>
      <c r="G69" s="35"/>
      <c r="J69" t="s">
        <v>761</v>
      </c>
      <c r="K69" s="41" t="s">
        <v>143</v>
      </c>
    </row>
    <row r="70" spans="1:11" x14ac:dyDescent="0.4">
      <c r="F70" s="34" t="s">
        <v>125</v>
      </c>
      <c r="G70" s="35"/>
      <c r="J70" t="s">
        <v>762</v>
      </c>
      <c r="K70" s="41" t="s">
        <v>144</v>
      </c>
    </row>
    <row r="71" spans="1:11" x14ac:dyDescent="0.4">
      <c r="F71" s="34" t="s">
        <v>667</v>
      </c>
      <c r="G71" s="35"/>
      <c r="K71" s="41"/>
    </row>
    <row r="72" spans="1:11" x14ac:dyDescent="0.4">
      <c r="F72" s="34" t="s">
        <v>666</v>
      </c>
      <c r="G72" s="35"/>
      <c r="K72" s="41"/>
    </row>
    <row r="73" spans="1:11" ht="18.75" thickBot="1" x14ac:dyDescent="0.45">
      <c r="F73" s="36" t="s">
        <v>127</v>
      </c>
      <c r="G73" s="35"/>
      <c r="K73" s="41"/>
    </row>
    <row r="74" spans="1:11" ht="16.5" customHeight="1" x14ac:dyDescent="0.4">
      <c r="F74" s="34"/>
      <c r="G74" s="35"/>
      <c r="K74" s="41"/>
    </row>
    <row r="75" spans="1:11" ht="39" customHeight="1" thickBot="1" x14ac:dyDescent="0.45">
      <c r="G75" s="37"/>
      <c r="J75" t="s">
        <v>763</v>
      </c>
      <c r="K75" s="41" t="s">
        <v>145</v>
      </c>
    </row>
    <row r="76" spans="1:11" ht="32.25" customHeight="1" x14ac:dyDescent="0.4">
      <c r="A76" s="356"/>
      <c r="B76" s="357"/>
      <c r="C76" s="357"/>
      <c r="D76" s="357"/>
      <c r="E76" s="357"/>
      <c r="F76" s="357"/>
      <c r="G76" s="357"/>
      <c r="H76" s="357"/>
      <c r="I76" s="358"/>
      <c r="J76" t="s">
        <v>764</v>
      </c>
      <c r="K76" s="41" t="s">
        <v>146</v>
      </c>
    </row>
    <row r="77" spans="1:11" x14ac:dyDescent="0.4">
      <c r="A77" s="359"/>
      <c r="B77" s="360" t="s">
        <v>2</v>
      </c>
      <c r="C77" s="360" t="s">
        <v>3</v>
      </c>
      <c r="D77" s="360" t="s">
        <v>4</v>
      </c>
      <c r="E77" s="360" t="s">
        <v>5</v>
      </c>
      <c r="F77" s="360" t="s">
        <v>6</v>
      </c>
      <c r="G77" s="360" t="s">
        <v>7</v>
      </c>
      <c r="H77" s="360" t="s">
        <v>8</v>
      </c>
      <c r="I77" s="361"/>
      <c r="J77" t="s">
        <v>765</v>
      </c>
      <c r="K77" s="41" t="s">
        <v>147</v>
      </c>
    </row>
    <row r="78" spans="1:11" ht="18.75" thickBot="1" x14ac:dyDescent="0.45">
      <c r="A78" s="362"/>
      <c r="B78" s="363"/>
      <c r="C78" s="363"/>
      <c r="D78" s="363"/>
      <c r="E78" s="363"/>
      <c r="F78" s="363"/>
      <c r="G78" s="363"/>
      <c r="H78" s="363"/>
      <c r="I78" s="364"/>
      <c r="J78" t="s">
        <v>148</v>
      </c>
      <c r="K78" s="41" t="s">
        <v>149</v>
      </c>
    </row>
    <row r="79" spans="1:11" ht="18.75" thickBot="1" x14ac:dyDescent="0.45">
      <c r="A79" s="50"/>
      <c r="B79" s="2" t="s">
        <v>2</v>
      </c>
      <c r="C79" s="2" t="s">
        <v>3</v>
      </c>
      <c r="D79" s="3"/>
      <c r="E79" s="2" t="s">
        <v>5</v>
      </c>
      <c r="F79" s="2" t="s">
        <v>6</v>
      </c>
      <c r="G79" s="2" t="s">
        <v>7</v>
      </c>
      <c r="H79" s="2" t="s">
        <v>8</v>
      </c>
      <c r="I79" s="50"/>
      <c r="J79" t="s">
        <v>766</v>
      </c>
      <c r="K79" s="41" t="s">
        <v>150</v>
      </c>
    </row>
    <row r="80" spans="1:11" x14ac:dyDescent="0.4">
      <c r="A80" s="50"/>
      <c r="B80">
        <f>COUNTIF(Evaluationsheet!E5:E9, "n.e.")</f>
        <v>5</v>
      </c>
      <c r="C80">
        <f>COUNTIF(Evaluationsheet!E11:E16, "n.e.")</f>
        <v>5</v>
      </c>
      <c r="E80">
        <f>COUNTIF(Evaluationsheet!E18:E24, "n.e.")</f>
        <v>7</v>
      </c>
      <c r="F80">
        <f>COUNTIF(Evaluationsheet!E26:E31, "n.e.")</f>
        <v>5</v>
      </c>
      <c r="G80">
        <f>COUNTIF(Evaluationsheet!E33:E51, "n.e.")</f>
        <v>18</v>
      </c>
      <c r="H80">
        <f>COUNTIF(Evaluationsheet!E53:E56, "n.e.")</f>
        <v>4</v>
      </c>
      <c r="I80" s="50"/>
      <c r="J80" t="s">
        <v>151</v>
      </c>
      <c r="K80" s="41" t="s">
        <v>152</v>
      </c>
    </row>
    <row r="81" spans="1:11" x14ac:dyDescent="0.4">
      <c r="A81" s="50"/>
      <c r="B81" t="s">
        <v>136</v>
      </c>
      <c r="C81" t="s">
        <v>136</v>
      </c>
      <c r="E81" t="s">
        <v>136</v>
      </c>
      <c r="F81" t="s">
        <v>136</v>
      </c>
      <c r="G81" t="s">
        <v>136</v>
      </c>
      <c r="H81" t="s">
        <v>136</v>
      </c>
      <c r="I81" s="50"/>
      <c r="J81" t="s">
        <v>153</v>
      </c>
      <c r="K81" s="41" t="s">
        <v>154</v>
      </c>
    </row>
    <row r="82" spans="1:11" x14ac:dyDescent="0.4">
      <c r="A82" s="50"/>
      <c r="B82">
        <v>3</v>
      </c>
      <c r="C82">
        <v>3</v>
      </c>
      <c r="E82">
        <v>4</v>
      </c>
      <c r="F82">
        <v>3</v>
      </c>
      <c r="G82">
        <v>12</v>
      </c>
      <c r="H82">
        <v>3</v>
      </c>
      <c r="I82" s="50"/>
      <c r="J82" t="s">
        <v>155</v>
      </c>
      <c r="K82" s="41" t="s">
        <v>156</v>
      </c>
    </row>
    <row r="83" spans="1:11" x14ac:dyDescent="0.4">
      <c r="A83" s="50"/>
      <c r="I83" s="50"/>
      <c r="J83" t="s">
        <v>767</v>
      </c>
      <c r="K83" s="41" t="s">
        <v>157</v>
      </c>
    </row>
    <row r="84" spans="1:11" x14ac:dyDescent="0.4">
      <c r="A84" s="50"/>
      <c r="B84" t="str">
        <f>IF(5-B80&lt;B82, "No result (too many questions n.e.)")</f>
        <v>No result (too many questions n.e.)</v>
      </c>
      <c r="C84" t="str">
        <f>IF(5-C80&lt;C82, "No result (too many questions n.e.)")</f>
        <v>No result (too many questions n.e.)</v>
      </c>
      <c r="E84" t="str">
        <f>IF(7-E80&lt;E82, "No result (too many questions n.e.)")</f>
        <v>No result (too many questions n.e.)</v>
      </c>
      <c r="F84" t="str">
        <f>IF(5-F80&lt;F82, "No result (too many questions n.e.)")</f>
        <v>No result (too many questions n.e.)</v>
      </c>
      <c r="G84" t="str">
        <f>IF(18-G80&lt;G82, "No result (too many questions n.e.)")</f>
        <v>No result (too many questions n.e.)</v>
      </c>
      <c r="H84" t="str">
        <f>IF(4-H80&lt;H82, "No result (too many questions n.e.)")</f>
        <v>No result (too many questions n.e.)</v>
      </c>
      <c r="I84" s="50"/>
      <c r="J84" t="s">
        <v>768</v>
      </c>
      <c r="K84" s="41" t="s">
        <v>158</v>
      </c>
    </row>
    <row r="85" spans="1:11" x14ac:dyDescent="0.4">
      <c r="A85" s="50"/>
      <c r="I85" s="50"/>
      <c r="J85" t="s">
        <v>769</v>
      </c>
      <c r="K85" s="41" t="s">
        <v>159</v>
      </c>
    </row>
    <row r="86" spans="1:11" x14ac:dyDescent="0.4">
      <c r="A86" s="50"/>
      <c r="I86" s="50"/>
      <c r="J86" t="s">
        <v>160</v>
      </c>
      <c r="K86" s="41" t="s">
        <v>161</v>
      </c>
    </row>
    <row r="87" spans="1:11" x14ac:dyDescent="0.4">
      <c r="A87" s="50"/>
      <c r="I87" s="50"/>
      <c r="J87" t="s">
        <v>162</v>
      </c>
      <c r="K87" s="41" t="s">
        <v>163</v>
      </c>
    </row>
    <row r="88" spans="1:11" x14ac:dyDescent="0.4">
      <c r="A88" s="50"/>
      <c r="I88" s="50"/>
      <c r="J88" t="s">
        <v>164</v>
      </c>
      <c r="K88" s="41" t="s">
        <v>165</v>
      </c>
    </row>
    <row r="89" spans="1:11" x14ac:dyDescent="0.4">
      <c r="A89" s="50"/>
      <c r="I89" s="50"/>
      <c r="J89" t="s">
        <v>166</v>
      </c>
      <c r="K89" s="41" t="s">
        <v>167</v>
      </c>
    </row>
    <row r="90" spans="1:11" x14ac:dyDescent="0.4">
      <c r="J90" t="s">
        <v>770</v>
      </c>
      <c r="K90" s="41" t="s">
        <v>168</v>
      </c>
    </row>
    <row r="91" spans="1:11" x14ac:dyDescent="0.4">
      <c r="J91" t="s">
        <v>169</v>
      </c>
      <c r="K91" s="41" t="s">
        <v>170</v>
      </c>
    </row>
    <row r="92" spans="1:11" x14ac:dyDescent="0.4">
      <c r="J92" t="s">
        <v>171</v>
      </c>
      <c r="K92" s="41" t="s">
        <v>172</v>
      </c>
    </row>
    <row r="93" spans="1:11" x14ac:dyDescent="0.4">
      <c r="J93" t="s">
        <v>771</v>
      </c>
      <c r="K93" s="41" t="s">
        <v>173</v>
      </c>
    </row>
    <row r="94" spans="1:11" x14ac:dyDescent="0.4">
      <c r="J94" t="s">
        <v>174</v>
      </c>
      <c r="K94" s="41" t="s">
        <v>175</v>
      </c>
    </row>
    <row r="95" spans="1:11" ht="18.75" customHeight="1" x14ac:dyDescent="0.4">
      <c r="J95" t="s">
        <v>176</v>
      </c>
      <c r="K95" s="41" t="s">
        <v>177</v>
      </c>
    </row>
    <row r="96" spans="1:11" x14ac:dyDescent="0.4">
      <c r="J96" t="s">
        <v>772</v>
      </c>
      <c r="K96" s="41" t="s">
        <v>178</v>
      </c>
    </row>
    <row r="97" spans="10:11" x14ac:dyDescent="0.4">
      <c r="J97" t="s">
        <v>773</v>
      </c>
      <c r="K97" s="41" t="s">
        <v>179</v>
      </c>
    </row>
    <row r="98" spans="10:11" x14ac:dyDescent="0.4">
      <c r="J98" t="s">
        <v>774</v>
      </c>
      <c r="K98" s="41" t="s">
        <v>180</v>
      </c>
    </row>
    <row r="99" spans="10:11" x14ac:dyDescent="0.4">
      <c r="J99" t="s">
        <v>181</v>
      </c>
      <c r="K99" s="41" t="s">
        <v>182</v>
      </c>
    </row>
    <row r="100" spans="10:11" x14ac:dyDescent="0.4">
      <c r="J100" t="s">
        <v>775</v>
      </c>
      <c r="K100" s="41" t="s">
        <v>183</v>
      </c>
    </row>
    <row r="101" spans="10:11" x14ac:dyDescent="0.4">
      <c r="J101" t="s">
        <v>776</v>
      </c>
      <c r="K101" s="41" t="s">
        <v>184</v>
      </c>
    </row>
    <row r="102" spans="10:11" x14ac:dyDescent="0.4">
      <c r="J102" t="s">
        <v>185</v>
      </c>
      <c r="K102" s="41" t="s">
        <v>186</v>
      </c>
    </row>
    <row r="103" spans="10:11" x14ac:dyDescent="0.4">
      <c r="J103" t="s">
        <v>777</v>
      </c>
      <c r="K103" s="41" t="s">
        <v>187</v>
      </c>
    </row>
    <row r="104" spans="10:11" x14ac:dyDescent="0.4">
      <c r="J104" t="s">
        <v>188</v>
      </c>
      <c r="K104" s="41" t="s">
        <v>189</v>
      </c>
    </row>
    <row r="105" spans="10:11" x14ac:dyDescent="0.4">
      <c r="J105" t="s">
        <v>778</v>
      </c>
      <c r="K105" s="41" t="s">
        <v>190</v>
      </c>
    </row>
    <row r="106" spans="10:11" x14ac:dyDescent="0.4">
      <c r="J106" t="s">
        <v>779</v>
      </c>
      <c r="K106" s="41" t="s">
        <v>191</v>
      </c>
    </row>
    <row r="107" spans="10:11" x14ac:dyDescent="0.4">
      <c r="J107" t="s">
        <v>780</v>
      </c>
      <c r="K107" s="41" t="s">
        <v>192</v>
      </c>
    </row>
    <row r="108" spans="10:11" x14ac:dyDescent="0.4">
      <c r="J108" t="s">
        <v>781</v>
      </c>
      <c r="K108" s="41" t="s">
        <v>193</v>
      </c>
    </row>
    <row r="109" spans="10:11" x14ac:dyDescent="0.4">
      <c r="J109" t="s">
        <v>782</v>
      </c>
      <c r="K109" s="41" t="s">
        <v>194</v>
      </c>
    </row>
    <row r="110" spans="10:11" x14ac:dyDescent="0.4">
      <c r="J110" t="s">
        <v>783</v>
      </c>
      <c r="K110" s="41" t="s">
        <v>195</v>
      </c>
    </row>
    <row r="111" spans="10:11" x14ac:dyDescent="0.4">
      <c r="J111" t="s">
        <v>784</v>
      </c>
      <c r="K111" s="41" t="s">
        <v>196</v>
      </c>
    </row>
    <row r="112" spans="10:11" x14ac:dyDescent="0.4">
      <c r="J112" t="s">
        <v>785</v>
      </c>
      <c r="K112" s="41" t="s">
        <v>197</v>
      </c>
    </row>
    <row r="113" spans="10:11" x14ac:dyDescent="0.4">
      <c r="J113" t="s">
        <v>786</v>
      </c>
      <c r="K113" s="41" t="s">
        <v>198</v>
      </c>
    </row>
    <row r="114" spans="10:11" x14ac:dyDescent="0.4">
      <c r="J114" t="s">
        <v>787</v>
      </c>
      <c r="K114" s="41" t="s">
        <v>199</v>
      </c>
    </row>
    <row r="115" spans="10:11" x14ac:dyDescent="0.4">
      <c r="J115" t="s">
        <v>788</v>
      </c>
      <c r="K115" s="41" t="s">
        <v>200</v>
      </c>
    </row>
    <row r="116" spans="10:11" x14ac:dyDescent="0.4">
      <c r="J116" t="s">
        <v>201</v>
      </c>
      <c r="K116" s="41" t="s">
        <v>202</v>
      </c>
    </row>
    <row r="117" spans="10:11" x14ac:dyDescent="0.4">
      <c r="J117" t="s">
        <v>789</v>
      </c>
      <c r="K117" s="41" t="s">
        <v>203</v>
      </c>
    </row>
    <row r="118" spans="10:11" x14ac:dyDescent="0.4">
      <c r="J118" t="s">
        <v>790</v>
      </c>
      <c r="K118" s="41" t="s">
        <v>204</v>
      </c>
    </row>
    <row r="119" spans="10:11" x14ac:dyDescent="0.4">
      <c r="J119" t="s">
        <v>791</v>
      </c>
      <c r="K119" s="41" t="s">
        <v>205</v>
      </c>
    </row>
    <row r="120" spans="10:11" x14ac:dyDescent="0.4">
      <c r="J120" t="s">
        <v>792</v>
      </c>
      <c r="K120" s="41" t="s">
        <v>206</v>
      </c>
    </row>
    <row r="121" spans="10:11" ht="52.5" customHeight="1" x14ac:dyDescent="0.4">
      <c r="J121" s="327" t="s">
        <v>793</v>
      </c>
      <c r="K121" s="41" t="s">
        <v>207</v>
      </c>
    </row>
    <row r="122" spans="10:11" x14ac:dyDescent="0.4">
      <c r="J122" t="s">
        <v>794</v>
      </c>
      <c r="K122" s="41" t="s">
        <v>208</v>
      </c>
    </row>
    <row r="123" spans="10:11" x14ac:dyDescent="0.4">
      <c r="J123" t="s">
        <v>795</v>
      </c>
      <c r="K123" s="41" t="s">
        <v>209</v>
      </c>
    </row>
    <row r="124" spans="10:11" x14ac:dyDescent="0.4">
      <c r="J124" t="s">
        <v>210</v>
      </c>
      <c r="K124" s="41" t="s">
        <v>211</v>
      </c>
    </row>
    <row r="125" spans="10:11" x14ac:dyDescent="0.4">
      <c r="J125" t="s">
        <v>212</v>
      </c>
      <c r="K125" s="41" t="s">
        <v>213</v>
      </c>
    </row>
    <row r="126" spans="10:11" x14ac:dyDescent="0.4">
      <c r="J126" t="s">
        <v>214</v>
      </c>
      <c r="K126" s="41" t="s">
        <v>215</v>
      </c>
    </row>
    <row r="127" spans="10:11" x14ac:dyDescent="0.4">
      <c r="J127" t="s">
        <v>796</v>
      </c>
      <c r="K127" s="41" t="s">
        <v>216</v>
      </c>
    </row>
    <row r="128" spans="10:11" x14ac:dyDescent="0.4">
      <c r="J128" t="s">
        <v>797</v>
      </c>
      <c r="K128" s="41" t="s">
        <v>217</v>
      </c>
    </row>
    <row r="129" spans="10:11" x14ac:dyDescent="0.4">
      <c r="J129" t="s">
        <v>218</v>
      </c>
      <c r="K129" s="41" t="s">
        <v>219</v>
      </c>
    </row>
    <row r="130" spans="10:11" x14ac:dyDescent="0.4">
      <c r="J130" t="s">
        <v>798</v>
      </c>
      <c r="K130" s="41" t="s">
        <v>220</v>
      </c>
    </row>
    <row r="131" spans="10:11" x14ac:dyDescent="0.4">
      <c r="J131" t="s">
        <v>221</v>
      </c>
      <c r="K131" s="41" t="s">
        <v>222</v>
      </c>
    </row>
    <row r="132" spans="10:11" x14ac:dyDescent="0.4">
      <c r="J132" t="s">
        <v>799</v>
      </c>
      <c r="K132" s="41" t="s">
        <v>223</v>
      </c>
    </row>
    <row r="133" spans="10:11" x14ac:dyDescent="0.4">
      <c r="J133" t="s">
        <v>800</v>
      </c>
      <c r="K133" s="41" t="s">
        <v>224</v>
      </c>
    </row>
    <row r="134" spans="10:11" x14ac:dyDescent="0.4">
      <c r="J134" t="s">
        <v>801</v>
      </c>
      <c r="K134" s="41" t="s">
        <v>225</v>
      </c>
    </row>
    <row r="135" spans="10:11" x14ac:dyDescent="0.4">
      <c r="J135" t="s">
        <v>802</v>
      </c>
      <c r="K135" s="41" t="s">
        <v>226</v>
      </c>
    </row>
    <row r="136" spans="10:11" x14ac:dyDescent="0.4">
      <c r="J136" t="s">
        <v>227</v>
      </c>
      <c r="K136" s="41" t="s">
        <v>228</v>
      </c>
    </row>
    <row r="137" spans="10:11" x14ac:dyDescent="0.4">
      <c r="J137" t="s">
        <v>229</v>
      </c>
      <c r="K137" s="41" t="s">
        <v>230</v>
      </c>
    </row>
    <row r="138" spans="10:11" x14ac:dyDescent="0.4">
      <c r="J138" t="s">
        <v>803</v>
      </c>
      <c r="K138" s="41" t="s">
        <v>231</v>
      </c>
    </row>
    <row r="139" spans="10:11" x14ac:dyDescent="0.4">
      <c r="J139" t="s">
        <v>232</v>
      </c>
      <c r="K139" s="41" t="s">
        <v>233</v>
      </c>
    </row>
    <row r="140" spans="10:11" x14ac:dyDescent="0.4">
      <c r="J140" t="s">
        <v>234</v>
      </c>
      <c r="K140" s="41" t="s">
        <v>235</v>
      </c>
    </row>
    <row r="141" spans="10:11" x14ac:dyDescent="0.4">
      <c r="J141" t="s">
        <v>804</v>
      </c>
      <c r="K141" s="41" t="s">
        <v>236</v>
      </c>
    </row>
    <row r="142" spans="10:11" x14ac:dyDescent="0.4">
      <c r="J142" t="s">
        <v>805</v>
      </c>
      <c r="K142" s="41" t="s">
        <v>237</v>
      </c>
    </row>
    <row r="143" spans="10:11" x14ac:dyDescent="0.4">
      <c r="J143" t="s">
        <v>806</v>
      </c>
      <c r="K143" s="41" t="s">
        <v>238</v>
      </c>
    </row>
    <row r="144" spans="10:11" x14ac:dyDescent="0.4">
      <c r="J144" t="s">
        <v>239</v>
      </c>
      <c r="K144" s="41" t="s">
        <v>240</v>
      </c>
    </row>
    <row r="145" spans="10:11" x14ac:dyDescent="0.4">
      <c r="J145" t="s">
        <v>807</v>
      </c>
      <c r="K145" s="41" t="s">
        <v>241</v>
      </c>
    </row>
    <row r="146" spans="10:11" x14ac:dyDescent="0.4">
      <c r="J146" t="s">
        <v>242</v>
      </c>
      <c r="K146" s="41" t="s">
        <v>243</v>
      </c>
    </row>
    <row r="147" spans="10:11" x14ac:dyDescent="0.4">
      <c r="J147" t="s">
        <v>244</v>
      </c>
      <c r="K147" s="41" t="s">
        <v>245</v>
      </c>
    </row>
    <row r="148" spans="10:11" x14ac:dyDescent="0.4">
      <c r="J148" t="s">
        <v>808</v>
      </c>
      <c r="K148" s="41" t="s">
        <v>246</v>
      </c>
    </row>
    <row r="149" spans="10:11" x14ac:dyDescent="0.4">
      <c r="J149" t="s">
        <v>809</v>
      </c>
      <c r="K149" s="41" t="s">
        <v>247</v>
      </c>
    </row>
    <row r="150" spans="10:11" x14ac:dyDescent="0.4">
      <c r="J150" t="s">
        <v>810</v>
      </c>
      <c r="K150" s="41" t="s">
        <v>248</v>
      </c>
    </row>
    <row r="151" spans="10:11" x14ac:dyDescent="0.4">
      <c r="J151" t="s">
        <v>811</v>
      </c>
      <c r="K151" s="41" t="s">
        <v>249</v>
      </c>
    </row>
    <row r="152" spans="10:11" x14ac:dyDescent="0.4">
      <c r="J152" t="s">
        <v>812</v>
      </c>
      <c r="K152" s="41" t="s">
        <v>250</v>
      </c>
    </row>
    <row r="153" spans="10:11" x14ac:dyDescent="0.4">
      <c r="J153" t="s">
        <v>251</v>
      </c>
      <c r="K153" s="41" t="s">
        <v>252</v>
      </c>
    </row>
    <row r="154" spans="10:11" x14ac:dyDescent="0.4">
      <c r="J154" t="s">
        <v>813</v>
      </c>
      <c r="K154" s="41" t="s">
        <v>253</v>
      </c>
    </row>
    <row r="155" spans="10:11" x14ac:dyDescent="0.4">
      <c r="J155" t="s">
        <v>254</v>
      </c>
      <c r="K155" s="41" t="s">
        <v>255</v>
      </c>
    </row>
    <row r="156" spans="10:11" x14ac:dyDescent="0.4">
      <c r="J156" t="s">
        <v>256</v>
      </c>
      <c r="K156" s="41" t="s">
        <v>257</v>
      </c>
    </row>
    <row r="157" spans="10:11" x14ac:dyDescent="0.4">
      <c r="J157" t="s">
        <v>258</v>
      </c>
      <c r="K157" s="41" t="s">
        <v>259</v>
      </c>
    </row>
    <row r="158" spans="10:11" x14ac:dyDescent="0.4">
      <c r="J158" t="s">
        <v>260</v>
      </c>
      <c r="K158" s="41" t="s">
        <v>261</v>
      </c>
    </row>
    <row r="159" spans="10:11" x14ac:dyDescent="0.4">
      <c r="J159" t="s">
        <v>814</v>
      </c>
      <c r="K159" s="41" t="s">
        <v>262</v>
      </c>
    </row>
    <row r="160" spans="10:11" x14ac:dyDescent="0.4">
      <c r="J160" t="s">
        <v>815</v>
      </c>
      <c r="K160" s="41" t="s">
        <v>263</v>
      </c>
    </row>
    <row r="161" spans="10:11" x14ac:dyDescent="0.4">
      <c r="J161" t="s">
        <v>264</v>
      </c>
      <c r="K161" s="41" t="s">
        <v>265</v>
      </c>
    </row>
    <row r="162" spans="10:11" x14ac:dyDescent="0.4">
      <c r="J162" t="s">
        <v>816</v>
      </c>
      <c r="K162" s="41" t="s">
        <v>266</v>
      </c>
    </row>
    <row r="163" spans="10:11" x14ac:dyDescent="0.4">
      <c r="J163" t="s">
        <v>267</v>
      </c>
      <c r="K163" s="41" t="s">
        <v>268</v>
      </c>
    </row>
    <row r="164" spans="10:11" x14ac:dyDescent="0.4">
      <c r="J164" t="s">
        <v>269</v>
      </c>
      <c r="K164" s="41" t="s">
        <v>270</v>
      </c>
    </row>
    <row r="165" spans="10:11" x14ac:dyDescent="0.4">
      <c r="J165" t="s">
        <v>271</v>
      </c>
      <c r="K165" s="41" t="s">
        <v>272</v>
      </c>
    </row>
    <row r="166" spans="10:11" x14ac:dyDescent="0.4">
      <c r="J166" t="s">
        <v>817</v>
      </c>
      <c r="K166" s="41" t="s">
        <v>273</v>
      </c>
    </row>
    <row r="167" spans="10:11" x14ac:dyDescent="0.4">
      <c r="J167" t="s">
        <v>818</v>
      </c>
      <c r="K167" s="41" t="s">
        <v>274</v>
      </c>
    </row>
    <row r="168" spans="10:11" x14ac:dyDescent="0.4">
      <c r="J168" t="s">
        <v>819</v>
      </c>
      <c r="K168" s="41" t="s">
        <v>275</v>
      </c>
    </row>
    <row r="169" spans="10:11" x14ac:dyDescent="0.4">
      <c r="J169" t="s">
        <v>276</v>
      </c>
      <c r="K169" s="41" t="s">
        <v>277</v>
      </c>
    </row>
    <row r="170" spans="10:11" x14ac:dyDescent="0.4">
      <c r="J170" t="s">
        <v>278</v>
      </c>
      <c r="K170" s="41" t="s">
        <v>279</v>
      </c>
    </row>
    <row r="171" spans="10:11" x14ac:dyDescent="0.4">
      <c r="J171" t="s">
        <v>820</v>
      </c>
      <c r="K171" s="41" t="s">
        <v>280</v>
      </c>
    </row>
    <row r="172" spans="10:11" x14ac:dyDescent="0.4">
      <c r="J172" t="s">
        <v>281</v>
      </c>
      <c r="K172" s="41" t="s">
        <v>282</v>
      </c>
    </row>
    <row r="173" spans="10:11" x14ac:dyDescent="0.4">
      <c r="J173" t="s">
        <v>283</v>
      </c>
      <c r="K173" s="41" t="s">
        <v>284</v>
      </c>
    </row>
    <row r="174" spans="10:11" x14ac:dyDescent="0.4">
      <c r="J174" t="s">
        <v>821</v>
      </c>
      <c r="K174" s="41" t="s">
        <v>285</v>
      </c>
    </row>
    <row r="175" spans="10:11" x14ac:dyDescent="0.4">
      <c r="J175" t="s">
        <v>286</v>
      </c>
      <c r="K175" s="41" t="s">
        <v>287</v>
      </c>
    </row>
    <row r="176" spans="10:11" x14ac:dyDescent="0.4">
      <c r="J176" t="s">
        <v>288</v>
      </c>
      <c r="K176" s="41" t="s">
        <v>289</v>
      </c>
    </row>
    <row r="177" spans="10:11" x14ac:dyDescent="0.4">
      <c r="J177" t="s">
        <v>822</v>
      </c>
      <c r="K177" s="41" t="s">
        <v>290</v>
      </c>
    </row>
    <row r="178" spans="10:11" x14ac:dyDescent="0.4">
      <c r="J178" t="s">
        <v>291</v>
      </c>
      <c r="K178" s="41" t="s">
        <v>292</v>
      </c>
    </row>
    <row r="179" spans="10:11" x14ac:dyDescent="0.4">
      <c r="J179" t="s">
        <v>293</v>
      </c>
      <c r="K179" s="41" t="s">
        <v>294</v>
      </c>
    </row>
    <row r="180" spans="10:11" x14ac:dyDescent="0.4">
      <c r="J180" t="s">
        <v>295</v>
      </c>
      <c r="K180" s="41" t="s">
        <v>296</v>
      </c>
    </row>
    <row r="181" spans="10:11" x14ac:dyDescent="0.4">
      <c r="J181" t="s">
        <v>297</v>
      </c>
      <c r="K181" s="41" t="s">
        <v>298</v>
      </c>
    </row>
    <row r="182" spans="10:11" x14ac:dyDescent="0.4">
      <c r="J182" t="s">
        <v>823</v>
      </c>
      <c r="K182" s="41" t="s">
        <v>299</v>
      </c>
    </row>
    <row r="183" spans="10:11" x14ac:dyDescent="0.4">
      <c r="J183" t="s">
        <v>824</v>
      </c>
      <c r="K183" s="41" t="s">
        <v>300</v>
      </c>
    </row>
    <row r="184" spans="10:11" x14ac:dyDescent="0.4">
      <c r="J184" t="s">
        <v>825</v>
      </c>
      <c r="K184" s="41" t="s">
        <v>301</v>
      </c>
    </row>
    <row r="185" spans="10:11" x14ac:dyDescent="0.4">
      <c r="J185" t="s">
        <v>302</v>
      </c>
      <c r="K185" s="41" t="s">
        <v>303</v>
      </c>
    </row>
    <row r="186" spans="10:11" x14ac:dyDescent="0.4">
      <c r="J186" t="s">
        <v>826</v>
      </c>
      <c r="K186" s="41" t="s">
        <v>304</v>
      </c>
    </row>
    <row r="187" spans="10:11" x14ac:dyDescent="0.4">
      <c r="J187" t="s">
        <v>305</v>
      </c>
      <c r="K187" s="41" t="s">
        <v>306</v>
      </c>
    </row>
    <row r="188" spans="10:11" x14ac:dyDescent="0.4">
      <c r="J188" t="s">
        <v>305</v>
      </c>
      <c r="K188" s="41" t="s">
        <v>307</v>
      </c>
    </row>
    <row r="189" spans="10:11" x14ac:dyDescent="0.4">
      <c r="J189" t="s">
        <v>308</v>
      </c>
      <c r="K189" s="41" t="s">
        <v>309</v>
      </c>
    </row>
    <row r="190" spans="10:11" x14ac:dyDescent="0.4">
      <c r="J190" t="s">
        <v>827</v>
      </c>
      <c r="K190" s="41" t="s">
        <v>310</v>
      </c>
    </row>
    <row r="191" spans="10:11" x14ac:dyDescent="0.4">
      <c r="J191" t="s">
        <v>828</v>
      </c>
      <c r="K191" s="41" t="s">
        <v>311</v>
      </c>
    </row>
    <row r="192" spans="10:11" x14ac:dyDescent="0.4">
      <c r="J192" t="s">
        <v>829</v>
      </c>
      <c r="K192" s="41" t="s">
        <v>312</v>
      </c>
    </row>
    <row r="193" spans="10:11" x14ac:dyDescent="0.4">
      <c r="J193" t="s">
        <v>830</v>
      </c>
      <c r="K193" s="41" t="s">
        <v>313</v>
      </c>
    </row>
    <row r="194" spans="10:11" x14ac:dyDescent="0.4">
      <c r="J194" t="s">
        <v>314</v>
      </c>
      <c r="K194" s="41" t="s">
        <v>315</v>
      </c>
    </row>
    <row r="195" spans="10:11" x14ac:dyDescent="0.4">
      <c r="J195" t="s">
        <v>831</v>
      </c>
      <c r="K195" s="41" t="s">
        <v>316</v>
      </c>
    </row>
    <row r="196" spans="10:11" x14ac:dyDescent="0.4">
      <c r="J196" t="s">
        <v>832</v>
      </c>
      <c r="K196" s="41" t="s">
        <v>317</v>
      </c>
    </row>
    <row r="197" spans="10:11" x14ac:dyDescent="0.4">
      <c r="J197" t="s">
        <v>318</v>
      </c>
      <c r="K197" s="41" t="s">
        <v>319</v>
      </c>
    </row>
    <row r="198" spans="10:11" x14ac:dyDescent="0.4">
      <c r="J198" t="s">
        <v>833</v>
      </c>
      <c r="K198" s="41" t="s">
        <v>320</v>
      </c>
    </row>
    <row r="199" spans="10:11" x14ac:dyDescent="0.4">
      <c r="J199" t="s">
        <v>834</v>
      </c>
      <c r="K199" s="41" t="s">
        <v>321</v>
      </c>
    </row>
    <row r="200" spans="10:11" x14ac:dyDescent="0.4">
      <c r="J200" t="s">
        <v>835</v>
      </c>
      <c r="K200" s="41" t="s">
        <v>322</v>
      </c>
    </row>
    <row r="201" spans="10:11" x14ac:dyDescent="0.4">
      <c r="J201" t="s">
        <v>323</v>
      </c>
      <c r="K201" s="41" t="s">
        <v>324</v>
      </c>
    </row>
    <row r="202" spans="10:11" x14ac:dyDescent="0.4">
      <c r="J202" t="s">
        <v>836</v>
      </c>
      <c r="K202" s="41" t="s">
        <v>325</v>
      </c>
    </row>
    <row r="203" spans="10:11" x14ac:dyDescent="0.4">
      <c r="J203" t="s">
        <v>326</v>
      </c>
      <c r="K203" s="41" t="s">
        <v>327</v>
      </c>
    </row>
    <row r="204" spans="10:11" x14ac:dyDescent="0.4">
      <c r="J204" t="s">
        <v>837</v>
      </c>
      <c r="K204" s="41" t="s">
        <v>328</v>
      </c>
    </row>
    <row r="205" spans="10:11" x14ac:dyDescent="0.4">
      <c r="J205" t="s">
        <v>838</v>
      </c>
      <c r="K205" s="41" t="s">
        <v>329</v>
      </c>
    </row>
    <row r="206" spans="10:11" x14ac:dyDescent="0.4">
      <c r="J206" t="s">
        <v>839</v>
      </c>
      <c r="K206" s="41" t="s">
        <v>330</v>
      </c>
    </row>
    <row r="207" spans="10:11" x14ac:dyDescent="0.4">
      <c r="J207" t="s">
        <v>840</v>
      </c>
      <c r="K207" s="41" t="s">
        <v>331</v>
      </c>
    </row>
    <row r="208" spans="10:11" x14ac:dyDescent="0.4">
      <c r="J208" t="s">
        <v>841</v>
      </c>
      <c r="K208" s="41" t="s">
        <v>332</v>
      </c>
    </row>
    <row r="209" spans="10:11" x14ac:dyDescent="0.4">
      <c r="J209" t="s">
        <v>842</v>
      </c>
      <c r="K209" s="41" t="s">
        <v>333</v>
      </c>
    </row>
    <row r="210" spans="10:11" x14ac:dyDescent="0.4">
      <c r="J210" t="s">
        <v>334</v>
      </c>
      <c r="K210" s="41" t="s">
        <v>335</v>
      </c>
    </row>
    <row r="211" spans="10:11" x14ac:dyDescent="0.4">
      <c r="J211" t="s">
        <v>843</v>
      </c>
      <c r="K211" s="41" t="s">
        <v>336</v>
      </c>
    </row>
    <row r="212" spans="10:11" x14ac:dyDescent="0.4">
      <c r="J212" t="s">
        <v>844</v>
      </c>
      <c r="K212" s="41" t="s">
        <v>337</v>
      </c>
    </row>
    <row r="213" spans="10:11" x14ac:dyDescent="0.4">
      <c r="J213" t="s">
        <v>845</v>
      </c>
      <c r="K213" s="41" t="s">
        <v>338</v>
      </c>
    </row>
    <row r="214" spans="10:11" x14ac:dyDescent="0.4">
      <c r="J214" t="s">
        <v>846</v>
      </c>
      <c r="K214" s="41" t="s">
        <v>339</v>
      </c>
    </row>
    <row r="215" spans="10:11" x14ac:dyDescent="0.4">
      <c r="J215" t="s">
        <v>847</v>
      </c>
      <c r="K215" s="41" t="s">
        <v>340</v>
      </c>
    </row>
    <row r="216" spans="10:11" x14ac:dyDescent="0.4">
      <c r="J216" t="s">
        <v>341</v>
      </c>
      <c r="K216" s="41" t="s">
        <v>342</v>
      </c>
    </row>
    <row r="217" spans="10:11" x14ac:dyDescent="0.4">
      <c r="J217" t="s">
        <v>848</v>
      </c>
      <c r="K217" s="41" t="s">
        <v>343</v>
      </c>
    </row>
    <row r="218" spans="10:11" x14ac:dyDescent="0.4">
      <c r="J218" t="s">
        <v>344</v>
      </c>
      <c r="K218" s="41" t="s">
        <v>345</v>
      </c>
    </row>
    <row r="219" spans="10:11" x14ac:dyDescent="0.4">
      <c r="J219" t="s">
        <v>346</v>
      </c>
      <c r="K219" s="41" t="s">
        <v>347</v>
      </c>
    </row>
    <row r="220" spans="10:11" x14ac:dyDescent="0.4">
      <c r="J220" t="s">
        <v>348</v>
      </c>
      <c r="K220" s="41" t="s">
        <v>349</v>
      </c>
    </row>
    <row r="221" spans="10:11" x14ac:dyDescent="0.4">
      <c r="J221" t="s">
        <v>350</v>
      </c>
      <c r="K221" s="41" t="s">
        <v>351</v>
      </c>
    </row>
    <row r="222" spans="10:11" x14ac:dyDescent="0.4">
      <c r="J222" t="s">
        <v>352</v>
      </c>
      <c r="K222" s="41" t="s">
        <v>353</v>
      </c>
    </row>
    <row r="223" spans="10:11" x14ac:dyDescent="0.4">
      <c r="J223" t="s">
        <v>849</v>
      </c>
      <c r="K223" s="41" t="s">
        <v>354</v>
      </c>
    </row>
    <row r="224" spans="10:11" x14ac:dyDescent="0.4">
      <c r="J224" t="s">
        <v>850</v>
      </c>
      <c r="K224" s="41" t="s">
        <v>355</v>
      </c>
    </row>
    <row r="225" spans="10:11" x14ac:dyDescent="0.4">
      <c r="J225" t="s">
        <v>851</v>
      </c>
      <c r="K225" s="41" t="s">
        <v>356</v>
      </c>
    </row>
    <row r="226" spans="10:11" x14ac:dyDescent="0.4">
      <c r="J226" t="s">
        <v>852</v>
      </c>
      <c r="K226" s="41" t="s">
        <v>357</v>
      </c>
    </row>
    <row r="227" spans="10:11" x14ac:dyDescent="0.4">
      <c r="J227" t="s">
        <v>358</v>
      </c>
      <c r="K227" s="41" t="s">
        <v>359</v>
      </c>
    </row>
    <row r="228" spans="10:11" x14ac:dyDescent="0.4">
      <c r="J228" t="s">
        <v>853</v>
      </c>
      <c r="K228" s="41" t="s">
        <v>360</v>
      </c>
    </row>
    <row r="229" spans="10:11" x14ac:dyDescent="0.4">
      <c r="J229" t="s">
        <v>361</v>
      </c>
      <c r="K229" s="41" t="s">
        <v>362</v>
      </c>
    </row>
    <row r="230" spans="10:11" x14ac:dyDescent="0.4">
      <c r="J230" t="s">
        <v>363</v>
      </c>
      <c r="K230" s="41" t="s">
        <v>364</v>
      </c>
    </row>
    <row r="231" spans="10:11" x14ac:dyDescent="0.4">
      <c r="J231" t="s">
        <v>365</v>
      </c>
      <c r="K231" s="41" t="s">
        <v>366</v>
      </c>
    </row>
    <row r="232" spans="10:11" x14ac:dyDescent="0.4">
      <c r="J232" t="s">
        <v>367</v>
      </c>
      <c r="K232" s="41" t="s">
        <v>368</v>
      </c>
    </row>
    <row r="233" spans="10:11" x14ac:dyDescent="0.4">
      <c r="J233" t="s">
        <v>854</v>
      </c>
      <c r="K233" s="41" t="s">
        <v>369</v>
      </c>
    </row>
    <row r="234" spans="10:11" x14ac:dyDescent="0.4">
      <c r="J234" t="s">
        <v>370</v>
      </c>
      <c r="K234" s="41" t="s">
        <v>371</v>
      </c>
    </row>
    <row r="235" spans="10:11" x14ac:dyDescent="0.4">
      <c r="J235" t="s">
        <v>855</v>
      </c>
      <c r="K235" s="41" t="s">
        <v>372</v>
      </c>
    </row>
    <row r="236" spans="10:11" x14ac:dyDescent="0.4">
      <c r="J236" t="s">
        <v>373</v>
      </c>
      <c r="K236" s="41" t="s">
        <v>374</v>
      </c>
    </row>
    <row r="237" spans="10:11" x14ac:dyDescent="0.4">
      <c r="J237" t="s">
        <v>856</v>
      </c>
      <c r="K237" s="41" t="s">
        <v>375</v>
      </c>
    </row>
    <row r="238" spans="10:11" x14ac:dyDescent="0.4">
      <c r="J238" t="s">
        <v>857</v>
      </c>
      <c r="K238" s="41" t="s">
        <v>376</v>
      </c>
    </row>
    <row r="239" spans="10:11" x14ac:dyDescent="0.4">
      <c r="J239" t="s">
        <v>377</v>
      </c>
      <c r="K239" s="41" t="s">
        <v>378</v>
      </c>
    </row>
    <row r="240" spans="10:11" x14ac:dyDescent="0.4">
      <c r="J240" t="s">
        <v>858</v>
      </c>
      <c r="K240" s="41" t="s">
        <v>379</v>
      </c>
    </row>
    <row r="241" spans="10:11" x14ac:dyDescent="0.4">
      <c r="J241" t="s">
        <v>859</v>
      </c>
      <c r="K241" s="41" t="s">
        <v>380</v>
      </c>
    </row>
    <row r="242" spans="10:11" x14ac:dyDescent="0.4">
      <c r="J242" t="s">
        <v>860</v>
      </c>
      <c r="K242" s="41" t="s">
        <v>381</v>
      </c>
    </row>
    <row r="243" spans="10:11" x14ac:dyDescent="0.4">
      <c r="J243" t="s">
        <v>861</v>
      </c>
      <c r="K243" s="41" t="s">
        <v>382</v>
      </c>
    </row>
    <row r="244" spans="10:11" x14ac:dyDescent="0.4">
      <c r="J244" t="s">
        <v>862</v>
      </c>
      <c r="K244" s="41" t="s">
        <v>383</v>
      </c>
    </row>
    <row r="245" spans="10:11" x14ac:dyDescent="0.4">
      <c r="J245" t="s">
        <v>863</v>
      </c>
      <c r="K245" s="41" t="s">
        <v>384</v>
      </c>
    </row>
    <row r="246" spans="10:11" x14ac:dyDescent="0.4">
      <c r="J246" t="s">
        <v>385</v>
      </c>
      <c r="K246" s="41" t="s">
        <v>386</v>
      </c>
    </row>
    <row r="247" spans="10:11" x14ac:dyDescent="0.4">
      <c r="J247" t="s">
        <v>864</v>
      </c>
      <c r="K247" s="41" t="s">
        <v>387</v>
      </c>
    </row>
    <row r="292" spans="1:1" x14ac:dyDescent="0.4">
      <c r="A292" s="172"/>
    </row>
    <row r="467" spans="1:1" x14ac:dyDescent="0.4">
      <c r="A467" s="172" t="s">
        <v>388</v>
      </c>
    </row>
  </sheetData>
  <mergeCells count="8">
    <mergeCell ref="A76:I78"/>
    <mergeCell ref="B57:D57"/>
    <mergeCell ref="F57:G57"/>
    <mergeCell ref="J2:K2"/>
    <mergeCell ref="A53:I55"/>
    <mergeCell ref="A1:I3"/>
    <mergeCell ref="I4:I39"/>
    <mergeCell ref="B42:C42"/>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9D4B2-7012-4730-BB43-D96A45658D0B}">
  <sheetPr codeName="Tabelle9">
    <pageSetUpPr fitToPage="1"/>
  </sheetPr>
  <dimension ref="A1:F52"/>
  <sheetViews>
    <sheetView tabSelected="1" zoomScale="90" zoomScaleNormal="90" zoomScalePageLayoutView="50" workbookViewId="0">
      <selection activeCell="C6" sqref="C6"/>
    </sheetView>
  </sheetViews>
  <sheetFormatPr baseColWidth="10" defaultColWidth="11.5546875" defaultRowHeight="18" x14ac:dyDescent="0.4"/>
  <cols>
    <col min="1" max="1" width="3" style="23" customWidth="1"/>
    <col min="2" max="2" width="26.44140625" style="23" customWidth="1"/>
    <col min="3" max="3" width="51.21875" style="23" customWidth="1"/>
    <col min="4" max="4" width="6.21875" style="23" customWidth="1"/>
    <col min="5" max="5" width="12.77734375" style="23" customWidth="1"/>
    <col min="6" max="6" width="4.44140625" style="23" customWidth="1"/>
    <col min="7" max="16384" width="11.5546875" style="23"/>
  </cols>
  <sheetData>
    <row r="1" spans="1:6" ht="24.6" customHeight="1" x14ac:dyDescent="0.4">
      <c r="A1" s="372" t="s">
        <v>632</v>
      </c>
      <c r="B1" s="373"/>
      <c r="C1" s="373"/>
      <c r="D1" s="373"/>
      <c r="E1" s="373"/>
      <c r="F1" s="374"/>
    </row>
    <row r="2" spans="1:6" ht="19.149999999999999" customHeight="1" x14ac:dyDescent="0.4">
      <c r="A2" s="375"/>
      <c r="B2" s="376"/>
      <c r="C2" s="376"/>
      <c r="D2" s="376"/>
      <c r="E2" s="376"/>
      <c r="F2" s="377"/>
    </row>
    <row r="3" spans="1:6" x14ac:dyDescent="0.4">
      <c r="A3" s="170"/>
      <c r="F3" s="111"/>
    </row>
    <row r="4" spans="1:6" ht="24.75" x14ac:dyDescent="0.4">
      <c r="A4" s="140"/>
      <c r="B4" s="178" t="s">
        <v>389</v>
      </c>
      <c r="F4" s="111"/>
    </row>
    <row r="5" spans="1:6" ht="11.45" customHeight="1" x14ac:dyDescent="0.4">
      <c r="A5" s="140"/>
      <c r="B5" s="179"/>
      <c r="F5" s="111"/>
    </row>
    <row r="6" spans="1:6" x14ac:dyDescent="0.4">
      <c r="A6" s="140"/>
      <c r="B6" s="26" t="s">
        <v>390</v>
      </c>
      <c r="C6" s="259">
        <v>46023</v>
      </c>
      <c r="F6" s="111"/>
    </row>
    <row r="7" spans="1:6" ht="10.15" customHeight="1" x14ac:dyDescent="0.4">
      <c r="A7" s="140"/>
      <c r="B7" s="179"/>
      <c r="F7" s="111"/>
    </row>
    <row r="8" spans="1:6" ht="23.25" customHeight="1" x14ac:dyDescent="0.4">
      <c r="A8" s="140"/>
      <c r="B8" s="26" t="s">
        <v>391</v>
      </c>
      <c r="C8" s="181" t="s">
        <v>633</v>
      </c>
      <c r="F8" s="111"/>
    </row>
    <row r="9" spans="1:6" ht="12" customHeight="1" x14ac:dyDescent="0.4">
      <c r="A9" s="140"/>
      <c r="B9" s="179"/>
      <c r="F9" s="111"/>
    </row>
    <row r="10" spans="1:6" x14ac:dyDescent="0.4">
      <c r="A10" s="140"/>
      <c r="B10" s="179" t="s">
        <v>392</v>
      </c>
      <c r="C10" s="24"/>
      <c r="F10" s="111"/>
    </row>
    <row r="11" spans="1:6" x14ac:dyDescent="0.4">
      <c r="A11" s="140"/>
      <c r="B11" s="179" t="s">
        <v>393</v>
      </c>
      <c r="C11" s="25"/>
      <c r="F11" s="111"/>
    </row>
    <row r="12" spans="1:6" x14ac:dyDescent="0.4">
      <c r="A12" s="140"/>
      <c r="B12" s="179" t="s">
        <v>394</v>
      </c>
      <c r="C12" s="180"/>
      <c r="F12" s="111"/>
    </row>
    <row r="13" spans="1:6" x14ac:dyDescent="0.4">
      <c r="A13" s="140"/>
      <c r="B13" s="179"/>
      <c r="F13" s="111"/>
    </row>
    <row r="14" spans="1:6" x14ac:dyDescent="0.4">
      <c r="A14" s="140"/>
      <c r="B14" s="179" t="s">
        <v>395</v>
      </c>
      <c r="C14" s="180"/>
      <c r="F14" s="111"/>
    </row>
    <row r="15" spans="1:6" ht="8.4499999999999993" customHeight="1" x14ac:dyDescent="0.4">
      <c r="A15" s="140"/>
      <c r="F15" s="111"/>
    </row>
    <row r="16" spans="1:6" x14ac:dyDescent="0.4">
      <c r="A16" s="140"/>
      <c r="B16" s="182" t="s">
        <v>396</v>
      </c>
      <c r="E16" s="182" t="s">
        <v>638</v>
      </c>
      <c r="F16" s="111"/>
    </row>
    <row r="17" spans="1:6" x14ac:dyDescent="0.4">
      <c r="A17" s="140"/>
      <c r="B17" s="23" t="s">
        <v>397</v>
      </c>
      <c r="C17" s="180" t="s">
        <v>11</v>
      </c>
      <c r="E17" s="180" t="str">
        <f>VLOOKUP(C17, Source!J5:K246, 2, FALSE)</f>
        <v xml:space="preserve"> </v>
      </c>
      <c r="F17" s="111"/>
    </row>
    <row r="18" spans="1:6" x14ac:dyDescent="0.4">
      <c r="A18" s="140"/>
      <c r="F18" s="111"/>
    </row>
    <row r="19" spans="1:6" x14ac:dyDescent="0.4">
      <c r="A19" s="140"/>
      <c r="B19" s="23" t="s">
        <v>398</v>
      </c>
      <c r="C19" s="24"/>
      <c r="F19" s="111"/>
    </row>
    <row r="20" spans="1:6" x14ac:dyDescent="0.4">
      <c r="A20" s="140"/>
      <c r="B20" s="23" t="s">
        <v>399</v>
      </c>
      <c r="C20" s="24"/>
      <c r="F20" s="111"/>
    </row>
    <row r="21" spans="1:6" x14ac:dyDescent="0.4">
      <c r="A21" s="140"/>
      <c r="B21" s="23" t="s">
        <v>400</v>
      </c>
      <c r="C21" s="180"/>
      <c r="F21" s="111"/>
    </row>
    <row r="22" spans="1:6" x14ac:dyDescent="0.4">
      <c r="A22" s="140"/>
      <c r="F22" s="111"/>
    </row>
    <row r="23" spans="1:6" x14ac:dyDescent="0.4">
      <c r="A23" s="140"/>
      <c r="B23" s="23" t="s">
        <v>401</v>
      </c>
      <c r="C23" s="180"/>
      <c r="F23" s="111"/>
    </row>
    <row r="24" spans="1:6" x14ac:dyDescent="0.4">
      <c r="A24" s="140"/>
      <c r="B24" s="23" t="s">
        <v>402</v>
      </c>
      <c r="C24" s="180"/>
      <c r="F24" s="111"/>
    </row>
    <row r="25" spans="1:6" ht="8.4499999999999993" customHeight="1" x14ac:dyDescent="0.4">
      <c r="A25" s="145"/>
      <c r="B25" s="114"/>
      <c r="C25" s="114"/>
      <c r="D25" s="114"/>
      <c r="E25" s="114"/>
      <c r="F25" s="115"/>
    </row>
    <row r="26" spans="1:6" ht="10.15" customHeight="1" x14ac:dyDescent="0.4">
      <c r="A26" s="140"/>
      <c r="F26" s="111"/>
    </row>
    <row r="27" spans="1:6" ht="24.75" x14ac:dyDescent="0.4">
      <c r="A27" s="140"/>
      <c r="B27" s="178" t="s">
        <v>403</v>
      </c>
      <c r="F27" s="111"/>
    </row>
    <row r="28" spans="1:6" ht="4.1500000000000004" customHeight="1" x14ac:dyDescent="0.4">
      <c r="A28" s="140"/>
      <c r="F28" s="111"/>
    </row>
    <row r="29" spans="1:6" x14ac:dyDescent="0.4">
      <c r="A29" s="140"/>
      <c r="B29" s="23" t="s">
        <v>404</v>
      </c>
      <c r="C29" s="180" t="s">
        <v>11</v>
      </c>
      <c r="F29" s="111"/>
    </row>
    <row r="30" spans="1:6" x14ac:dyDescent="0.4">
      <c r="A30" s="140"/>
      <c r="F30" s="111"/>
    </row>
    <row r="31" spans="1:6" x14ac:dyDescent="0.4">
      <c r="A31" s="140"/>
      <c r="B31" s="23" t="s">
        <v>405</v>
      </c>
      <c r="C31" s="180"/>
      <c r="E31" s="183"/>
      <c r="F31" s="111"/>
    </row>
    <row r="32" spans="1:6" ht="12" customHeight="1" x14ac:dyDescent="0.4">
      <c r="A32" s="140"/>
      <c r="E32" s="378" t="str">
        <f>Evaluationsheet!F62</f>
        <v>No result!</v>
      </c>
      <c r="F32" s="111"/>
    </row>
    <row r="33" spans="1:6" ht="27" customHeight="1" x14ac:dyDescent="0.4">
      <c r="A33" s="140"/>
      <c r="B33" s="184" t="s">
        <v>406</v>
      </c>
      <c r="C33" s="180"/>
      <c r="E33" s="378"/>
      <c r="F33" s="111"/>
    </row>
    <row r="34" spans="1:6" ht="38.450000000000003" customHeight="1" x14ac:dyDescent="0.4">
      <c r="A34" s="140"/>
      <c r="E34" s="185" t="str">
        <f>IF(E32="No result!","",IF(OR(Source!B44="Downgrading rule applies",Source!C44="Downgrading rule applies"),"Downgrading rule applies",""))</f>
        <v/>
      </c>
      <c r="F34" s="111"/>
    </row>
    <row r="35" spans="1:6" ht="27" customHeight="1" x14ac:dyDescent="0.4">
      <c r="A35" s="140"/>
      <c r="B35" s="184" t="s">
        <v>407</v>
      </c>
      <c r="C35" s="180"/>
      <c r="E35" s="186" t="str">
        <f>Source!B39</f>
        <v>n.e.</v>
      </c>
      <c r="F35" s="111"/>
    </row>
    <row r="36" spans="1:6" x14ac:dyDescent="0.4">
      <c r="A36" s="145"/>
      <c r="B36" s="114"/>
      <c r="C36" s="114"/>
      <c r="D36" s="114"/>
      <c r="E36" s="114"/>
      <c r="F36" s="115"/>
    </row>
    <row r="37" spans="1:6" ht="12" customHeight="1" x14ac:dyDescent="0.4">
      <c r="A37" s="140"/>
      <c r="F37" s="111"/>
    </row>
    <row r="38" spans="1:6" ht="24.75" x14ac:dyDescent="0.4">
      <c r="A38" s="140"/>
      <c r="B38" s="178" t="s">
        <v>408</v>
      </c>
      <c r="F38" s="111"/>
    </row>
    <row r="39" spans="1:6" ht="10.15" customHeight="1" x14ac:dyDescent="0.4">
      <c r="A39" s="140"/>
      <c r="B39" s="187"/>
      <c r="F39" s="111"/>
    </row>
    <row r="40" spans="1:6" x14ac:dyDescent="0.4">
      <c r="A40" s="140"/>
      <c r="B40" s="23" t="s">
        <v>409</v>
      </c>
      <c r="C40" s="180"/>
      <c r="F40" s="111"/>
    </row>
    <row r="41" spans="1:6" ht="6.6" customHeight="1" x14ac:dyDescent="0.4">
      <c r="A41" s="140"/>
      <c r="F41" s="111"/>
    </row>
    <row r="42" spans="1:6" x14ac:dyDescent="0.4">
      <c r="A42" s="140"/>
      <c r="B42" s="188" t="s">
        <v>410</v>
      </c>
      <c r="C42" s="180"/>
      <c r="F42" s="111"/>
    </row>
    <row r="43" spans="1:6" ht="11.45" customHeight="1" x14ac:dyDescent="0.4">
      <c r="A43" s="140"/>
      <c r="F43" s="111"/>
    </row>
    <row r="44" spans="1:6" x14ac:dyDescent="0.4">
      <c r="A44" s="140"/>
      <c r="B44" s="23" t="s">
        <v>411</v>
      </c>
      <c r="C44" s="180"/>
      <c r="F44" s="111"/>
    </row>
    <row r="45" spans="1:6" ht="12" customHeight="1" x14ac:dyDescent="0.4">
      <c r="A45" s="140"/>
      <c r="F45" s="111"/>
    </row>
    <row r="46" spans="1:6" ht="36" x14ac:dyDescent="0.4">
      <c r="A46" s="140"/>
      <c r="B46" s="188" t="s">
        <v>412</v>
      </c>
      <c r="C46" s="180"/>
      <c r="F46" s="111"/>
    </row>
    <row r="47" spans="1:6" ht="10.15" customHeight="1" x14ac:dyDescent="0.4">
      <c r="A47" s="145"/>
      <c r="B47" s="114"/>
      <c r="C47" s="114"/>
      <c r="D47" s="114"/>
      <c r="E47" s="114"/>
      <c r="F47" s="115"/>
    </row>
    <row r="48" spans="1:6" x14ac:dyDescent="0.4">
      <c r="A48" s="149"/>
      <c r="B48" s="116" t="s">
        <v>413</v>
      </c>
      <c r="C48" s="117"/>
      <c r="D48" s="117"/>
      <c r="E48" s="117"/>
      <c r="F48" s="118"/>
    </row>
    <row r="49" spans="1:6" ht="13.15" customHeight="1" x14ac:dyDescent="0.4">
      <c r="A49" s="150"/>
      <c r="B49" s="187"/>
      <c r="C49" s="189"/>
      <c r="D49" s="189"/>
      <c r="E49" s="189"/>
      <c r="F49" s="113"/>
    </row>
    <row r="50" spans="1:6" x14ac:dyDescent="0.4">
      <c r="A50" s="151"/>
      <c r="B50" s="23" t="s">
        <v>414</v>
      </c>
      <c r="C50" s="23" t="s">
        <v>887</v>
      </c>
      <c r="D50" s="190"/>
      <c r="E50" s="190"/>
      <c r="F50" s="112"/>
    </row>
    <row r="51" spans="1:6" x14ac:dyDescent="0.4">
      <c r="A51" s="151"/>
      <c r="B51" s="23" t="s">
        <v>415</v>
      </c>
      <c r="C51" s="191">
        <v>45978</v>
      </c>
      <c r="D51" s="190"/>
      <c r="E51" s="190"/>
      <c r="F51" s="112"/>
    </row>
    <row r="52" spans="1:6" ht="9.6" customHeight="1" x14ac:dyDescent="0.4">
      <c r="A52" s="145"/>
      <c r="B52" s="98"/>
      <c r="C52" s="98"/>
      <c r="D52" s="98"/>
      <c r="E52" s="98"/>
      <c r="F52" s="99"/>
    </row>
  </sheetData>
  <sheetProtection formatCells="0" formatColumns="0" formatRows="0"/>
  <mergeCells count="2">
    <mergeCell ref="A1:F2"/>
    <mergeCell ref="E32:E33"/>
  </mergeCells>
  <conditionalFormatting sqref="E32">
    <cfRule type="containsText" dxfId="248" priority="1" operator="containsText" text="No result!">
      <formula>NOT(ISERROR(SEARCH("No result!",E32)))</formula>
    </cfRule>
    <cfRule type="containsText" dxfId="247" priority="3" operator="containsText" text="C">
      <formula>NOT(ISERROR(SEARCH("C",E32)))</formula>
    </cfRule>
    <cfRule type="containsText" dxfId="246" priority="4" operator="containsText" text="A">
      <formula>NOT(ISERROR(SEARCH("A",E32)))</formula>
    </cfRule>
    <cfRule type="containsText" dxfId="245" priority="7" operator="containsText" text="B">
      <formula>NOT(ISERROR(SEARCH("B",E32)))</formula>
    </cfRule>
  </conditionalFormatting>
  <pageMargins left="0.7" right="0.7" top="0.78740157499999996" bottom="0.78740157499999996" header="0.3" footer="0.3"/>
  <pageSetup scale="72"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Als_PDF_Exportieren">
                <anchor moveWithCells="1" sizeWithCells="1">
                  <from>
                    <xdr:col>7</xdr:col>
                    <xdr:colOff>9525</xdr:colOff>
                    <xdr:row>3</xdr:row>
                    <xdr:rowOff>209550</xdr:rowOff>
                  </from>
                  <to>
                    <xdr:col>8</xdr:col>
                    <xdr:colOff>657225</xdr:colOff>
                    <xdr:row>7</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1E6F424C-6E8B-42A4-9643-6A3A87EB1D4C}">
          <x14:formula1>
            <xm:f>Source!$F$58:$F$73</xm:f>
          </x14:formula1>
          <xm:sqref>C29</xm:sqref>
        </x14:dataValidation>
        <x14:dataValidation type="list" allowBlank="1" showInputMessage="1" showErrorMessage="1" xr:uid="{F9C27F0F-7E2C-476D-8F77-EB056737FAE8}">
          <x14:formula1>
            <xm:f>Source!$J$5:$J$246</xm:f>
          </x14:formula1>
          <xm:sqref>C17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AD570-59FB-40FA-AC72-61E1A3CAD620}">
  <sheetPr codeName="Tabelle10">
    <pageSetUpPr fitToPage="1"/>
  </sheetPr>
  <dimension ref="A1:Q78"/>
  <sheetViews>
    <sheetView zoomScale="90" zoomScaleNormal="90" workbookViewId="0">
      <selection activeCell="D58" sqref="D58"/>
    </sheetView>
  </sheetViews>
  <sheetFormatPr baseColWidth="10" defaultColWidth="11.5546875" defaultRowHeight="18" outlineLevelRow="1" x14ac:dyDescent="0.4"/>
  <cols>
    <col min="1" max="1" width="2.6640625" style="45" customWidth="1"/>
    <col min="2" max="2" width="5.21875" style="46" customWidth="1"/>
    <col min="3" max="3" width="2.88671875" style="45" customWidth="1"/>
    <col min="4" max="4" width="56.109375" style="45" customWidth="1"/>
    <col min="5" max="5" width="6.88671875" style="45" customWidth="1"/>
    <col min="6" max="6" width="9" style="45" customWidth="1"/>
    <col min="7" max="7" width="8.33203125" style="47" customWidth="1"/>
    <col min="8" max="8" width="2" style="45" customWidth="1"/>
    <col min="9" max="9" width="3.77734375" style="45" customWidth="1"/>
    <col min="10" max="10" width="5.21875" style="45" customWidth="1"/>
    <col min="11" max="16" width="11.5546875" style="45"/>
    <col min="17" max="17" width="14.33203125" style="45" customWidth="1"/>
    <col min="18" max="18" width="3.33203125" style="45" customWidth="1"/>
    <col min="19" max="16384" width="11.5546875" style="45"/>
  </cols>
  <sheetData>
    <row r="1" spans="1:17" ht="56.25" customHeight="1" x14ac:dyDescent="0.4">
      <c r="A1" s="395" t="s">
        <v>635</v>
      </c>
      <c r="B1" s="396"/>
      <c r="C1" s="396"/>
      <c r="D1" s="396"/>
      <c r="E1" s="396"/>
      <c r="F1" s="397"/>
      <c r="G1" s="396"/>
      <c r="H1" s="397"/>
      <c r="I1" s="109"/>
    </row>
    <row r="2" spans="1:17" ht="30.6" customHeight="1" x14ac:dyDescent="0.7">
      <c r="A2" s="152"/>
      <c r="B2" s="155"/>
      <c r="C2" s="154"/>
      <c r="D2" s="156" t="s">
        <v>639</v>
      </c>
      <c r="E2" s="101"/>
      <c r="F2" s="101"/>
      <c r="G2" s="100"/>
      <c r="H2" s="95"/>
      <c r="I2" s="94"/>
    </row>
    <row r="3" spans="1:17" ht="34.15" customHeight="1" x14ac:dyDescent="0.4">
      <c r="A3" s="153"/>
      <c r="B3" s="110" t="s">
        <v>416</v>
      </c>
      <c r="C3" s="102"/>
      <c r="D3" s="103"/>
      <c r="E3" s="105" t="s">
        <v>417</v>
      </c>
      <c r="F3" s="105" t="s">
        <v>418</v>
      </c>
      <c r="G3" s="104" t="s">
        <v>419</v>
      </c>
      <c r="H3" s="96"/>
      <c r="I3" s="106"/>
    </row>
    <row r="4" spans="1:17" ht="24.75" customHeight="1" x14ac:dyDescent="0.4">
      <c r="A4" s="140"/>
      <c r="B4" s="192">
        <v>1</v>
      </c>
      <c r="C4" s="193"/>
      <c r="D4" s="194" t="s">
        <v>420</v>
      </c>
      <c r="E4" s="195">
        <f>SUM(E5:E9)</f>
        <v>0</v>
      </c>
      <c r="F4" s="195">
        <f>'L1 - Project management'!D22*10</f>
        <v>0</v>
      </c>
      <c r="G4" s="196" t="str">
        <f>'L1 - Project management'!F22</f>
        <v>n.e.</v>
      </c>
      <c r="H4" s="197"/>
      <c r="I4" s="107"/>
      <c r="K4" s="379" t="s">
        <v>620</v>
      </c>
      <c r="L4" s="379"/>
      <c r="M4" s="379"/>
      <c r="N4" s="379"/>
      <c r="O4" s="379"/>
      <c r="P4" s="379"/>
      <c r="Q4" s="379"/>
    </row>
    <row r="5" spans="1:17" ht="26.45" hidden="1" customHeight="1" outlineLevel="1" x14ac:dyDescent="0.4">
      <c r="A5" s="140"/>
      <c r="B5" s="198" t="s">
        <v>421</v>
      </c>
      <c r="C5" s="199" t="s">
        <v>422</v>
      </c>
      <c r="D5" s="200" t="str">
        <f>'L1 - Project management'!D7</f>
        <v>Are requirements integrated into project management and continuously taken into account? (1.1.1)</v>
      </c>
      <c r="E5" s="201" t="str">
        <f>'L1 - Project management'!F8</f>
        <v>n.e.</v>
      </c>
      <c r="F5" s="201"/>
      <c r="G5" s="202"/>
      <c r="H5" s="197"/>
      <c r="I5" s="107"/>
      <c r="K5" s="379"/>
      <c r="L5" s="379"/>
      <c r="M5" s="379"/>
      <c r="N5" s="379"/>
      <c r="O5" s="379"/>
      <c r="P5" s="379"/>
      <c r="Q5" s="379"/>
    </row>
    <row r="6" spans="1:17" ht="26.45" hidden="1" customHeight="1" outlineLevel="1" x14ac:dyDescent="0.4">
      <c r="A6" s="140"/>
      <c r="B6" s="198" t="s">
        <v>423</v>
      </c>
      <c r="C6" s="199" t="s">
        <v>422</v>
      </c>
      <c r="D6" s="200" t="str">
        <f>'L1 - Project management'!D10</f>
        <v>Has a project management (including a project organization) been established? (1.2.3)</v>
      </c>
      <c r="E6" s="201" t="str">
        <f>'L1 - Project management'!F11</f>
        <v>n.e.</v>
      </c>
      <c r="F6" s="201"/>
      <c r="G6" s="202"/>
      <c r="H6" s="197"/>
      <c r="I6" s="107"/>
      <c r="K6" s="379"/>
      <c r="L6" s="379"/>
      <c r="M6" s="379"/>
      <c r="N6" s="379"/>
      <c r="O6" s="379"/>
      <c r="P6" s="379"/>
      <c r="Q6" s="379"/>
    </row>
    <row r="7" spans="1:17" ht="26.45" hidden="1" customHeight="1" outlineLevel="1" x14ac:dyDescent="0.4">
      <c r="A7" s="140"/>
      <c r="B7" s="198" t="s">
        <v>424</v>
      </c>
      <c r="C7" s="199"/>
      <c r="D7" s="203" t="str">
        <f>'L1 - Project management'!D13</f>
        <v>Has an escalation process, including coordinated communication, been established, and is it effectively implemented? (1.2.4)</v>
      </c>
      <c r="E7" s="204" t="str">
        <f>'L1 - Project management'!F14</f>
        <v>n.e.</v>
      </c>
      <c r="F7" s="204"/>
      <c r="G7" s="202"/>
      <c r="H7" s="197"/>
      <c r="I7" s="107"/>
      <c r="K7" s="379"/>
      <c r="L7" s="379"/>
      <c r="M7" s="379"/>
      <c r="N7" s="379"/>
      <c r="O7" s="379"/>
      <c r="P7" s="379"/>
      <c r="Q7" s="379"/>
    </row>
    <row r="8" spans="1:17" ht="26.45" hidden="1" customHeight="1" outlineLevel="1" x14ac:dyDescent="0.4">
      <c r="A8" s="140"/>
      <c r="B8" s="198" t="s">
        <v>425</v>
      </c>
      <c r="C8" s="199" t="s">
        <v>422</v>
      </c>
      <c r="D8" s="203" t="str">
        <f>'L1 - Project management'!D16</f>
        <v>Are methods of risk analysis established at the start of the project phase, and are they implemented? (1.2.5)</v>
      </c>
      <c r="E8" s="204" t="str">
        <f>'L1 - Project management'!F17</f>
        <v>n.e.</v>
      </c>
      <c r="F8" s="204"/>
      <c r="G8" s="202"/>
      <c r="H8" s="197"/>
      <c r="I8" s="107"/>
      <c r="K8" s="379"/>
      <c r="L8" s="379"/>
      <c r="M8" s="379"/>
      <c r="N8" s="379"/>
      <c r="O8" s="379"/>
      <c r="P8" s="379"/>
      <c r="Q8" s="379"/>
    </row>
    <row r="9" spans="1:17" ht="26.45" hidden="1" customHeight="1" outlineLevel="1" x14ac:dyDescent="0.4">
      <c r="A9" s="140"/>
      <c r="B9" s="198" t="s">
        <v>426</v>
      </c>
      <c r="C9" s="199"/>
      <c r="D9" s="329" t="str">
        <f>'L1 - Project management'!D19</f>
        <v>Are methods of continuous process improvement implemented? (1.5.4)</v>
      </c>
      <c r="E9" s="271" t="str">
        <f>'L1 - Project management'!F20</f>
        <v>n.e.</v>
      </c>
      <c r="F9" s="269"/>
      <c r="G9" s="270"/>
      <c r="H9" s="197"/>
      <c r="I9" s="107"/>
      <c r="K9" s="379"/>
      <c r="L9" s="379"/>
      <c r="M9" s="379"/>
      <c r="N9" s="379"/>
      <c r="O9" s="379"/>
      <c r="P9" s="379"/>
      <c r="Q9" s="379"/>
    </row>
    <row r="10" spans="1:17" ht="18.75" collapsed="1" x14ac:dyDescent="0.4">
      <c r="A10" s="140"/>
      <c r="B10" s="192">
        <v>2</v>
      </c>
      <c r="C10" s="193"/>
      <c r="D10" s="194" t="s">
        <v>427</v>
      </c>
      <c r="E10" s="207">
        <f>SUM(E11:E16)</f>
        <v>0</v>
      </c>
      <c r="F10" s="207">
        <f>'L2 - Planning'!D22*10</f>
        <v>0</v>
      </c>
      <c r="G10" s="196" t="str">
        <f>'L2 - Planning'!F22</f>
        <v>n.e.</v>
      </c>
      <c r="H10" s="197"/>
      <c r="I10" s="107"/>
      <c r="K10" s="379"/>
      <c r="L10" s="379"/>
      <c r="M10" s="379"/>
      <c r="N10" s="379"/>
      <c r="O10" s="379"/>
      <c r="P10" s="379"/>
      <c r="Q10" s="379"/>
    </row>
    <row r="11" spans="1:17" ht="26.45" hidden="1" customHeight="1" outlineLevel="1" x14ac:dyDescent="0.4">
      <c r="A11" s="140"/>
      <c r="B11" s="198" t="s">
        <v>428</v>
      </c>
      <c r="C11" s="199" t="s">
        <v>422</v>
      </c>
      <c r="D11" s="211" t="str">
        <f>'L2 - Planning'!D7</f>
        <v>Is material master and material flow data defined in the planning process and continuously monitored? (2.2.3)</v>
      </c>
      <c r="E11" s="209" t="str">
        <f>'L2 - Planning'!F8</f>
        <v>n.e.</v>
      </c>
      <c r="F11" s="209"/>
      <c r="G11" s="202"/>
      <c r="H11" s="197"/>
      <c r="I11" s="107"/>
      <c r="K11" s="379"/>
      <c r="L11" s="379"/>
      <c r="M11" s="379"/>
      <c r="N11" s="379"/>
      <c r="O11" s="379"/>
      <c r="P11" s="379"/>
      <c r="Q11" s="379"/>
    </row>
    <row r="12" spans="1:17" ht="39.6" hidden="1" customHeight="1" outlineLevel="1" x14ac:dyDescent="0.4">
      <c r="A12" s="140"/>
      <c r="B12" s="392" t="s">
        <v>429</v>
      </c>
      <c r="C12" s="391" t="s">
        <v>422</v>
      </c>
      <c r="D12" s="211" t="str">
        <f>'L2 - Planning'!D10</f>
        <v>Are the processes for in-house logistics, including packaging and container management, defined in planning, and are they continuously adjusted? (2.2.5)</v>
      </c>
      <c r="E12" s="207"/>
      <c r="F12" s="207"/>
      <c r="G12" s="331"/>
      <c r="H12" s="197"/>
      <c r="I12" s="107"/>
      <c r="K12" s="379"/>
      <c r="L12" s="379"/>
      <c r="M12" s="379"/>
      <c r="N12" s="379"/>
      <c r="O12" s="379"/>
      <c r="P12" s="379"/>
      <c r="Q12" s="379"/>
    </row>
    <row r="13" spans="1:17" ht="21" hidden="1" customHeight="1" outlineLevel="1" x14ac:dyDescent="0.4">
      <c r="A13" s="140"/>
      <c r="B13" s="392"/>
      <c r="C13" s="391"/>
      <c r="D13" s="272" t="s">
        <v>659</v>
      </c>
      <c r="E13" s="209" t="str">
        <f>'L2 - Planning'!F11</f>
        <v>n.e.</v>
      </c>
      <c r="F13" s="209"/>
      <c r="G13" s="202"/>
      <c r="H13" s="197"/>
      <c r="I13" s="107"/>
      <c r="K13" s="379"/>
      <c r="L13" s="379"/>
      <c r="M13" s="379"/>
      <c r="N13" s="379"/>
      <c r="O13" s="379"/>
      <c r="P13" s="379"/>
      <c r="Q13" s="379"/>
    </row>
    <row r="14" spans="1:17" ht="16.149999999999999" hidden="1" customHeight="1" outlineLevel="1" x14ac:dyDescent="0.4">
      <c r="A14" s="140"/>
      <c r="B14" s="392"/>
      <c r="C14" s="391"/>
      <c r="D14" s="272" t="s">
        <v>660</v>
      </c>
      <c r="E14" s="209" t="str">
        <f>'L2 - Planning'!F14</f>
        <v>n.e.</v>
      </c>
      <c r="F14" s="209"/>
      <c r="G14" s="202"/>
      <c r="H14" s="197"/>
      <c r="I14" s="107"/>
      <c r="K14" s="379"/>
      <c r="L14" s="379"/>
      <c r="M14" s="379"/>
      <c r="N14" s="379"/>
      <c r="O14" s="379"/>
      <c r="P14" s="379"/>
      <c r="Q14" s="379"/>
    </row>
    <row r="15" spans="1:17" ht="18" hidden="1" customHeight="1" outlineLevel="1" x14ac:dyDescent="0.4">
      <c r="A15" s="140"/>
      <c r="B15" s="198" t="s">
        <v>430</v>
      </c>
      <c r="C15" s="199" t="s">
        <v>422</v>
      </c>
      <c r="D15" s="211" t="str">
        <f>'L2 - Planning'!D16</f>
        <v>Are the necessary human resources available? (2.3.4)</v>
      </c>
      <c r="E15" s="209" t="str">
        <f>'L2 - Planning'!F17</f>
        <v>n.e.</v>
      </c>
      <c r="F15" s="209"/>
      <c r="G15" s="202"/>
      <c r="H15" s="197"/>
      <c r="I15" s="107"/>
      <c r="K15" s="379"/>
      <c r="L15" s="379"/>
      <c r="M15" s="379"/>
      <c r="N15" s="379"/>
      <c r="O15" s="379"/>
      <c r="P15" s="379"/>
      <c r="Q15" s="379"/>
    </row>
    <row r="16" spans="1:17" ht="39.6" hidden="1" customHeight="1" outlineLevel="1" x14ac:dyDescent="0.4">
      <c r="A16" s="140"/>
      <c r="B16" s="205" t="s">
        <v>431</v>
      </c>
      <c r="C16" s="206" t="s">
        <v>422</v>
      </c>
      <c r="D16" s="212" t="str">
        <f>'L2 - Planning'!D19</f>
        <v>Are all processes from the process flow effectively/efficiently implemented, reviewed and communicated and available as results? (2.6.1)</v>
      </c>
      <c r="E16" s="213" t="str">
        <f>'L2 - Planning'!F20</f>
        <v>n.e.</v>
      </c>
      <c r="F16" s="213"/>
      <c r="G16" s="214"/>
      <c r="H16" s="197"/>
      <c r="I16" s="107"/>
      <c r="K16" s="379"/>
      <c r="L16" s="379"/>
      <c r="M16" s="379"/>
      <c r="N16" s="379"/>
      <c r="O16" s="379"/>
      <c r="P16" s="379"/>
      <c r="Q16" s="379"/>
    </row>
    <row r="17" spans="1:17" ht="18.75" collapsed="1" x14ac:dyDescent="0.4">
      <c r="A17" s="140"/>
      <c r="B17" s="192">
        <v>4</v>
      </c>
      <c r="C17" s="193"/>
      <c r="D17" s="218" t="s">
        <v>432</v>
      </c>
      <c r="E17" s="207">
        <f>SUM(E18:E24)</f>
        <v>0</v>
      </c>
      <c r="F17" s="207">
        <f>'L4 - Procurement logistics'!D28*10</f>
        <v>0</v>
      </c>
      <c r="G17" s="196" t="str">
        <f>'L4 - Procurement logistics'!F28</f>
        <v>n.e.</v>
      </c>
      <c r="H17" s="197"/>
      <c r="I17" s="107"/>
      <c r="K17" s="379"/>
      <c r="L17" s="379"/>
      <c r="M17" s="379"/>
      <c r="N17" s="379"/>
      <c r="O17" s="379"/>
      <c r="P17" s="379"/>
      <c r="Q17" s="379"/>
    </row>
    <row r="18" spans="1:17" ht="26.45" hidden="1" customHeight="1" outlineLevel="1" x14ac:dyDescent="0.4">
      <c r="A18" s="140"/>
      <c r="B18" s="198" t="s">
        <v>433</v>
      </c>
      <c r="C18" s="215" t="s">
        <v>422</v>
      </c>
      <c r="D18" s="208" t="str">
        <f>'L4 - Procurement logistics'!D7</f>
        <v>Have processes been established for ensuring that materials are supplied in accordance with demand? (4.2.1)</v>
      </c>
      <c r="E18" s="209" t="str">
        <f>'L4 - Procurement logistics'!F8</f>
        <v>n.e.</v>
      </c>
      <c r="F18" s="209"/>
      <c r="G18" s="210"/>
      <c r="H18" s="197"/>
      <c r="I18" s="107"/>
      <c r="K18" s="379"/>
      <c r="L18" s="379"/>
      <c r="M18" s="379"/>
      <c r="N18" s="379"/>
      <c r="O18" s="379"/>
      <c r="P18" s="379"/>
      <c r="Q18" s="379"/>
    </row>
    <row r="19" spans="1:17" ht="26.45" hidden="1" customHeight="1" outlineLevel="1" x14ac:dyDescent="0.4">
      <c r="A19" s="140"/>
      <c r="B19" s="198" t="s">
        <v>434</v>
      </c>
      <c r="C19" s="215"/>
      <c r="D19" s="208" t="str">
        <f>'L4 - Procurement logistics'!D10</f>
        <v>Has a container management system been established in accordance with demand and capacity? (4.2.2)</v>
      </c>
      <c r="E19" s="209" t="str">
        <f>'L4 - Procurement logistics'!F11</f>
        <v>n.e.</v>
      </c>
      <c r="F19" s="209"/>
      <c r="G19" s="210"/>
      <c r="H19" s="197"/>
      <c r="I19" s="107"/>
      <c r="K19" s="379"/>
      <c r="L19" s="379"/>
      <c r="M19" s="379"/>
      <c r="N19" s="379"/>
      <c r="O19" s="379"/>
      <c r="P19" s="379"/>
      <c r="Q19" s="379"/>
    </row>
    <row r="20" spans="1:17" ht="26.45" hidden="1" customHeight="1" outlineLevel="1" x14ac:dyDescent="0.4">
      <c r="A20" s="140"/>
      <c r="B20" s="198" t="s">
        <v>435</v>
      </c>
      <c r="C20" s="215" t="s">
        <v>422</v>
      </c>
      <c r="D20" s="208" t="str">
        <f>'L4 - Procurement logistics'!D13</f>
        <v>Have processes and concepts (inventory types) been defined for systematic inventory audits and analyses? (4.2.3)</v>
      </c>
      <c r="E20" s="209" t="str">
        <f>'L4 - Procurement logistics'!F14</f>
        <v>n.e.</v>
      </c>
      <c r="F20" s="209"/>
      <c r="G20" s="210"/>
      <c r="H20" s="197"/>
      <c r="I20" s="107"/>
      <c r="K20" s="379"/>
      <c r="L20" s="379"/>
      <c r="M20" s="379"/>
      <c r="N20" s="379"/>
      <c r="O20" s="379"/>
      <c r="P20" s="379"/>
      <c r="Q20" s="379"/>
    </row>
    <row r="21" spans="1:17" ht="26.45" hidden="1" customHeight="1" outlineLevel="1" x14ac:dyDescent="0.4">
      <c r="A21" s="140"/>
      <c r="B21" s="198" t="s">
        <v>436</v>
      </c>
      <c r="C21" s="215"/>
      <c r="D21" s="208" t="str">
        <f>'L4 - Procurement logistics'!D16</f>
        <v>Has an escalation process, including coordinated communication, been established, and is it effectively implemented? (4.2.4)</v>
      </c>
      <c r="E21" s="209" t="str">
        <f>'L4 - Procurement logistics'!F17</f>
        <v>n.e.</v>
      </c>
      <c r="F21" s="209"/>
      <c r="G21" s="210"/>
      <c r="H21" s="197"/>
      <c r="I21" s="107"/>
      <c r="K21" s="379"/>
      <c r="L21" s="379"/>
      <c r="M21" s="379"/>
      <c r="N21" s="379"/>
      <c r="O21" s="379"/>
      <c r="P21" s="379"/>
      <c r="Q21" s="379"/>
    </row>
    <row r="22" spans="1:17" ht="18" hidden="1" customHeight="1" outlineLevel="1" x14ac:dyDescent="0.4">
      <c r="A22" s="140"/>
      <c r="B22" s="198" t="s">
        <v>437</v>
      </c>
      <c r="C22" s="215" t="s">
        <v>422</v>
      </c>
      <c r="D22" s="208" t="str">
        <f>'L4 - Procurement logistics'!D19</f>
        <v xml:space="preserve"> Is there a suitable pervasive IT infrastructure? (4.4.2)</v>
      </c>
      <c r="E22" s="209" t="str">
        <f>'L4 - Procurement logistics'!F20</f>
        <v>n.e.</v>
      </c>
      <c r="F22" s="209"/>
      <c r="G22" s="210"/>
      <c r="H22" s="197"/>
      <c r="I22" s="107"/>
      <c r="K22" s="379"/>
      <c r="L22" s="379"/>
      <c r="M22" s="379"/>
      <c r="N22" s="379"/>
      <c r="O22" s="379"/>
      <c r="P22" s="379"/>
      <c r="Q22" s="379"/>
    </row>
    <row r="23" spans="1:17" ht="26.45" hidden="1" customHeight="1" outlineLevel="1" x14ac:dyDescent="0.4">
      <c r="A23" s="140"/>
      <c r="B23" s="198" t="s">
        <v>438</v>
      </c>
      <c r="C23" s="215"/>
      <c r="D23" s="208" t="str">
        <f>'L4 - Procurement logistics'!D22</f>
        <v>Is the availability and corresponding use of the delivery schedule ensured with an EDI standard? (4.4.4)</v>
      </c>
      <c r="E23" s="209" t="str">
        <f>'L4 - Procurement logistics'!F23</f>
        <v>n.e.</v>
      </c>
      <c r="F23" s="209"/>
      <c r="G23" s="210"/>
      <c r="H23" s="197"/>
      <c r="I23" s="107"/>
      <c r="K23" s="379"/>
      <c r="L23" s="379"/>
      <c r="M23" s="379"/>
      <c r="N23" s="379"/>
      <c r="O23" s="379"/>
      <c r="P23" s="379"/>
      <c r="Q23" s="379"/>
    </row>
    <row r="24" spans="1:17" ht="26.45" hidden="1" customHeight="1" outlineLevel="1" x14ac:dyDescent="0.4">
      <c r="A24" s="140"/>
      <c r="B24" s="198" t="s">
        <v>439</v>
      </c>
      <c r="C24" s="215" t="s">
        <v>422</v>
      </c>
      <c r="D24" s="208" t="str">
        <f>'L4 - Procurement logistics'!D25</f>
        <v>Are suitable KPIs available in procurement logistics, incl. realistic target values?  (4.5.1)</v>
      </c>
      <c r="E24" s="209" t="str">
        <f>'L4 - Procurement logistics'!F26</f>
        <v>n.e.</v>
      </c>
      <c r="F24" s="209"/>
      <c r="G24" s="210"/>
      <c r="H24" s="197"/>
      <c r="I24" s="107"/>
      <c r="K24" s="379"/>
      <c r="L24" s="379"/>
      <c r="M24" s="379"/>
      <c r="N24" s="379"/>
      <c r="O24" s="379"/>
      <c r="P24" s="379"/>
      <c r="Q24" s="379"/>
    </row>
    <row r="25" spans="1:17" ht="21" customHeight="1" collapsed="1" x14ac:dyDescent="0.4">
      <c r="A25" s="140"/>
      <c r="B25" s="192">
        <v>5</v>
      </c>
      <c r="C25" s="193"/>
      <c r="D25" s="219" t="s">
        <v>440</v>
      </c>
      <c r="E25" s="207">
        <f>SUM(E26:E31)</f>
        <v>0</v>
      </c>
      <c r="F25" s="207">
        <f>'L5 - Transport logistics'!D22*10</f>
        <v>0</v>
      </c>
      <c r="G25" s="196" t="str">
        <f>'L5 - Transport logistics'!F22</f>
        <v>n.e.</v>
      </c>
      <c r="H25" s="220"/>
      <c r="I25" s="108"/>
      <c r="K25" s="379"/>
      <c r="L25" s="379"/>
      <c r="M25" s="379"/>
      <c r="N25" s="379"/>
      <c r="O25" s="379"/>
      <c r="P25" s="379"/>
      <c r="Q25" s="379"/>
    </row>
    <row r="26" spans="1:17" ht="23.45" hidden="1" customHeight="1" outlineLevel="1" x14ac:dyDescent="0.4">
      <c r="A26" s="140"/>
      <c r="B26" s="392" t="s">
        <v>441</v>
      </c>
      <c r="C26" s="215"/>
      <c r="D26" s="208" t="str">
        <f>'L5 - Transport logistics'!D7</f>
        <v>Is the output of the upstream process integrated into transport logistics? (5.1.1)</v>
      </c>
      <c r="E26" s="207"/>
      <c r="F26" s="207"/>
      <c r="G26" s="330"/>
      <c r="H26" s="197"/>
      <c r="I26" s="107"/>
      <c r="K26" s="379"/>
      <c r="L26" s="379"/>
      <c r="M26" s="379"/>
      <c r="N26" s="379"/>
      <c r="O26" s="379"/>
      <c r="P26" s="379"/>
      <c r="Q26" s="379"/>
    </row>
    <row r="27" spans="1:17" ht="21" hidden="1" customHeight="1" outlineLevel="1" x14ac:dyDescent="0.4">
      <c r="A27" s="140"/>
      <c r="B27" s="392"/>
      <c r="C27" s="215"/>
      <c r="D27" s="273" t="s">
        <v>661</v>
      </c>
      <c r="E27" s="209" t="str">
        <f>'L5 - Transport logistics'!F8</f>
        <v>n.e.</v>
      </c>
      <c r="F27" s="209"/>
      <c r="G27" s="210"/>
      <c r="H27" s="197"/>
      <c r="I27" s="107"/>
      <c r="K27" s="379"/>
      <c r="L27" s="379"/>
      <c r="M27" s="379"/>
      <c r="N27" s="379"/>
      <c r="O27" s="379"/>
      <c r="P27" s="379"/>
      <c r="Q27" s="379"/>
    </row>
    <row r="28" spans="1:17" ht="19.149999999999999" hidden="1" customHeight="1" outlineLevel="1" x14ac:dyDescent="0.4">
      <c r="A28" s="140"/>
      <c r="B28" s="392"/>
      <c r="C28" s="215"/>
      <c r="D28" s="273" t="s">
        <v>880</v>
      </c>
      <c r="E28" s="209" t="str">
        <f>'L5 - Transport logistics'!F11</f>
        <v>n.e.</v>
      </c>
      <c r="F28" s="209"/>
      <c r="G28" s="210"/>
      <c r="H28" s="197"/>
      <c r="I28" s="107"/>
      <c r="K28" s="379"/>
      <c r="L28" s="379"/>
      <c r="M28" s="379"/>
      <c r="N28" s="379"/>
      <c r="O28" s="379"/>
      <c r="P28" s="379"/>
      <c r="Q28" s="379"/>
    </row>
    <row r="29" spans="1:17" ht="26.45" hidden="1" customHeight="1" outlineLevel="1" x14ac:dyDescent="0.4">
      <c r="A29" s="140"/>
      <c r="B29" s="198" t="s">
        <v>442</v>
      </c>
      <c r="C29" s="215" t="s">
        <v>422</v>
      </c>
      <c r="D29" s="208" t="str">
        <f>'L5 - Transport logistics'!D13</f>
        <v>Is the cargo handled according to the requirements for transport? (5.2.1)</v>
      </c>
      <c r="E29" s="209" t="str">
        <f>'L5 - Transport logistics'!F14</f>
        <v>n.e.</v>
      </c>
      <c r="F29" s="209"/>
      <c r="G29" s="210"/>
      <c r="H29" s="197"/>
      <c r="I29" s="107"/>
      <c r="K29" s="379"/>
      <c r="L29" s="379"/>
      <c r="M29" s="379"/>
      <c r="N29" s="379"/>
      <c r="O29" s="379"/>
      <c r="P29" s="379"/>
      <c r="Q29" s="379"/>
    </row>
    <row r="30" spans="1:17" ht="26.45" hidden="1" customHeight="1" outlineLevel="1" x14ac:dyDescent="0.4">
      <c r="A30" s="140"/>
      <c r="B30" s="198" t="s">
        <v>443</v>
      </c>
      <c r="C30" s="215" t="s">
        <v>422</v>
      </c>
      <c r="D30" s="274" t="str">
        <f>'L5 - Transport logistics'!D16</f>
        <v>Are all relevant specifications for carrying out transports fully documented and included in instructions? (5.2.4)</v>
      </c>
      <c r="E30" s="275" t="str">
        <f>'L5 - Transport logistics'!F17</f>
        <v>n.e.</v>
      </c>
      <c r="F30" s="275"/>
      <c r="G30" s="276"/>
      <c r="H30" s="197"/>
      <c r="I30" s="107"/>
      <c r="K30" s="379"/>
      <c r="L30" s="379"/>
      <c r="M30" s="379"/>
      <c r="N30" s="379"/>
      <c r="O30" s="379"/>
      <c r="P30" s="379"/>
      <c r="Q30" s="379"/>
    </row>
    <row r="31" spans="1:17" ht="26.45" hidden="1" customHeight="1" outlineLevel="1" x14ac:dyDescent="0.4">
      <c r="A31" s="140"/>
      <c r="B31" s="205" t="s">
        <v>641</v>
      </c>
      <c r="C31" s="216" t="s">
        <v>422</v>
      </c>
      <c r="D31" s="217" t="str">
        <f>'L5 - Transport logistics'!D19</f>
        <v>Is there a suitable comprehensive emergency solution strategy? (5.4.1)</v>
      </c>
      <c r="E31" s="213" t="str">
        <f>'L5 - Transport logistics'!F20</f>
        <v>n.e.</v>
      </c>
      <c r="F31" s="213"/>
      <c r="G31" s="214"/>
      <c r="H31" s="197"/>
      <c r="I31" s="107"/>
      <c r="K31" s="379"/>
      <c r="L31" s="379"/>
      <c r="M31" s="379"/>
      <c r="N31" s="379"/>
      <c r="O31" s="379"/>
      <c r="P31" s="379"/>
      <c r="Q31" s="379"/>
    </row>
    <row r="32" spans="1:17" ht="18.75" collapsed="1" x14ac:dyDescent="0.4">
      <c r="A32" s="140"/>
      <c r="B32" s="192">
        <v>6</v>
      </c>
      <c r="C32" s="193"/>
      <c r="D32" s="194" t="s">
        <v>444</v>
      </c>
      <c r="E32" s="207">
        <f>SUM(E33:E51)</f>
        <v>0</v>
      </c>
      <c r="F32" s="207">
        <f>'L6 -  In-house logistics'!D61*10</f>
        <v>0</v>
      </c>
      <c r="G32" s="196" t="str">
        <f>'L6 -  In-house logistics'!F61</f>
        <v>n.e.</v>
      </c>
      <c r="H32" s="197"/>
      <c r="I32" s="107"/>
      <c r="K32" s="379"/>
      <c r="L32" s="379"/>
      <c r="M32" s="379"/>
      <c r="N32" s="379"/>
      <c r="O32" s="379"/>
      <c r="P32" s="379"/>
      <c r="Q32" s="379"/>
    </row>
    <row r="33" spans="1:17" ht="26.45" hidden="1" customHeight="1" outlineLevel="1" x14ac:dyDescent="0.4">
      <c r="A33" s="140"/>
      <c r="B33" s="198" t="s">
        <v>445</v>
      </c>
      <c r="C33" s="215" t="s">
        <v>422</v>
      </c>
      <c r="D33" s="208" t="str">
        <f>'L6 -  In-house logistics'!D7</f>
        <v>Is the right order data prepared and processed in in-house logistics? (6.1.3)</v>
      </c>
      <c r="E33" s="209" t="str">
        <f>'L6 -  In-house logistics'!F8</f>
        <v>n.e.</v>
      </c>
      <c r="F33" s="209"/>
      <c r="G33" s="210"/>
      <c r="H33" s="197"/>
      <c r="I33" s="107"/>
      <c r="K33" s="379"/>
      <c r="L33" s="379"/>
      <c r="M33" s="379"/>
      <c r="N33" s="379"/>
      <c r="O33" s="379"/>
      <c r="P33" s="379"/>
      <c r="Q33" s="379"/>
    </row>
    <row r="34" spans="1:17" ht="26.45" hidden="1" customHeight="1" outlineLevel="1" x14ac:dyDescent="0.4">
      <c r="A34" s="140"/>
      <c r="B34" s="198" t="s">
        <v>446</v>
      </c>
      <c r="C34" s="215" t="s">
        <v>422</v>
      </c>
      <c r="D34" s="208" t="str">
        <f>'L6 -  In-house logistics'!D10</f>
        <v>Are all relevant specifications for providing logistical services recorded and included in instructions? (6.2.1)</v>
      </c>
      <c r="E34" s="209" t="str">
        <f>'L6 -  In-house logistics'!F11</f>
        <v>n.e.</v>
      </c>
      <c r="F34" s="209"/>
      <c r="G34" s="210"/>
      <c r="H34" s="197"/>
      <c r="I34" s="107"/>
      <c r="K34" s="379"/>
      <c r="L34" s="379"/>
      <c r="M34" s="379"/>
      <c r="N34" s="379"/>
      <c r="O34" s="379"/>
      <c r="P34" s="379"/>
      <c r="Q34" s="379"/>
    </row>
    <row r="35" spans="1:17" ht="26.45" hidden="1" customHeight="1" outlineLevel="1" x14ac:dyDescent="0.4">
      <c r="A35" s="140"/>
      <c r="B35" s="198" t="s">
        <v>447</v>
      </c>
      <c r="C35" s="215" t="s">
        <v>422</v>
      </c>
      <c r="D35" s="208" t="str">
        <f>'L6 -  In-house logistics'!D13</f>
        <v>Do the defined instructions contain the necessary checks? (6.2.3)</v>
      </c>
      <c r="E35" s="209" t="str">
        <f>'L6 -  In-house logistics'!F14</f>
        <v>n.e.</v>
      </c>
      <c r="F35" s="209"/>
      <c r="G35" s="210"/>
      <c r="H35" s="197"/>
      <c r="I35" s="107"/>
      <c r="K35" s="379"/>
      <c r="L35" s="379"/>
      <c r="M35" s="379"/>
      <c r="N35" s="379"/>
      <c r="O35" s="379"/>
      <c r="P35" s="379"/>
      <c r="Q35" s="379"/>
    </row>
    <row r="36" spans="1:17" ht="39.6" hidden="1" customHeight="1" outlineLevel="1" x14ac:dyDescent="0.4">
      <c r="A36" s="140"/>
      <c r="B36" s="198" t="s">
        <v>448</v>
      </c>
      <c r="C36" s="215" t="s">
        <v>422</v>
      </c>
      <c r="D36" s="208" t="str">
        <f>'L6 -  In-house logistics'!D16</f>
        <v>Are potentially faulty and/or faulty goods or logistical processes identified and measures taken? (6.2.4)</v>
      </c>
      <c r="E36" s="209" t="str">
        <f>'L6 -  In-house logistics'!F17</f>
        <v>n.e.</v>
      </c>
      <c r="F36" s="209"/>
      <c r="G36" s="210"/>
      <c r="H36" s="197"/>
      <c r="I36" s="107"/>
      <c r="K36" s="379"/>
      <c r="L36" s="379"/>
      <c r="M36" s="379"/>
      <c r="N36" s="379"/>
      <c r="O36" s="379"/>
      <c r="P36" s="379"/>
      <c r="Q36" s="379"/>
    </row>
    <row r="37" spans="1:17" ht="39.6" hidden="1" customHeight="1" outlineLevel="1" x14ac:dyDescent="0.4">
      <c r="A37" s="140"/>
      <c r="B37" s="198" t="s">
        <v>449</v>
      </c>
      <c r="C37" s="215"/>
      <c r="D37" s="208" t="str">
        <f>'L6 -  In-house logistics'!D19</f>
        <v>Is the flow of materials and parts secured against mixing/wrong items? (6.2.5)</v>
      </c>
      <c r="E37" s="209" t="str">
        <f>'L6 -  In-house logistics'!F20</f>
        <v>n.e.</v>
      </c>
      <c r="F37" s="209"/>
      <c r="G37" s="210"/>
      <c r="H37" s="197"/>
      <c r="I37" s="107"/>
      <c r="K37" s="379"/>
      <c r="L37" s="379"/>
      <c r="M37" s="379"/>
      <c r="N37" s="379"/>
      <c r="O37" s="379"/>
      <c r="P37" s="379"/>
      <c r="Q37" s="379"/>
    </row>
    <row r="38" spans="1:17" ht="26.45" hidden="1" customHeight="1" outlineLevel="1" x14ac:dyDescent="0.4">
      <c r="A38" s="140"/>
      <c r="B38" s="392" t="s">
        <v>450</v>
      </c>
      <c r="C38" s="393" t="s">
        <v>422</v>
      </c>
      <c r="D38" s="208" t="str">
        <f>'L6 -  In-house logistics'!D22</f>
        <v>Have processes been established for controlling and monitoring the material flow? (6.2.6)</v>
      </c>
      <c r="E38" s="207"/>
      <c r="F38" s="207"/>
      <c r="G38" s="330"/>
      <c r="H38" s="197"/>
      <c r="I38" s="107"/>
      <c r="K38" s="379"/>
      <c r="L38" s="379"/>
      <c r="M38" s="379"/>
      <c r="N38" s="379"/>
      <c r="O38" s="379"/>
      <c r="P38" s="379"/>
      <c r="Q38" s="379"/>
    </row>
    <row r="39" spans="1:17" ht="26.45" hidden="1" customHeight="1" outlineLevel="1" x14ac:dyDescent="0.4">
      <c r="A39" s="140"/>
      <c r="B39" s="392"/>
      <c r="C39" s="393"/>
      <c r="D39" s="273" t="s">
        <v>662</v>
      </c>
      <c r="E39" s="209" t="str">
        <f>'L6 -  In-house logistics'!F23</f>
        <v>n.e.</v>
      </c>
      <c r="F39" s="209"/>
      <c r="G39" s="210"/>
      <c r="H39" s="197"/>
      <c r="I39" s="107"/>
      <c r="K39" s="379"/>
      <c r="L39" s="379"/>
      <c r="M39" s="379"/>
      <c r="N39" s="379"/>
      <c r="O39" s="379"/>
      <c r="P39" s="379"/>
      <c r="Q39" s="379"/>
    </row>
    <row r="40" spans="1:17" ht="26.45" hidden="1" customHeight="1" outlineLevel="1" x14ac:dyDescent="0.4">
      <c r="A40" s="140"/>
      <c r="B40" s="392"/>
      <c r="C40" s="393"/>
      <c r="D40" s="273" t="s">
        <v>883</v>
      </c>
      <c r="E40" s="209" t="str">
        <f>'L6 -  In-house logistics'!F26</f>
        <v>n.e.</v>
      </c>
      <c r="F40" s="209"/>
      <c r="G40" s="210"/>
      <c r="H40" s="197"/>
      <c r="I40" s="107"/>
      <c r="K40" s="379"/>
      <c r="L40" s="379"/>
      <c r="M40" s="379"/>
      <c r="N40" s="379"/>
      <c r="O40" s="379"/>
      <c r="P40" s="379"/>
      <c r="Q40" s="379"/>
    </row>
    <row r="41" spans="1:17" ht="26.45" hidden="1" customHeight="1" outlineLevel="1" x14ac:dyDescent="0.4">
      <c r="A41" s="140"/>
      <c r="B41" s="392"/>
      <c r="C41" s="393"/>
      <c r="D41" s="273" t="s">
        <v>663</v>
      </c>
      <c r="E41" s="209" t="str">
        <f>'L6 -  In-house logistics'!F29</f>
        <v>n.e.</v>
      </c>
      <c r="F41" s="209"/>
      <c r="G41" s="210"/>
      <c r="H41" s="197"/>
      <c r="I41" s="107"/>
      <c r="K41" s="379"/>
      <c r="L41" s="379"/>
      <c r="M41" s="379"/>
      <c r="N41" s="379"/>
      <c r="O41" s="379"/>
      <c r="P41" s="379"/>
      <c r="Q41" s="379"/>
    </row>
    <row r="42" spans="1:17" ht="26.45" hidden="1" customHeight="1" outlineLevel="1" x14ac:dyDescent="0.4">
      <c r="A42" s="140"/>
      <c r="B42" s="198" t="s">
        <v>451</v>
      </c>
      <c r="C42" s="215"/>
      <c r="D42" s="208" t="str">
        <f>'L6 -  In-house logistics'!D31</f>
        <v>Have processes been established for controlling and monitoring the transport equipment (container)? (6.2.7)</v>
      </c>
      <c r="E42" s="209" t="str">
        <f>'L6 -  In-house logistics'!F32</f>
        <v>n.e.</v>
      </c>
      <c r="F42" s="209"/>
      <c r="G42" s="210"/>
      <c r="H42" s="197"/>
      <c r="I42" s="107"/>
      <c r="K42" s="379"/>
      <c r="L42" s="379"/>
      <c r="M42" s="379"/>
      <c r="N42" s="379"/>
      <c r="O42" s="379"/>
      <c r="P42" s="379"/>
      <c r="Q42" s="379"/>
    </row>
    <row r="43" spans="1:17" ht="39.6" hidden="1" customHeight="1" outlineLevel="1" x14ac:dyDescent="0.4">
      <c r="A43" s="140"/>
      <c r="B43" s="198" t="s">
        <v>452</v>
      </c>
      <c r="C43" s="215"/>
      <c r="D43" s="208" t="str">
        <f>'L6 -  In-house logistics'!D34</f>
        <v>Has a process been defined for continuous warehouse optimization, and are suitable optimization measures implemented? (6.2.8)</v>
      </c>
      <c r="E43" s="209" t="str">
        <f>'L6 -  In-house logistics'!F35</f>
        <v>n.e.</v>
      </c>
      <c r="F43" s="209"/>
      <c r="G43" s="210"/>
      <c r="H43" s="197"/>
      <c r="I43" s="107"/>
      <c r="K43" s="379"/>
      <c r="L43" s="379"/>
      <c r="M43" s="379"/>
      <c r="N43" s="379"/>
      <c r="O43" s="379"/>
      <c r="P43" s="379"/>
      <c r="Q43" s="379"/>
    </row>
    <row r="44" spans="1:17" ht="39.6" hidden="1" customHeight="1" outlineLevel="1" x14ac:dyDescent="0.4">
      <c r="A44" s="140"/>
      <c r="B44" s="198" t="s">
        <v>453</v>
      </c>
      <c r="C44" s="215" t="s">
        <v>422</v>
      </c>
      <c r="D44" s="208" t="str">
        <f>'L6 -  In-house logistics'!D37</f>
        <v>Are the materials stored/handled appropriately in order to preserve the product characteristics? (6.2.9)</v>
      </c>
      <c r="E44" s="209" t="str">
        <f>'L6 -  In-house logistics'!F38</f>
        <v>n.e.</v>
      </c>
      <c r="F44" s="209"/>
      <c r="G44" s="210"/>
      <c r="H44" s="197"/>
      <c r="I44" s="107"/>
      <c r="K44" s="379"/>
      <c r="L44" s="379"/>
      <c r="M44" s="379"/>
      <c r="N44" s="379"/>
      <c r="O44" s="379"/>
      <c r="P44" s="379"/>
      <c r="Q44" s="379"/>
    </row>
    <row r="45" spans="1:17" ht="26.45" hidden="1" customHeight="1" outlineLevel="1" x14ac:dyDescent="0.4">
      <c r="A45" s="140"/>
      <c r="B45" s="198" t="s">
        <v>454</v>
      </c>
      <c r="C45" s="215" t="s">
        <v>422</v>
      </c>
      <c r="D45" s="208" t="str">
        <f>'L6 -  In-house logistics'!D40</f>
        <v>Is there a suitable comprehensive emergency solution strategy? (6.4.1)</v>
      </c>
      <c r="E45" s="209" t="str">
        <f>'L6 -  In-house logistics'!F41</f>
        <v>n.e.</v>
      </c>
      <c r="F45" s="209"/>
      <c r="G45" s="210"/>
      <c r="H45" s="197"/>
      <c r="I45" s="107"/>
      <c r="K45" s="379"/>
      <c r="L45" s="379"/>
      <c r="M45" s="379"/>
      <c r="N45" s="379"/>
      <c r="O45" s="379"/>
      <c r="P45" s="379"/>
      <c r="Q45" s="379"/>
    </row>
    <row r="46" spans="1:17" ht="18" hidden="1" customHeight="1" outlineLevel="1" x14ac:dyDescent="0.4">
      <c r="A46" s="140"/>
      <c r="B46" s="198" t="s">
        <v>455</v>
      </c>
      <c r="C46" s="215" t="s">
        <v>422</v>
      </c>
      <c r="D46" s="208" t="str">
        <f>'L6 -  In-house logistics'!D43</f>
        <v>Is there a suitable pervasive IT infrastructure? (6.4.2)</v>
      </c>
      <c r="E46" s="209" t="str">
        <f>'L6 -  In-house logistics'!F44</f>
        <v>n.e.</v>
      </c>
      <c r="F46" s="209"/>
      <c r="G46" s="210"/>
      <c r="H46" s="197"/>
      <c r="I46" s="107"/>
      <c r="K46" s="379"/>
      <c r="L46" s="379"/>
      <c r="M46" s="379"/>
      <c r="N46" s="379"/>
      <c r="O46" s="379"/>
      <c r="P46" s="379"/>
      <c r="Q46" s="379"/>
    </row>
    <row r="47" spans="1:17" ht="39.6" hidden="1" customHeight="1" outlineLevel="1" x14ac:dyDescent="0.4">
      <c r="A47" s="140"/>
      <c r="B47" s="198" t="s">
        <v>456</v>
      </c>
      <c r="C47" s="215"/>
      <c r="D47" s="208" t="str">
        <f>'L6 -  In-house logistics'!D46</f>
        <v>Are the workstations set up in accordance with ergonomic, product-specific and safety principles? (6.4.3)</v>
      </c>
      <c r="E47" s="209" t="str">
        <f>'L6 -  In-house logistics'!F47</f>
        <v>n.e.</v>
      </c>
      <c r="F47" s="209"/>
      <c r="G47" s="210"/>
      <c r="H47" s="197"/>
      <c r="I47" s="107"/>
      <c r="K47" s="379"/>
      <c r="L47" s="379"/>
      <c r="M47" s="379"/>
      <c r="N47" s="379"/>
      <c r="O47" s="379"/>
      <c r="P47" s="379"/>
      <c r="Q47" s="379"/>
    </row>
    <row r="48" spans="1:17" ht="26.45" hidden="1" customHeight="1" outlineLevel="1" x14ac:dyDescent="0.4">
      <c r="A48" s="140"/>
      <c r="B48" s="198" t="s">
        <v>457</v>
      </c>
      <c r="C48" s="215" t="s">
        <v>422</v>
      </c>
      <c r="D48" s="208" t="str">
        <f>'L6 -  In-house logistics'!D49</f>
        <v>Is the logistical infrastructure capable of meeting the product and process-specific requirements? (6.4.4)</v>
      </c>
      <c r="E48" s="209" t="str">
        <f>'L6 -  In-house logistics'!F50</f>
        <v>n.e.</v>
      </c>
      <c r="F48" s="209"/>
      <c r="G48" s="210"/>
      <c r="H48" s="197"/>
      <c r="I48" s="107"/>
      <c r="K48" s="379"/>
      <c r="L48" s="379"/>
      <c r="M48" s="379"/>
      <c r="N48" s="379"/>
      <c r="O48" s="379"/>
      <c r="P48" s="379"/>
      <c r="Q48" s="379"/>
    </row>
    <row r="49" spans="1:17" ht="26.45" hidden="1" customHeight="1" outlineLevel="1" x14ac:dyDescent="0.4">
      <c r="A49" s="140"/>
      <c r="B49" s="198" t="s">
        <v>458</v>
      </c>
      <c r="C49" s="215"/>
      <c r="D49" s="208" t="str">
        <f>'L6 -  In-house logistics'!D52</f>
        <v>Is the equipment available at the right location and in the right time, quantity and quality? (6.4.5)</v>
      </c>
      <c r="E49" s="209" t="str">
        <f>'L6 -  In-house logistics'!F53</f>
        <v>n.e.</v>
      </c>
      <c r="F49" s="209"/>
      <c r="G49" s="210"/>
      <c r="H49" s="197"/>
      <c r="I49" s="107"/>
      <c r="K49" s="379"/>
      <c r="L49" s="379"/>
      <c r="M49" s="379"/>
      <c r="N49" s="379"/>
      <c r="O49" s="379"/>
      <c r="P49" s="379"/>
      <c r="Q49" s="379"/>
    </row>
    <row r="50" spans="1:17" ht="26.45" hidden="1" customHeight="1" outlineLevel="1" x14ac:dyDescent="0.4">
      <c r="A50" s="140"/>
      <c r="B50" s="198" t="s">
        <v>459</v>
      </c>
      <c r="C50" s="215"/>
      <c r="D50" s="208" t="str">
        <f>'L6 -  In-house logistics'!D55</f>
        <v>Is the availability of infrastructure and equipment ensured? (6.4.6)</v>
      </c>
      <c r="E50" s="209" t="str">
        <f>'L6 -  In-house logistics'!F56</f>
        <v>n.e.</v>
      </c>
      <c r="F50" s="209"/>
      <c r="G50" s="210"/>
      <c r="H50" s="197"/>
      <c r="I50" s="107"/>
      <c r="K50" s="379"/>
      <c r="L50" s="379"/>
      <c r="M50" s="379"/>
      <c r="N50" s="379"/>
      <c r="O50" s="379"/>
      <c r="P50" s="379"/>
      <c r="Q50" s="379"/>
    </row>
    <row r="51" spans="1:17" ht="26.45" hidden="1" customHeight="1" outlineLevel="1" x14ac:dyDescent="0.4">
      <c r="A51" s="140"/>
      <c r="B51" s="198" t="s">
        <v>460</v>
      </c>
      <c r="C51" s="215" t="s">
        <v>422</v>
      </c>
      <c r="D51" s="208" t="str">
        <f>'L6 -  In-house logistics'!D58</f>
        <v>Have suitable KPIs been defined in in-house logistics, including target values, and are they applied? (6.5.1)</v>
      </c>
      <c r="E51" s="209" t="str">
        <f>'L6 -  In-house logistics'!F59</f>
        <v>n.e.</v>
      </c>
      <c r="F51" s="209"/>
      <c r="G51" s="210"/>
      <c r="H51" s="197"/>
      <c r="I51" s="107"/>
      <c r="K51" s="379"/>
      <c r="L51" s="379"/>
      <c r="M51" s="379"/>
      <c r="N51" s="379"/>
      <c r="O51" s="379"/>
      <c r="P51" s="379"/>
      <c r="Q51" s="379"/>
    </row>
    <row r="52" spans="1:17" ht="18.75" collapsed="1" x14ac:dyDescent="0.4">
      <c r="A52" s="140"/>
      <c r="B52" s="192">
        <v>7</v>
      </c>
      <c r="C52" s="193"/>
      <c r="D52" s="194" t="s">
        <v>461</v>
      </c>
      <c r="E52" s="207">
        <f>SUM(E53:E56)</f>
        <v>0</v>
      </c>
      <c r="F52" s="207">
        <f>'L7 - Customer management'!D19*10</f>
        <v>0</v>
      </c>
      <c r="G52" s="196" t="str">
        <f>'L7 - Customer management'!F19</f>
        <v>n.e.</v>
      </c>
      <c r="H52" s="197"/>
      <c r="I52" s="107"/>
      <c r="K52" s="379"/>
      <c r="L52" s="379"/>
      <c r="M52" s="379"/>
      <c r="N52" s="379"/>
      <c r="O52" s="379"/>
      <c r="P52" s="379"/>
      <c r="Q52" s="379"/>
    </row>
    <row r="53" spans="1:17" ht="26.45" hidden="1" customHeight="1" outlineLevel="1" x14ac:dyDescent="0.4">
      <c r="A53" s="140"/>
      <c r="B53" s="198" t="s">
        <v>462</v>
      </c>
      <c r="C53" s="215" t="s">
        <v>422</v>
      </c>
      <c r="D53" s="208" t="str">
        <f>'L7 - Customer management'!D7</f>
        <v>Are all relevant specifications for customer management recorded and included in instructions? (7.2.1)</v>
      </c>
      <c r="E53" s="209" t="str">
        <f>'L7 - Customer management'!F8</f>
        <v>n.e.</v>
      </c>
      <c r="F53" s="209"/>
      <c r="G53" s="221"/>
      <c r="H53" s="197"/>
      <c r="I53" s="107"/>
      <c r="K53" s="379"/>
      <c r="L53" s="379"/>
      <c r="M53" s="379"/>
      <c r="N53" s="379"/>
      <c r="O53" s="379"/>
      <c r="P53" s="379"/>
      <c r="Q53" s="379"/>
    </row>
    <row r="54" spans="1:17" ht="26.45" hidden="1" customHeight="1" outlineLevel="1" x14ac:dyDescent="0.4">
      <c r="A54" s="140"/>
      <c r="B54" s="198" t="s">
        <v>463</v>
      </c>
      <c r="C54" s="215" t="s">
        <v>422</v>
      </c>
      <c r="D54" s="208" t="str">
        <f>'L7 - Customer management'!D10</f>
        <v>Does proactive communication take place on all levels? (7.2.2)</v>
      </c>
      <c r="E54" s="209" t="str">
        <f>'L7 - Customer management'!F11</f>
        <v>n.e.</v>
      </c>
      <c r="F54" s="209"/>
      <c r="G54" s="221"/>
      <c r="H54" s="197"/>
      <c r="I54" s="107"/>
      <c r="K54" s="379"/>
      <c r="L54" s="379"/>
      <c r="M54" s="379"/>
      <c r="N54" s="379"/>
      <c r="O54" s="379"/>
      <c r="P54" s="379"/>
      <c r="Q54" s="379"/>
    </row>
    <row r="55" spans="1:17" ht="27.6" hidden="1" customHeight="1" outlineLevel="1" x14ac:dyDescent="0.4">
      <c r="A55" s="140"/>
      <c r="B55" s="198" t="s">
        <v>464</v>
      </c>
      <c r="C55" s="215"/>
      <c r="D55" s="208" t="s">
        <v>465</v>
      </c>
      <c r="E55" s="209" t="str">
        <f>'L7 - Customer management'!F14</f>
        <v>n.e.</v>
      </c>
      <c r="F55" s="209"/>
      <c r="G55" s="221"/>
      <c r="H55" s="197"/>
      <c r="I55" s="107"/>
      <c r="K55" s="379"/>
      <c r="L55" s="379"/>
      <c r="M55" s="379"/>
      <c r="N55" s="379"/>
      <c r="O55" s="379"/>
      <c r="P55" s="379"/>
      <c r="Q55" s="379"/>
    </row>
    <row r="56" spans="1:17" ht="33" hidden="1" customHeight="1" outlineLevel="1" x14ac:dyDescent="0.4">
      <c r="A56" s="140"/>
      <c r="B56" s="198" t="s">
        <v>466</v>
      </c>
      <c r="C56" s="215" t="s">
        <v>422</v>
      </c>
      <c r="D56" s="208" t="str">
        <f>'L7 - Customer management'!D16</f>
        <v xml:space="preserve">Have suitable KPIs been defined for customer management, including target values, and are they applied? (7.5.1)	</v>
      </c>
      <c r="E56" s="222" t="str">
        <f>'L7 - Customer management'!F17</f>
        <v>n.e.</v>
      </c>
      <c r="F56" s="222"/>
      <c r="G56" s="221"/>
      <c r="H56" s="197"/>
      <c r="I56" s="107"/>
      <c r="K56" s="379"/>
      <c r="L56" s="379"/>
      <c r="M56" s="379"/>
      <c r="N56" s="379"/>
      <c r="O56" s="379"/>
      <c r="P56" s="379"/>
      <c r="Q56" s="379"/>
    </row>
    <row r="57" spans="1:17" ht="18.75" collapsed="1" x14ac:dyDescent="0.4">
      <c r="A57" s="140"/>
      <c r="B57" s="223"/>
      <c r="C57" s="223"/>
      <c r="D57" s="223"/>
      <c r="E57" s="224"/>
      <c r="F57" s="224"/>
      <c r="G57" s="224"/>
      <c r="H57" s="197"/>
      <c r="I57" s="107"/>
      <c r="K57" s="379"/>
      <c r="L57" s="379"/>
      <c r="M57" s="379"/>
      <c r="N57" s="379"/>
      <c r="O57" s="379"/>
      <c r="P57" s="379"/>
      <c r="Q57" s="379"/>
    </row>
    <row r="58" spans="1:17" ht="18.75" x14ac:dyDescent="0.4">
      <c r="A58" s="140"/>
      <c r="B58" s="223"/>
      <c r="C58" s="223"/>
      <c r="D58" s="223"/>
      <c r="E58" s="224"/>
      <c r="F58" s="224"/>
      <c r="G58" s="224"/>
      <c r="H58" s="197"/>
      <c r="I58" s="107"/>
      <c r="K58" s="379"/>
      <c r="L58" s="379"/>
      <c r="M58" s="379"/>
      <c r="N58" s="379"/>
      <c r="O58" s="379"/>
      <c r="P58" s="379"/>
      <c r="Q58" s="379"/>
    </row>
    <row r="59" spans="1:17" ht="28.5" customHeight="1" x14ac:dyDescent="0.4">
      <c r="A59" s="140"/>
      <c r="B59" s="199"/>
      <c r="C59" s="199"/>
      <c r="D59" s="199"/>
      <c r="E59" s="225" t="s">
        <v>467</v>
      </c>
      <c r="F59" s="225"/>
      <c r="G59" s="226" t="str">
        <f>Source!B39</f>
        <v>n.e.</v>
      </c>
      <c r="H59" s="197"/>
      <c r="I59" s="107"/>
      <c r="K59" s="379"/>
      <c r="L59" s="379"/>
      <c r="M59" s="379"/>
      <c r="N59" s="379"/>
      <c r="O59" s="379"/>
      <c r="P59" s="379"/>
      <c r="Q59" s="379"/>
    </row>
    <row r="60" spans="1:17" ht="11.45" customHeight="1" x14ac:dyDescent="0.4">
      <c r="A60" s="140"/>
      <c r="B60" s="89"/>
      <c r="C60" s="89"/>
      <c r="D60" s="89"/>
      <c r="E60" s="227"/>
      <c r="F60" s="227"/>
      <c r="G60" s="227"/>
      <c r="H60" s="197"/>
      <c r="I60" s="107"/>
      <c r="K60" s="379"/>
      <c r="L60" s="379"/>
      <c r="M60" s="379"/>
      <c r="N60" s="379"/>
      <c r="O60" s="379"/>
      <c r="P60" s="379"/>
      <c r="Q60" s="379"/>
    </row>
    <row r="61" spans="1:17" ht="9.6" customHeight="1" x14ac:dyDescent="0.4">
      <c r="A61" s="170"/>
      <c r="B61" s="228"/>
      <c r="C61" s="228"/>
      <c r="D61" s="228"/>
      <c r="E61" s="229"/>
      <c r="F61" s="229"/>
      <c r="G61" s="229"/>
      <c r="H61" s="230"/>
      <c r="I61" s="107"/>
      <c r="K61" s="379"/>
      <c r="L61" s="379"/>
      <c r="M61" s="379"/>
      <c r="N61" s="379"/>
      <c r="O61" s="379"/>
      <c r="P61" s="379"/>
      <c r="Q61" s="379"/>
    </row>
    <row r="62" spans="1:17" ht="32.450000000000003" customHeight="1" x14ac:dyDescent="0.4">
      <c r="A62" s="140"/>
      <c r="B62" s="231"/>
      <c r="C62" s="383" t="s">
        <v>468</v>
      </c>
      <c r="D62" s="383"/>
      <c r="E62" s="23"/>
      <c r="F62" s="380" t="str">
        <f>IF(Source!F35="No result (too many questions n.e.)","No result!",IF(G59&lt;80%,"C",IF(Source!F33="C","C",IF(Source!F33="B","B",IF(G59&gt;=90%,"A","B")))))</f>
        <v>No result!</v>
      </c>
      <c r="G62" s="380"/>
      <c r="H62" s="197"/>
      <c r="I62" s="107"/>
      <c r="K62" s="379"/>
      <c r="L62" s="379"/>
      <c r="M62" s="379"/>
      <c r="N62" s="379"/>
      <c r="O62" s="379"/>
      <c r="P62" s="379"/>
      <c r="Q62" s="379"/>
    </row>
    <row r="63" spans="1:17" ht="17.45" customHeight="1" x14ac:dyDescent="0.4">
      <c r="A63" s="140"/>
      <c r="B63" s="89"/>
      <c r="C63" s="89"/>
      <c r="D63" s="257"/>
      <c r="E63" s="89"/>
      <c r="F63" s="384"/>
      <c r="G63" s="384"/>
      <c r="H63" s="197"/>
      <c r="I63" s="258"/>
      <c r="K63" s="379"/>
      <c r="L63" s="379"/>
      <c r="M63" s="379"/>
      <c r="N63" s="379"/>
      <c r="O63" s="379"/>
      <c r="P63" s="379"/>
      <c r="Q63" s="379"/>
    </row>
    <row r="64" spans="1:17" ht="25.9" customHeight="1" x14ac:dyDescent="0.4">
      <c r="A64" s="140"/>
      <c r="B64" s="89"/>
      <c r="C64" s="89"/>
      <c r="D64" s="257"/>
      <c r="E64" s="89"/>
      <c r="F64" s="385" t="str">
        <f>IF(F62="No result!","",IF(OR(Source!B44="Downgrading rule applies",Source!C44="Downgrading rule applies"),"Downgrading rule applies",""))</f>
        <v/>
      </c>
      <c r="G64" s="385"/>
      <c r="H64" s="386"/>
      <c r="I64" s="107"/>
      <c r="K64" s="379"/>
      <c r="L64" s="379"/>
      <c r="M64" s="379"/>
      <c r="N64" s="379"/>
      <c r="O64" s="379"/>
      <c r="P64" s="379"/>
      <c r="Q64" s="379"/>
    </row>
    <row r="65" spans="1:17" ht="22.9" customHeight="1" x14ac:dyDescent="0.4">
      <c r="A65" s="140"/>
      <c r="B65" s="89"/>
      <c r="C65" s="89"/>
      <c r="D65" s="257"/>
      <c r="E65" s="89"/>
      <c r="F65" s="387" t="str">
        <f>IF(F62="No result!","",Source!F45)</f>
        <v/>
      </c>
      <c r="G65" s="387"/>
      <c r="H65" s="388"/>
      <c r="I65" s="107"/>
      <c r="K65" s="379"/>
      <c r="L65" s="379"/>
      <c r="M65" s="379"/>
      <c r="N65" s="379"/>
      <c r="O65" s="379"/>
      <c r="P65" s="379"/>
      <c r="Q65" s="379"/>
    </row>
    <row r="66" spans="1:17" ht="19.899999999999999" customHeight="1" x14ac:dyDescent="0.4">
      <c r="A66" s="140"/>
      <c r="B66" s="89"/>
      <c r="C66" s="89"/>
      <c r="D66" s="257"/>
      <c r="E66" s="89"/>
      <c r="F66" s="387" t="str">
        <f>IF(F62="No result!","",Source!F46)</f>
        <v/>
      </c>
      <c r="G66" s="387"/>
      <c r="H66" s="388"/>
      <c r="I66" s="107"/>
      <c r="K66" s="379"/>
      <c r="L66" s="379"/>
      <c r="M66" s="379"/>
      <c r="N66" s="379"/>
      <c r="O66" s="379"/>
      <c r="P66" s="379"/>
      <c r="Q66" s="379"/>
    </row>
    <row r="67" spans="1:17" ht="20.45" customHeight="1" x14ac:dyDescent="0.4">
      <c r="A67" s="140"/>
      <c r="B67" s="89"/>
      <c r="C67" s="89"/>
      <c r="D67" s="257"/>
      <c r="E67" s="89"/>
      <c r="F67" s="387" t="str">
        <f>IF(F62="No result!","",Source!F47)</f>
        <v/>
      </c>
      <c r="G67" s="387"/>
      <c r="H67" s="388"/>
      <c r="I67" s="107"/>
      <c r="K67" s="379"/>
      <c r="L67" s="379"/>
      <c r="M67" s="379"/>
      <c r="N67" s="379"/>
      <c r="O67" s="379"/>
      <c r="P67" s="379"/>
      <c r="Q67" s="379"/>
    </row>
    <row r="68" spans="1:17" ht="27.6" customHeight="1" x14ac:dyDescent="0.4">
      <c r="A68" s="145"/>
      <c r="B68" s="232"/>
      <c r="C68" s="232"/>
      <c r="D68" s="233"/>
      <c r="E68" s="232"/>
      <c r="F68" s="389" t="str">
        <f>IF(F62="No result!","",Source!F48)</f>
        <v/>
      </c>
      <c r="G68" s="389"/>
      <c r="H68" s="390"/>
      <c r="I68" s="107"/>
      <c r="K68" s="379"/>
      <c r="L68" s="379"/>
      <c r="M68" s="379"/>
      <c r="N68" s="379"/>
      <c r="O68" s="379"/>
      <c r="P68" s="379"/>
      <c r="Q68" s="379"/>
    </row>
    <row r="69" spans="1:17" ht="34.15" customHeight="1" x14ac:dyDescent="0.7">
      <c r="A69" s="140"/>
      <c r="B69" s="231"/>
      <c r="C69" s="381" t="s">
        <v>889</v>
      </c>
      <c r="D69" s="381"/>
      <c r="E69" s="231"/>
      <c r="F69" s="231"/>
      <c r="G69" s="235"/>
      <c r="H69" s="197"/>
      <c r="I69" s="107"/>
      <c r="K69" s="379"/>
      <c r="L69" s="379"/>
      <c r="M69" s="379"/>
      <c r="N69" s="379"/>
      <c r="O69" s="379"/>
      <c r="P69" s="379"/>
      <c r="Q69" s="379"/>
    </row>
    <row r="70" spans="1:17" ht="120.75" customHeight="1" x14ac:dyDescent="0.4">
      <c r="A70" s="140"/>
      <c r="B70" s="231"/>
      <c r="C70" s="382"/>
      <c r="D70" s="382"/>
      <c r="E70" s="382"/>
      <c r="F70" s="382"/>
      <c r="G70" s="382"/>
      <c r="H70" s="197"/>
      <c r="I70" s="107"/>
      <c r="J70" s="23"/>
      <c r="K70" s="260"/>
    </row>
    <row r="71" spans="1:17" ht="12" customHeight="1" x14ac:dyDescent="0.4">
      <c r="A71" s="140"/>
      <c r="B71" s="89"/>
      <c r="C71" s="89"/>
      <c r="D71" s="236"/>
      <c r="E71" s="89"/>
      <c r="F71" s="89"/>
      <c r="G71" s="89"/>
      <c r="H71" s="197"/>
      <c r="I71" s="107"/>
    </row>
    <row r="72" spans="1:17" ht="24" customHeight="1" x14ac:dyDescent="0.45">
      <c r="A72" s="170"/>
      <c r="B72" s="237"/>
      <c r="C72" s="394" t="s">
        <v>469</v>
      </c>
      <c r="D72" s="394"/>
      <c r="E72" s="238"/>
      <c r="F72" s="238"/>
      <c r="G72" s="238"/>
      <c r="H72" s="230"/>
      <c r="I72" s="107"/>
    </row>
    <row r="73" spans="1:17" ht="18.75" x14ac:dyDescent="0.4">
      <c r="A73" s="140"/>
      <c r="B73" s="231"/>
      <c r="C73" s="231"/>
      <c r="D73" s="239" t="s">
        <v>470</v>
      </c>
      <c r="E73" s="240"/>
      <c r="F73" s="240"/>
      <c r="G73" s="241">
        <v>0.9</v>
      </c>
      <c r="H73" s="197"/>
      <c r="I73" s="107"/>
    </row>
    <row r="74" spans="1:17" ht="18.75" x14ac:dyDescent="0.4">
      <c r="A74" s="140"/>
      <c r="B74" s="231"/>
      <c r="C74" s="231"/>
      <c r="D74" s="239" t="s">
        <v>471</v>
      </c>
      <c r="E74" s="23"/>
      <c r="F74" s="242" t="s">
        <v>472</v>
      </c>
      <c r="G74" s="241">
        <v>0.8</v>
      </c>
      <c r="H74" s="197"/>
      <c r="I74" s="107"/>
    </row>
    <row r="75" spans="1:17" ht="17.45" customHeight="1" x14ac:dyDescent="0.4">
      <c r="A75" s="140"/>
      <c r="B75" s="231"/>
      <c r="C75" s="231"/>
      <c r="D75" s="239" t="s">
        <v>473</v>
      </c>
      <c r="E75" s="240"/>
      <c r="F75" s="240"/>
      <c r="G75" s="243">
        <v>0.8</v>
      </c>
      <c r="H75" s="197"/>
      <c r="I75" s="107"/>
    </row>
    <row r="76" spans="1:17" ht="18.75" x14ac:dyDescent="0.4">
      <c r="A76" s="145"/>
      <c r="B76" s="232"/>
      <c r="C76" s="232"/>
      <c r="D76" s="232"/>
      <c r="E76" s="232"/>
      <c r="F76" s="232"/>
      <c r="G76" s="232"/>
      <c r="H76" s="234"/>
      <c r="I76" s="107"/>
    </row>
    <row r="77" spans="1:17" x14ac:dyDescent="0.4">
      <c r="B77" s="45"/>
      <c r="G77" s="45"/>
    </row>
    <row r="78" spans="1:17" x14ac:dyDescent="0.4">
      <c r="B78" s="45"/>
      <c r="G78" s="45"/>
    </row>
  </sheetData>
  <mergeCells count="18">
    <mergeCell ref="B26:B28"/>
    <mergeCell ref="B38:B41"/>
    <mergeCell ref="C38:C41"/>
    <mergeCell ref="C72:D72"/>
    <mergeCell ref="A1:H1"/>
    <mergeCell ref="B12:B14"/>
    <mergeCell ref="K4:Q69"/>
    <mergeCell ref="F62:G62"/>
    <mergeCell ref="C69:D69"/>
    <mergeCell ref="C70:G70"/>
    <mergeCell ref="C62:D62"/>
    <mergeCell ref="F63:G63"/>
    <mergeCell ref="F64:H64"/>
    <mergeCell ref="F65:H65"/>
    <mergeCell ref="F66:H66"/>
    <mergeCell ref="F67:H67"/>
    <mergeCell ref="F68:H68"/>
    <mergeCell ref="C12:C14"/>
  </mergeCells>
  <phoneticPr fontId="8" type="noConversion"/>
  <conditionalFormatting sqref="F62">
    <cfRule type="containsText" dxfId="244" priority="1" operator="containsText" text="No result!">
      <formula>NOT(ISERROR(SEARCH("No result!",F62)))</formula>
    </cfRule>
    <cfRule type="containsText" dxfId="243" priority="2" operator="containsText" text="B">
      <formula>NOT(ISERROR(SEARCH("B",F62)))</formula>
    </cfRule>
    <cfRule type="containsText" dxfId="242" priority="3" operator="containsText" text="A">
      <formula>NOT(ISERROR(SEARCH("A",F62)))</formula>
    </cfRule>
    <cfRule type="containsText" dxfId="241" priority="4" operator="containsText" text="C">
      <formula>NOT(ISERROR(SEARCH("C",F62)))</formula>
    </cfRule>
  </conditionalFormatting>
  <pageMargins left="0.70866141732283472" right="0.70866141732283472" top="0.78740157480314965" bottom="0.78740157480314965" header="0.31496062992125984" footer="0.31496062992125984"/>
  <pageSetup scale="81" fitToHeight="0" orientation="portrait" r:id="rId1"/>
  <ignoredErrors>
    <ignoredError sqref="D19"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6A782-2805-43FC-8DDD-48C17FD1AE86}">
  <sheetPr codeName="Tabelle2">
    <pageSetUpPr fitToPage="1"/>
  </sheetPr>
  <dimension ref="A1:G31"/>
  <sheetViews>
    <sheetView zoomScale="70" zoomScaleNormal="70" workbookViewId="0">
      <selection activeCell="F20" sqref="F20:F21"/>
    </sheetView>
  </sheetViews>
  <sheetFormatPr baseColWidth="10" defaultColWidth="10.88671875" defaultRowHeight="18" x14ac:dyDescent="0.4"/>
  <cols>
    <col min="1" max="1" width="4.6640625" style="22" customWidth="1"/>
    <col min="2" max="3" width="3.88671875" style="5" customWidth="1"/>
    <col min="4" max="4" width="83.6640625" style="5" customWidth="1"/>
    <col min="5" max="5" width="58.5546875" style="5" customWidth="1"/>
    <col min="6" max="6" width="27.44140625" style="5" customWidth="1"/>
    <col min="7" max="7" width="5.5546875" style="5" customWidth="1"/>
    <col min="8" max="16384" width="10.88671875" style="5"/>
  </cols>
  <sheetData>
    <row r="1" spans="1:7" ht="38.25" customHeight="1" x14ac:dyDescent="0.4">
      <c r="A1" s="403" t="s">
        <v>532</v>
      </c>
      <c r="B1" s="403"/>
      <c r="C1" s="403"/>
      <c r="D1" s="403"/>
      <c r="E1" s="403"/>
      <c r="F1" s="403"/>
      <c r="G1" s="404"/>
    </row>
    <row r="2" spans="1:7" ht="15" customHeight="1" x14ac:dyDescent="0.4">
      <c r="A2" s="405"/>
      <c r="B2" s="405"/>
      <c r="C2" s="405"/>
      <c r="D2" s="405"/>
      <c r="E2" s="405"/>
      <c r="F2" s="405"/>
      <c r="G2" s="406"/>
    </row>
    <row r="3" spans="1:7" ht="15.75" customHeight="1" x14ac:dyDescent="0.4">
      <c r="A3" s="407" t="s">
        <v>416</v>
      </c>
      <c r="B3" s="412" t="s">
        <v>474</v>
      </c>
      <c r="C3" s="120"/>
      <c r="D3" s="409" t="s">
        <v>631</v>
      </c>
      <c r="E3" s="411" t="s">
        <v>475</v>
      </c>
      <c r="F3" s="418" t="s">
        <v>476</v>
      </c>
      <c r="G3" s="414" t="s">
        <v>477</v>
      </c>
    </row>
    <row r="4" spans="1:7" ht="33.6" customHeight="1" x14ac:dyDescent="0.4">
      <c r="A4" s="407"/>
      <c r="B4" s="412"/>
      <c r="C4" s="120"/>
      <c r="D4" s="410"/>
      <c r="E4" s="410"/>
      <c r="F4" s="419"/>
      <c r="G4" s="414"/>
    </row>
    <row r="5" spans="1:7" ht="0.6" customHeight="1" x14ac:dyDescent="0.4">
      <c r="A5" s="407"/>
      <c r="B5" s="412"/>
      <c r="C5" s="120"/>
      <c r="D5" s="410"/>
      <c r="E5" s="410"/>
      <c r="F5" s="419"/>
      <c r="G5" s="414"/>
    </row>
    <row r="6" spans="1:7" ht="12.6" customHeight="1" x14ac:dyDescent="0.4">
      <c r="A6" s="408"/>
      <c r="B6" s="413"/>
      <c r="C6" s="283"/>
      <c r="D6" s="410"/>
      <c r="E6" s="410"/>
      <c r="F6" s="419"/>
      <c r="G6" s="414"/>
    </row>
    <row r="7" spans="1:7" ht="24.75" x14ac:dyDescent="0.4">
      <c r="A7" s="420" t="s">
        <v>421</v>
      </c>
      <c r="B7" s="399" t="s">
        <v>422</v>
      </c>
      <c r="C7" s="290"/>
      <c r="D7" s="280" t="s">
        <v>478</v>
      </c>
      <c r="E7" s="279"/>
      <c r="F7" s="296" t="s">
        <v>108</v>
      </c>
      <c r="G7" s="158"/>
    </row>
    <row r="8" spans="1:7" ht="108.6" customHeight="1" x14ac:dyDescent="0.4">
      <c r="A8" s="420"/>
      <c r="B8" s="399"/>
      <c r="C8" s="277"/>
      <c r="D8" s="400" t="s">
        <v>674</v>
      </c>
      <c r="E8" s="424" t="s">
        <v>678</v>
      </c>
      <c r="F8" s="423" t="str">
        <f>_xlfn.XLOOKUP(F7,BewertungsListe,Source!$C$60:$C$65)</f>
        <v>n.e.</v>
      </c>
      <c r="G8" s="437" t="s">
        <v>479</v>
      </c>
    </row>
    <row r="9" spans="1:7" x14ac:dyDescent="0.4">
      <c r="A9" s="285"/>
      <c r="B9" s="288"/>
      <c r="C9" s="289"/>
      <c r="D9" s="400"/>
      <c r="E9" s="424"/>
      <c r="F9" s="423"/>
      <c r="G9" s="437"/>
    </row>
    <row r="10" spans="1:7" ht="24.75" x14ac:dyDescent="0.4">
      <c r="A10" s="398" t="s">
        <v>423</v>
      </c>
      <c r="B10" s="399" t="s">
        <v>422</v>
      </c>
      <c r="C10" s="290"/>
      <c r="D10" s="401" t="s">
        <v>480</v>
      </c>
      <c r="E10" s="402"/>
      <c r="F10" s="296" t="s">
        <v>108</v>
      </c>
      <c r="G10" s="158"/>
    </row>
    <row r="11" spans="1:7" ht="90" customHeight="1" x14ac:dyDescent="0.4">
      <c r="A11" s="398"/>
      <c r="B11" s="399"/>
      <c r="C11" s="277"/>
      <c r="D11" s="400" t="s">
        <v>642</v>
      </c>
      <c r="E11" s="424" t="s">
        <v>679</v>
      </c>
      <c r="F11" s="421" t="str">
        <f>_xlfn.XLOOKUP(F10,BewertungsListe,Source!$C$60:$C$65)</f>
        <v>n.e.</v>
      </c>
      <c r="G11" s="436" t="s">
        <v>479</v>
      </c>
    </row>
    <row r="12" spans="1:7" ht="24.75" x14ac:dyDescent="0.4">
      <c r="A12" s="285"/>
      <c r="B12" s="286"/>
      <c r="C12" s="287"/>
      <c r="D12" s="400"/>
      <c r="E12" s="424"/>
      <c r="F12" s="421"/>
      <c r="G12" s="436"/>
    </row>
    <row r="13" spans="1:7" ht="24.75" x14ac:dyDescent="0.4">
      <c r="A13" s="398" t="s">
        <v>424</v>
      </c>
      <c r="B13" s="399"/>
      <c r="C13" s="281"/>
      <c r="D13" s="401" t="s">
        <v>481</v>
      </c>
      <c r="E13" s="402"/>
      <c r="F13" s="296" t="s">
        <v>108</v>
      </c>
      <c r="G13" s="158"/>
    </row>
    <row r="14" spans="1:7" ht="108" customHeight="1" x14ac:dyDescent="0.4">
      <c r="A14" s="398"/>
      <c r="B14" s="399"/>
      <c r="C14" s="294"/>
      <c r="D14" s="400" t="s">
        <v>885</v>
      </c>
      <c r="E14" s="424" t="s">
        <v>680</v>
      </c>
      <c r="F14" s="421" t="str">
        <f>_xlfn.XLOOKUP(F13,BewertungsListe,Source!$C$60:$C$65)</f>
        <v>n.e.</v>
      </c>
      <c r="G14" s="436" t="s">
        <v>479</v>
      </c>
    </row>
    <row r="15" spans="1:7" ht="24.75" x14ac:dyDescent="0.4">
      <c r="A15" s="282"/>
      <c r="B15" s="284"/>
      <c r="C15" s="278"/>
      <c r="D15" s="422"/>
      <c r="E15" s="427"/>
      <c r="F15" s="421"/>
      <c r="G15" s="436"/>
    </row>
    <row r="16" spans="1:7" ht="24.75" x14ac:dyDescent="0.4">
      <c r="A16" s="415" t="s">
        <v>425</v>
      </c>
      <c r="B16" s="417" t="s">
        <v>422</v>
      </c>
      <c r="C16" s="290"/>
      <c r="D16" s="425" t="s">
        <v>482</v>
      </c>
      <c r="E16" s="426"/>
      <c r="F16" s="296" t="s">
        <v>108</v>
      </c>
      <c r="G16" s="158"/>
    </row>
    <row r="17" spans="1:7" ht="90" customHeight="1" x14ac:dyDescent="0.4">
      <c r="A17" s="416"/>
      <c r="B17" s="399"/>
      <c r="C17" s="277"/>
      <c r="D17" s="430" t="s">
        <v>643</v>
      </c>
      <c r="E17" s="428" t="s">
        <v>681</v>
      </c>
      <c r="F17" s="421" t="str">
        <f>_xlfn.XLOOKUP(F16,BewertungsListe,Source!$C$60:$C$65)</f>
        <v>n.e.</v>
      </c>
      <c r="G17" s="436" t="s">
        <v>479</v>
      </c>
    </row>
    <row r="18" spans="1:7" ht="24.75" x14ac:dyDescent="0.4">
      <c r="A18" s="292"/>
      <c r="B18" s="286"/>
      <c r="C18" s="287"/>
      <c r="D18" s="431"/>
      <c r="E18" s="429"/>
      <c r="F18" s="421"/>
      <c r="G18" s="436"/>
    </row>
    <row r="19" spans="1:7" ht="24.75" x14ac:dyDescent="0.4">
      <c r="A19" s="398" t="s">
        <v>426</v>
      </c>
      <c r="B19" s="399"/>
      <c r="C19" s="290"/>
      <c r="D19" s="401" t="s">
        <v>483</v>
      </c>
      <c r="E19" s="402"/>
      <c r="F19" s="296" t="s">
        <v>108</v>
      </c>
      <c r="G19" s="158"/>
    </row>
    <row r="20" spans="1:7" ht="108.6" customHeight="1" x14ac:dyDescent="0.4">
      <c r="A20" s="398"/>
      <c r="B20" s="399"/>
      <c r="C20" s="277"/>
      <c r="D20" s="400" t="s">
        <v>484</v>
      </c>
      <c r="E20" s="424" t="s">
        <v>682</v>
      </c>
      <c r="F20" s="421" t="str">
        <f>_xlfn.XLOOKUP(F19,BewertungsListe,Source!$C$60:$C$65)</f>
        <v>n.e.</v>
      </c>
      <c r="G20" s="436" t="s">
        <v>479</v>
      </c>
    </row>
    <row r="21" spans="1:7" ht="23.45" customHeight="1" x14ac:dyDescent="0.4">
      <c r="A21" s="285"/>
      <c r="B21" s="286"/>
      <c r="C21" s="287"/>
      <c r="D21" s="400"/>
      <c r="E21" s="424"/>
      <c r="F21" s="421"/>
      <c r="G21" s="436"/>
    </row>
    <row r="22" spans="1:7" ht="31.5" x14ac:dyDescent="0.4">
      <c r="A22" s="5"/>
      <c r="C22" s="293"/>
      <c r="D22" s="297" cm="1">
        <f t="array" ref="D22">SUMPRODUCT((MOD(ROW(F8:F21),3)=2)*(F8:F21&lt;&gt;"n.e."))</f>
        <v>0</v>
      </c>
      <c r="E22" s="432" t="s">
        <v>485</v>
      </c>
      <c r="F22" s="434" t="str">
        <f>IF(D22=0,"n.e.",ROUND(SUMIF(F8:F21,"&gt;=0") / (D22*10), 2))</f>
        <v>n.e.</v>
      </c>
      <c r="G22" s="157"/>
    </row>
    <row r="23" spans="1:7" x14ac:dyDescent="0.4">
      <c r="A23" s="161"/>
      <c r="B23" s="161"/>
      <c r="C23" s="161"/>
      <c r="D23" s="162"/>
      <c r="E23" s="433"/>
      <c r="F23" s="435"/>
      <c r="G23" s="159"/>
    </row>
    <row r="24" spans="1:7" x14ac:dyDescent="0.4">
      <c r="A24" s="146"/>
      <c r="F24" s="121"/>
    </row>
    <row r="25" spans="1:7" x14ac:dyDescent="0.4">
      <c r="A25" s="147"/>
    </row>
    <row r="26" spans="1:7" x14ac:dyDescent="0.4">
      <c r="A26" s="146"/>
      <c r="D26" s="6"/>
    </row>
    <row r="27" spans="1:7" x14ac:dyDescent="0.4">
      <c r="A27" s="146"/>
    </row>
    <row r="28" spans="1:7" x14ac:dyDescent="0.4">
      <c r="A28" s="147"/>
    </row>
    <row r="29" spans="1:7" x14ac:dyDescent="0.4">
      <c r="A29" s="147"/>
    </row>
    <row r="30" spans="1:7" x14ac:dyDescent="0.4">
      <c r="A30" s="147"/>
    </row>
    <row r="31" spans="1:7" x14ac:dyDescent="0.4">
      <c r="A31" s="147"/>
    </row>
  </sheetData>
  <mergeCells count="43">
    <mergeCell ref="G8:G9"/>
    <mergeCell ref="G11:G12"/>
    <mergeCell ref="G14:G15"/>
    <mergeCell ref="G17:G18"/>
    <mergeCell ref="D17:D18"/>
    <mergeCell ref="F14:F15"/>
    <mergeCell ref="E22:E23"/>
    <mergeCell ref="F22:F23"/>
    <mergeCell ref="G20:G21"/>
    <mergeCell ref="F20:F21"/>
    <mergeCell ref="E20:E21"/>
    <mergeCell ref="F3:F6"/>
    <mergeCell ref="A7:A8"/>
    <mergeCell ref="B7:B8"/>
    <mergeCell ref="F17:F18"/>
    <mergeCell ref="D8:D9"/>
    <mergeCell ref="D11:D12"/>
    <mergeCell ref="D14:D15"/>
    <mergeCell ref="F8:F9"/>
    <mergeCell ref="E8:E9"/>
    <mergeCell ref="E11:E12"/>
    <mergeCell ref="F11:F12"/>
    <mergeCell ref="D10:E10"/>
    <mergeCell ref="D13:E13"/>
    <mergeCell ref="D16:E16"/>
    <mergeCell ref="E14:E15"/>
    <mergeCell ref="E17:E18"/>
    <mergeCell ref="A19:A20"/>
    <mergeCell ref="B19:B20"/>
    <mergeCell ref="D20:D21"/>
    <mergeCell ref="D19:E19"/>
    <mergeCell ref="A1:G2"/>
    <mergeCell ref="A10:A11"/>
    <mergeCell ref="B10:B11"/>
    <mergeCell ref="A3:A6"/>
    <mergeCell ref="D3:D6"/>
    <mergeCell ref="E3:E6"/>
    <mergeCell ref="B3:B6"/>
    <mergeCell ref="G3:G6"/>
    <mergeCell ref="A16:A17"/>
    <mergeCell ref="B16:B17"/>
    <mergeCell ref="A13:A14"/>
    <mergeCell ref="B13:B14"/>
  </mergeCells>
  <phoneticPr fontId="8" type="noConversion"/>
  <conditionalFormatting sqref="F8 F11 F14 F17 F20">
    <cfRule type="cellIs" dxfId="240" priority="72" operator="equal">
      <formula>10</formula>
    </cfRule>
  </conditionalFormatting>
  <conditionalFormatting sqref="F20">
    <cfRule type="cellIs" dxfId="239" priority="30" operator="equal">
      <formula>10</formula>
    </cfRule>
  </conditionalFormatting>
  <conditionalFormatting sqref="F20">
    <cfRule type="cellIs" dxfId="238" priority="25" operator="equal">
      <formula>0</formula>
    </cfRule>
    <cfRule type="cellIs" dxfId="237" priority="26" operator="equal">
      <formula>2</formula>
    </cfRule>
    <cfRule type="cellIs" dxfId="236" priority="27" operator="equal">
      <formula>4</formula>
    </cfRule>
    <cfRule type="cellIs" dxfId="235" priority="28" operator="equal">
      <formula>6</formula>
    </cfRule>
    <cfRule type="cellIs" dxfId="234" priority="29" operator="equal">
      <formula>8</formula>
    </cfRule>
  </conditionalFormatting>
  <conditionalFormatting sqref="F11 F17 F8 F14 F20">
    <cfRule type="cellIs" dxfId="233" priority="67" operator="equal">
      <formula>0</formula>
    </cfRule>
    <cfRule type="cellIs" dxfId="232" priority="69" operator="equal">
      <formula>4</formula>
    </cfRule>
  </conditionalFormatting>
  <conditionalFormatting sqref="F11 F17 F8 F14 F20">
    <cfRule type="cellIs" dxfId="231" priority="68" operator="equal">
      <formula>2</formula>
    </cfRule>
    <cfRule type="cellIs" dxfId="230" priority="71" operator="equal">
      <formula>8</formula>
    </cfRule>
  </conditionalFormatting>
  <conditionalFormatting sqref="F11 F17 F8 F14 F20">
    <cfRule type="cellIs" dxfId="229" priority="70" operator="equal">
      <formula>6</formula>
    </cfRule>
  </conditionalFormatting>
  <dataValidations count="1">
    <dataValidation type="list" allowBlank="1" showInputMessage="1" showErrorMessage="1" sqref="F7 F10 F13 F16 F19" xr:uid="{AB931B6F-A1AB-47B2-BC78-1517256F7874}">
      <formula1>BewertungsListe</formula1>
    </dataValidation>
  </dataValidations>
  <hyperlinks>
    <hyperlink ref="G8" location="Anmerkungen!F5" display="▶️" xr:uid="{FE8C37D7-068A-4325-8D06-F80475B9819A}"/>
    <hyperlink ref="G11" location="Anmerkungen!F6" display="▶️" xr:uid="{48347E8A-3458-4B93-B8B4-687D063D3932}"/>
    <hyperlink ref="G14" location="Anmerkungen!F7" display="▶️" xr:uid="{52BC7178-A51F-453E-AFF6-38CA890E19CB}"/>
    <hyperlink ref="G17" location="Anmerkungen!F8" display="▶️" xr:uid="{F94F9474-7E6E-4C91-9E81-26E31F255571}"/>
    <hyperlink ref="G20" location="Anmerkungen!F15" display="▶️" xr:uid="{BD445338-6807-401E-AB3E-9A3AE8FD6FC7}"/>
    <hyperlink ref="G8:G9" location="Remarks!G5" display="▶️" xr:uid="{B989BD7F-1015-4F63-B556-8A8A60C084AC}"/>
    <hyperlink ref="G11:G12" location="Remarks!G6" display="▶️" xr:uid="{77504EE6-F8D1-44FA-8DD8-AD9BB1110081}"/>
    <hyperlink ref="G14:G15" location="Remarks!G7" display="▶️" xr:uid="{7E084FF2-AC27-43B2-949F-0CBB54C6AEAC}"/>
    <hyperlink ref="G17:G18" location="Remarks!G8" display="▶️" xr:uid="{A0286AE2-ECBC-4428-A4EF-E3F4E56744DE}"/>
    <hyperlink ref="G20:G21" location="Remarks!G9" display="▶️" xr:uid="{6DD79779-2F9B-4DDF-A4EA-127E99FBA150}"/>
  </hyperlinks>
  <pageMargins left="0.7" right="0.7" top="0.78740157499999996" bottom="0.78740157499999996" header="0.3" footer="0.3"/>
  <pageSetup paperSize="9" scale="39"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03D01-B712-4FBB-8CC9-253F67A8B05E}">
  <sheetPr codeName="Tabelle3">
    <pageSetUpPr fitToPage="1"/>
  </sheetPr>
  <dimension ref="A1:H46"/>
  <sheetViews>
    <sheetView zoomScale="70" zoomScaleNormal="70" workbookViewId="0">
      <selection activeCell="F20" sqref="F20:F21"/>
    </sheetView>
  </sheetViews>
  <sheetFormatPr baseColWidth="10" defaultColWidth="10.88671875" defaultRowHeight="18" x14ac:dyDescent="0.4"/>
  <cols>
    <col min="1" max="1" width="4.6640625" style="22" customWidth="1"/>
    <col min="2" max="3" width="3.88671875" style="5" customWidth="1"/>
    <col min="4" max="4" width="83.6640625" style="5" customWidth="1"/>
    <col min="5" max="5" width="59.109375" style="5" customWidth="1"/>
    <col min="6" max="6" width="27.44140625" style="5" customWidth="1"/>
    <col min="7" max="7" width="5.5546875" style="5" customWidth="1"/>
    <col min="8" max="16384" width="10.88671875" style="5"/>
  </cols>
  <sheetData>
    <row r="1" spans="1:8" ht="38.25" customHeight="1" x14ac:dyDescent="0.4">
      <c r="A1" s="456" t="s">
        <v>539</v>
      </c>
      <c r="B1" s="457"/>
      <c r="C1" s="457"/>
      <c r="D1" s="457"/>
      <c r="E1" s="457"/>
      <c r="F1" s="457"/>
      <c r="G1" s="458"/>
      <c r="H1" s="146"/>
    </row>
    <row r="2" spans="1:8" ht="15" customHeight="1" x14ac:dyDescent="0.4">
      <c r="A2" s="459"/>
      <c r="B2" s="460"/>
      <c r="C2" s="460"/>
      <c r="D2" s="460"/>
      <c r="E2" s="460"/>
      <c r="F2" s="460"/>
      <c r="G2" s="461"/>
      <c r="H2" s="146"/>
    </row>
    <row r="3" spans="1:8" ht="15.75" customHeight="1" x14ac:dyDescent="0.4">
      <c r="A3" s="463" t="s">
        <v>416</v>
      </c>
      <c r="B3" s="464" t="s">
        <v>474</v>
      </c>
      <c r="C3" s="120"/>
      <c r="D3" s="465" t="s">
        <v>631</v>
      </c>
      <c r="E3" s="465" t="s">
        <v>475</v>
      </c>
      <c r="F3" s="466" t="s">
        <v>476</v>
      </c>
      <c r="G3" s="414" t="s">
        <v>477</v>
      </c>
      <c r="H3" s="146"/>
    </row>
    <row r="4" spans="1:8" ht="33.6" customHeight="1" x14ac:dyDescent="0.4">
      <c r="A4" s="463"/>
      <c r="B4" s="412"/>
      <c r="C4" s="120"/>
      <c r="D4" s="465"/>
      <c r="E4" s="465"/>
      <c r="F4" s="466"/>
      <c r="G4" s="414"/>
      <c r="H4" s="146"/>
    </row>
    <row r="5" spans="1:8" ht="0.6" customHeight="1" x14ac:dyDescent="0.4">
      <c r="A5" s="463"/>
      <c r="B5" s="412"/>
      <c r="C5" s="120"/>
      <c r="D5" s="465"/>
      <c r="E5" s="465"/>
      <c r="F5" s="466"/>
      <c r="G5" s="414"/>
      <c r="H5" s="146"/>
    </row>
    <row r="6" spans="1:8" ht="12.6" customHeight="1" x14ac:dyDescent="0.4">
      <c r="A6" s="463"/>
      <c r="B6" s="412"/>
      <c r="C6" s="120"/>
      <c r="D6" s="465"/>
      <c r="E6" s="465"/>
      <c r="F6" s="466"/>
      <c r="G6" s="414"/>
      <c r="H6" s="146"/>
    </row>
    <row r="7" spans="1:8" ht="25.9" customHeight="1" x14ac:dyDescent="0.4">
      <c r="A7" s="441" t="s">
        <v>428</v>
      </c>
      <c r="B7" s="442" t="s">
        <v>422</v>
      </c>
      <c r="C7" s="295"/>
      <c r="D7" s="425" t="s">
        <v>486</v>
      </c>
      <c r="E7" s="438"/>
      <c r="F7" s="299" t="s">
        <v>108</v>
      </c>
      <c r="G7" s="437" t="s">
        <v>479</v>
      </c>
      <c r="H7" s="146"/>
    </row>
    <row r="8" spans="1:8" ht="73.150000000000006" customHeight="1" x14ac:dyDescent="0.4">
      <c r="A8" s="439"/>
      <c r="B8" s="440"/>
      <c r="C8" s="294"/>
      <c r="D8" s="443" t="s">
        <v>869</v>
      </c>
      <c r="E8" s="447" t="s">
        <v>683</v>
      </c>
      <c r="F8" s="462" t="str">
        <f>_xlfn.XLOOKUP(F7,BewertungsListe,Source!$C$60:$C$65)</f>
        <v>n.e.</v>
      </c>
      <c r="G8" s="437"/>
      <c r="H8" s="146"/>
    </row>
    <row r="9" spans="1:8" ht="16.899999999999999" customHeight="1" x14ac:dyDescent="0.4">
      <c r="A9" s="439"/>
      <c r="B9" s="440"/>
      <c r="C9" s="301"/>
      <c r="D9" s="443"/>
      <c r="E9" s="448"/>
      <c r="F9" s="462"/>
      <c r="G9" s="437"/>
      <c r="H9" s="146"/>
    </row>
    <row r="10" spans="1:8" ht="43.15" customHeight="1" x14ac:dyDescent="0.4">
      <c r="A10" s="441" t="s">
        <v>429</v>
      </c>
      <c r="B10" s="442" t="s">
        <v>422</v>
      </c>
      <c r="C10" s="295"/>
      <c r="D10" s="450" t="s">
        <v>487</v>
      </c>
      <c r="E10" s="451"/>
      <c r="F10" s="300" t="s">
        <v>108</v>
      </c>
      <c r="G10" s="437" t="s">
        <v>479</v>
      </c>
      <c r="H10" s="146"/>
    </row>
    <row r="11" spans="1:8" ht="49.9" customHeight="1" x14ac:dyDescent="0.4">
      <c r="A11" s="439"/>
      <c r="B11" s="440"/>
      <c r="C11" s="294"/>
      <c r="D11" s="443" t="s">
        <v>644</v>
      </c>
      <c r="E11" s="448" t="s">
        <v>684</v>
      </c>
      <c r="F11" s="452" t="str">
        <f>_xlfn.XLOOKUP(F10,BewertungsListe,Source!$C$60:$C$65)</f>
        <v>n.e.</v>
      </c>
      <c r="G11" s="437"/>
      <c r="H11" s="146"/>
    </row>
    <row r="12" spans="1:8" ht="49.9" customHeight="1" x14ac:dyDescent="0.4">
      <c r="A12" s="439"/>
      <c r="B12" s="440"/>
      <c r="C12" s="302"/>
      <c r="D12" s="444"/>
      <c r="E12" s="449"/>
      <c r="F12" s="453"/>
      <c r="G12" s="437"/>
      <c r="H12" s="146"/>
    </row>
    <row r="13" spans="1:8" ht="28.15" customHeight="1" x14ac:dyDescent="0.4">
      <c r="A13" s="439"/>
      <c r="B13" s="440"/>
      <c r="C13" s="294"/>
      <c r="D13" s="443" t="s">
        <v>676</v>
      </c>
      <c r="E13" s="443" t="s">
        <v>685</v>
      </c>
      <c r="F13" s="303" t="s">
        <v>108</v>
      </c>
      <c r="G13" s="436" t="s">
        <v>479</v>
      </c>
      <c r="H13" s="146"/>
    </row>
    <row r="14" spans="1:8" ht="96" customHeight="1" x14ac:dyDescent="0.4">
      <c r="A14" s="439"/>
      <c r="B14" s="440"/>
      <c r="C14" s="301"/>
      <c r="D14" s="443"/>
      <c r="E14" s="443"/>
      <c r="F14" s="452" t="str">
        <f>_xlfn.XLOOKUP(F13,BewertungsListe,Source!$C$60:$C$65)</f>
        <v>n.e.</v>
      </c>
      <c r="G14" s="436"/>
      <c r="H14" s="146"/>
    </row>
    <row r="15" spans="1:8" ht="16.899999999999999" customHeight="1" x14ac:dyDescent="0.4">
      <c r="A15" s="445"/>
      <c r="B15" s="446"/>
      <c r="C15" s="302"/>
      <c r="D15" s="444"/>
      <c r="E15" s="444"/>
      <c r="F15" s="454"/>
      <c r="G15" s="436"/>
      <c r="H15" s="146"/>
    </row>
    <row r="16" spans="1:8" ht="25.5" customHeight="1" x14ac:dyDescent="0.4">
      <c r="A16" s="439" t="s">
        <v>430</v>
      </c>
      <c r="B16" s="440" t="s">
        <v>422</v>
      </c>
      <c r="C16" s="305"/>
      <c r="D16" s="425" t="s">
        <v>488</v>
      </c>
      <c r="E16" s="438"/>
      <c r="F16" s="300" t="s">
        <v>108</v>
      </c>
      <c r="G16" s="437" t="s">
        <v>479</v>
      </c>
      <c r="H16" s="146"/>
    </row>
    <row r="17" spans="1:8" ht="138.75" customHeight="1" x14ac:dyDescent="0.4">
      <c r="A17" s="439"/>
      <c r="B17" s="440"/>
      <c r="C17" s="294"/>
      <c r="D17" s="443" t="s">
        <v>489</v>
      </c>
      <c r="E17" s="443" t="s">
        <v>686</v>
      </c>
      <c r="F17" s="452" t="str">
        <f>_xlfn.XLOOKUP(F16,BewertungsListe,Source!$C$60:$C$65)</f>
        <v>n.e.</v>
      </c>
      <c r="G17" s="437"/>
      <c r="H17" s="146"/>
    </row>
    <row r="18" spans="1:8" ht="35.450000000000003" customHeight="1" x14ac:dyDescent="0.4">
      <c r="A18" s="439"/>
      <c r="B18" s="440"/>
      <c r="C18" s="301"/>
      <c r="D18" s="443"/>
      <c r="E18" s="443"/>
      <c r="F18" s="453"/>
      <c r="G18" s="437"/>
      <c r="H18" s="163"/>
    </row>
    <row r="19" spans="1:8" ht="29.45" customHeight="1" x14ac:dyDescent="0.4">
      <c r="A19" s="441" t="s">
        <v>431</v>
      </c>
      <c r="B19" s="442" t="s">
        <v>422</v>
      </c>
      <c r="C19" s="290"/>
      <c r="D19" s="425" t="s">
        <v>490</v>
      </c>
      <c r="E19" s="438"/>
      <c r="F19" s="304" t="s">
        <v>108</v>
      </c>
      <c r="G19" s="437" t="s">
        <v>479</v>
      </c>
    </row>
    <row r="20" spans="1:8" ht="154.9" customHeight="1" x14ac:dyDescent="0.4">
      <c r="A20" s="439"/>
      <c r="B20" s="440"/>
      <c r="C20" s="294"/>
      <c r="D20" s="455" t="s">
        <v>677</v>
      </c>
      <c r="E20" s="447" t="s">
        <v>687</v>
      </c>
      <c r="F20" s="452" t="str">
        <f>_xlfn.XLOOKUP(F19,BewertungsListe,Source!$C$60:$C$65)</f>
        <v>n.e.</v>
      </c>
      <c r="G20" s="437"/>
    </row>
    <row r="21" spans="1:8" ht="24" customHeight="1" x14ac:dyDescent="0.4">
      <c r="A21" s="439"/>
      <c r="B21" s="440"/>
      <c r="C21" s="301"/>
      <c r="D21" s="444"/>
      <c r="E21" s="448"/>
      <c r="F21" s="454"/>
      <c r="G21" s="437"/>
    </row>
    <row r="22" spans="1:8" ht="36" customHeight="1" x14ac:dyDescent="0.4">
      <c r="A22" s="306"/>
      <c r="B22" s="307"/>
      <c r="C22" s="307"/>
      <c r="D22" s="162" cm="1">
        <f t="array" ref="D22">SUMPRODUCT((MOD(ROW(F7:F20),3)=2)*(F7:F20&lt;&gt;"n.e."))</f>
        <v>0</v>
      </c>
      <c r="E22" s="308" t="s">
        <v>491</v>
      </c>
      <c r="F22" s="309" t="str">
        <f>IF(D22=0,"n.e.",ROUND(SUMIF(F7:F21,"&gt;=0") / (D22*10), 2))</f>
        <v>n.e.</v>
      </c>
      <c r="G22" s="165"/>
      <c r="H22" s="146"/>
    </row>
    <row r="23" spans="1:8" x14ac:dyDescent="0.4">
      <c r="A23" s="148"/>
      <c r="B23" s="121"/>
      <c r="C23" s="121"/>
      <c r="D23" s="119"/>
      <c r="E23" s="121"/>
      <c r="F23" s="121"/>
      <c r="G23" s="121"/>
    </row>
    <row r="24" spans="1:8" x14ac:dyDescent="0.4">
      <c r="A24" s="146"/>
    </row>
    <row r="25" spans="1:8" ht="25.5" customHeight="1" x14ac:dyDescent="0.4">
      <c r="A25" s="146"/>
    </row>
    <row r="26" spans="1:8" ht="144" customHeight="1" x14ac:dyDescent="0.4">
      <c r="A26" s="146"/>
    </row>
    <row r="27" spans="1:8" x14ac:dyDescent="0.4">
      <c r="A27" s="146"/>
    </row>
    <row r="28" spans="1:8" ht="25.5" customHeight="1" x14ac:dyDescent="0.4">
      <c r="A28" s="146"/>
    </row>
    <row r="29" spans="1:8" x14ac:dyDescent="0.4">
      <c r="A29" s="146"/>
    </row>
    <row r="30" spans="1:8" x14ac:dyDescent="0.4">
      <c r="A30" s="146"/>
    </row>
    <row r="31" spans="1:8" ht="25.5" customHeight="1" x14ac:dyDescent="0.4">
      <c r="A31" s="146"/>
    </row>
    <row r="32" spans="1:8" x14ac:dyDescent="0.4">
      <c r="A32" s="146"/>
    </row>
    <row r="33" spans="1:4" x14ac:dyDescent="0.4">
      <c r="A33" s="146"/>
    </row>
    <row r="34" spans="1:4" ht="25.5" customHeight="1" x14ac:dyDescent="0.4">
      <c r="A34" s="146"/>
    </row>
    <row r="35" spans="1:4" x14ac:dyDescent="0.4">
      <c r="A35" s="146"/>
    </row>
    <row r="36" spans="1:4" x14ac:dyDescent="0.4">
      <c r="A36" s="146"/>
    </row>
    <row r="37" spans="1:4" x14ac:dyDescent="0.4">
      <c r="A37" s="147"/>
    </row>
    <row r="38" spans="1:4" x14ac:dyDescent="0.4">
      <c r="A38" s="146"/>
      <c r="D38" s="6"/>
    </row>
    <row r="39" spans="1:4" x14ac:dyDescent="0.4">
      <c r="A39" s="146"/>
    </row>
    <row r="40" spans="1:4" x14ac:dyDescent="0.4">
      <c r="A40" s="147"/>
    </row>
    <row r="41" spans="1:4" x14ac:dyDescent="0.4">
      <c r="A41" s="147"/>
    </row>
    <row r="42" spans="1:4" x14ac:dyDescent="0.4">
      <c r="A42" s="147"/>
    </row>
    <row r="43" spans="1:4" x14ac:dyDescent="0.4">
      <c r="A43" s="147"/>
    </row>
    <row r="44" spans="1:4" x14ac:dyDescent="0.4">
      <c r="A44" s="147"/>
    </row>
    <row r="45" spans="1:4" x14ac:dyDescent="0.4">
      <c r="A45" s="147"/>
    </row>
    <row r="46" spans="1:4" x14ac:dyDescent="0.4">
      <c r="A46" s="147"/>
    </row>
  </sheetData>
  <mergeCells count="39">
    <mergeCell ref="F11:F12"/>
    <mergeCell ref="G10:G12"/>
    <mergeCell ref="G13:G15"/>
    <mergeCell ref="F14:F15"/>
    <mergeCell ref="A1:G2"/>
    <mergeCell ref="F8:F9"/>
    <mergeCell ref="D8:D9"/>
    <mergeCell ref="G3:G6"/>
    <mergeCell ref="A3:A6"/>
    <mergeCell ref="B3:B6"/>
    <mergeCell ref="D3:D6"/>
    <mergeCell ref="E3:E6"/>
    <mergeCell ref="F3:F6"/>
    <mergeCell ref="G7:G9"/>
    <mergeCell ref="A7:A9"/>
    <mergeCell ref="B7:B9"/>
    <mergeCell ref="G16:G18"/>
    <mergeCell ref="G19:G21"/>
    <mergeCell ref="F17:F18"/>
    <mergeCell ref="F20:F21"/>
    <mergeCell ref="D20:D21"/>
    <mergeCell ref="E20:E21"/>
    <mergeCell ref="D17:D18"/>
    <mergeCell ref="E17:E18"/>
    <mergeCell ref="D7:E7"/>
    <mergeCell ref="D16:E16"/>
    <mergeCell ref="D19:E19"/>
    <mergeCell ref="A16:A18"/>
    <mergeCell ref="B16:B18"/>
    <mergeCell ref="A19:A21"/>
    <mergeCell ref="B19:B21"/>
    <mergeCell ref="E13:E15"/>
    <mergeCell ref="D13:D15"/>
    <mergeCell ref="A10:A15"/>
    <mergeCell ref="B10:B15"/>
    <mergeCell ref="E8:E9"/>
    <mergeCell ref="D11:D12"/>
    <mergeCell ref="E11:E12"/>
    <mergeCell ref="D10:E10"/>
  </mergeCells>
  <conditionalFormatting sqref="F8 F14 F17 F20">
    <cfRule type="cellIs" dxfId="228" priority="66" operator="equal">
      <formula>10</formula>
    </cfRule>
  </conditionalFormatting>
  <conditionalFormatting sqref="F8 F14 F17 F20">
    <cfRule type="cellIs" dxfId="227" priority="61" operator="equal">
      <formula>0</formula>
    </cfRule>
    <cfRule type="cellIs" dxfId="226" priority="63" operator="equal">
      <formula>4</formula>
    </cfRule>
  </conditionalFormatting>
  <conditionalFormatting sqref="F8 F14 F17 F20">
    <cfRule type="cellIs" dxfId="225" priority="62" operator="equal">
      <formula>2</formula>
    </cfRule>
    <cfRule type="cellIs" dxfId="224" priority="65" operator="equal">
      <formula>8</formula>
    </cfRule>
  </conditionalFormatting>
  <conditionalFormatting sqref="F8 F14 F17 F20">
    <cfRule type="cellIs" dxfId="223" priority="64" operator="equal">
      <formula>6</formula>
    </cfRule>
  </conditionalFormatting>
  <conditionalFormatting sqref="F11">
    <cfRule type="cellIs" dxfId="222" priority="6" operator="equal">
      <formula>10</formula>
    </cfRule>
  </conditionalFormatting>
  <conditionalFormatting sqref="F11">
    <cfRule type="cellIs" dxfId="221" priority="1" operator="equal">
      <formula>0</formula>
    </cfRule>
    <cfRule type="cellIs" dxfId="220" priority="3" operator="equal">
      <formula>4</formula>
    </cfRule>
  </conditionalFormatting>
  <conditionalFormatting sqref="F11">
    <cfRule type="cellIs" dxfId="219" priority="2" operator="equal">
      <formula>2</formula>
    </cfRule>
    <cfRule type="cellIs" dxfId="218" priority="5" operator="equal">
      <formula>8</formula>
    </cfRule>
  </conditionalFormatting>
  <conditionalFormatting sqref="F11">
    <cfRule type="cellIs" dxfId="217" priority="4" operator="equal">
      <formula>6</formula>
    </cfRule>
  </conditionalFormatting>
  <dataValidations count="1">
    <dataValidation type="list" allowBlank="1" showInputMessage="1" showErrorMessage="1" sqref="F7 F19 F16 F10 F13" xr:uid="{AAA8CABE-32DB-46B8-B88C-9C9D620E815B}">
      <formula1>BewertungsListe</formula1>
    </dataValidation>
  </dataValidations>
  <hyperlinks>
    <hyperlink ref="G7" location="Anmerkungen!F20" display="▶️" xr:uid="{FED779FE-5CDF-4A53-BB80-6BC083E6530C}"/>
    <hyperlink ref="G10" location="Anmerkungen!F21" display="▶️" xr:uid="{EE702320-7757-43FF-AE73-C574AF172E65}"/>
    <hyperlink ref="G16" location="Anmerkungen!F23" display="▶️" xr:uid="{6905F0E9-2927-4B8D-8CC3-6D85298B610B}"/>
    <hyperlink ref="G19" location="Anmerkungen!F25" display="▶️" xr:uid="{7AC6AD0E-6B14-43E1-A163-7F128C7837F2}"/>
    <hyperlink ref="G7:G9" location="Remarks!G11" display="▶️" xr:uid="{2FC46CC4-B513-4DF6-9DB9-4D12E90D3C65}"/>
    <hyperlink ref="G16:G18" location="Remarks!G15" display="▶️" xr:uid="{CB554C16-73BB-4C0E-A922-1679F22695D7}"/>
    <hyperlink ref="G19:G21" location="Remarks!G16" display="▶️" xr:uid="{5D8AA44C-BB2B-4E5A-9FBB-8D693C055EFE}"/>
    <hyperlink ref="G10:G12" location="Remarks!G13" display="▶️" xr:uid="{AF35DE48-D648-4CA4-907F-CFD80E5FD705}"/>
    <hyperlink ref="G13:G15" location="Remarks!G14" display="▶️" xr:uid="{2AE57DCE-DEBB-44F0-A174-E3723442E6E3}"/>
  </hyperlinks>
  <pageMargins left="0.7" right="0.7" top="0.78740157499999996" bottom="0.78740157499999996" header="0.3" footer="0.3"/>
  <pageSetup paperSize="9" scale="39"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E47BB-8EBE-4266-AA28-728BC1F3E44E}">
  <sheetPr codeName="Tabelle5">
    <pageSetUpPr fitToPage="1"/>
  </sheetPr>
  <dimension ref="A1:H37"/>
  <sheetViews>
    <sheetView zoomScale="70" zoomScaleNormal="70" workbookViewId="0">
      <selection activeCell="D8" sqref="D8:D9"/>
    </sheetView>
  </sheetViews>
  <sheetFormatPr baseColWidth="10" defaultColWidth="10.88671875" defaultRowHeight="18" x14ac:dyDescent="0.4"/>
  <cols>
    <col min="1" max="1" width="4.6640625" style="22" customWidth="1"/>
    <col min="2" max="3" width="3.88671875" style="5" customWidth="1"/>
    <col min="4" max="4" width="83.6640625" style="5" customWidth="1"/>
    <col min="5" max="5" width="58.5546875" style="5" customWidth="1"/>
    <col min="6" max="6" width="27.44140625" style="5" customWidth="1"/>
    <col min="7" max="7" width="5.5546875" style="5" customWidth="1"/>
    <col min="8" max="16384" width="10.88671875" style="5"/>
  </cols>
  <sheetData>
    <row r="1" spans="1:8" ht="38.25" customHeight="1" x14ac:dyDescent="0.4">
      <c r="A1" s="456" t="s">
        <v>544</v>
      </c>
      <c r="B1" s="457"/>
      <c r="C1" s="457"/>
      <c r="D1" s="457"/>
      <c r="E1" s="457"/>
      <c r="F1" s="457"/>
      <c r="G1" s="458"/>
      <c r="H1" s="146"/>
    </row>
    <row r="2" spans="1:8" ht="15" customHeight="1" x14ac:dyDescent="0.4">
      <c r="A2" s="459"/>
      <c r="B2" s="460"/>
      <c r="C2" s="460"/>
      <c r="D2" s="460"/>
      <c r="E2" s="460"/>
      <c r="F2" s="460"/>
      <c r="G2" s="461"/>
      <c r="H2" s="146"/>
    </row>
    <row r="3" spans="1:8" ht="15.75" customHeight="1" x14ac:dyDescent="0.4">
      <c r="A3" s="463" t="s">
        <v>416</v>
      </c>
      <c r="B3" s="464" t="s">
        <v>474</v>
      </c>
      <c r="C3" s="120"/>
      <c r="D3" s="465" t="s">
        <v>631</v>
      </c>
      <c r="E3" s="465" t="s">
        <v>475</v>
      </c>
      <c r="F3" s="476" t="s">
        <v>476</v>
      </c>
      <c r="G3" s="414" t="s">
        <v>477</v>
      </c>
      <c r="H3" s="146"/>
    </row>
    <row r="4" spans="1:8" ht="33.6" customHeight="1" x14ac:dyDescent="0.4">
      <c r="A4" s="463"/>
      <c r="B4" s="412"/>
      <c r="C4" s="120"/>
      <c r="D4" s="465"/>
      <c r="E4" s="465"/>
      <c r="F4" s="466"/>
      <c r="G4" s="414"/>
      <c r="H4" s="146"/>
    </row>
    <row r="5" spans="1:8" ht="0.6" customHeight="1" x14ac:dyDescent="0.4">
      <c r="A5" s="463"/>
      <c r="B5" s="412"/>
      <c r="C5" s="120"/>
      <c r="D5" s="465"/>
      <c r="E5" s="465"/>
      <c r="F5" s="466"/>
      <c r="G5" s="414"/>
      <c r="H5" s="146"/>
    </row>
    <row r="6" spans="1:8" ht="12.6" customHeight="1" x14ac:dyDescent="0.4">
      <c r="A6" s="463"/>
      <c r="B6" s="412"/>
      <c r="C6" s="120"/>
      <c r="D6" s="465"/>
      <c r="E6" s="465"/>
      <c r="F6" s="477"/>
      <c r="G6" s="414"/>
      <c r="H6" s="146"/>
    </row>
    <row r="7" spans="1:8" ht="26.45" customHeight="1" x14ac:dyDescent="0.4">
      <c r="A7" s="415" t="s">
        <v>433</v>
      </c>
      <c r="B7" s="417" t="s">
        <v>422</v>
      </c>
      <c r="C7" s="291"/>
      <c r="D7" s="425" t="s">
        <v>493</v>
      </c>
      <c r="E7" s="438"/>
      <c r="F7" s="303" t="s">
        <v>108</v>
      </c>
      <c r="G7" s="436" t="s">
        <v>479</v>
      </c>
      <c r="H7" s="146"/>
    </row>
    <row r="8" spans="1:8" ht="261.60000000000002" customHeight="1" x14ac:dyDescent="0.4">
      <c r="A8" s="416"/>
      <c r="B8" s="399"/>
      <c r="C8" s="313"/>
      <c r="D8" s="455" t="s">
        <v>688</v>
      </c>
      <c r="E8" s="447" t="s">
        <v>689</v>
      </c>
      <c r="F8" s="452" t="str">
        <f>_xlfn.XLOOKUP(F7,BewertungsListe,Source!$C$60:$C$65)</f>
        <v>n.e.</v>
      </c>
      <c r="G8" s="436"/>
      <c r="H8" s="146"/>
    </row>
    <row r="9" spans="1:8" ht="31.9" customHeight="1" x14ac:dyDescent="0.4">
      <c r="A9" s="467"/>
      <c r="B9" s="468"/>
      <c r="C9" s="277"/>
      <c r="D9" s="443"/>
      <c r="E9" s="448"/>
      <c r="F9" s="453" t="s">
        <v>492</v>
      </c>
      <c r="G9" s="436"/>
      <c r="H9" s="146"/>
    </row>
    <row r="10" spans="1:8" ht="25.9" customHeight="1" x14ac:dyDescent="0.4">
      <c r="A10" s="439" t="s">
        <v>434</v>
      </c>
      <c r="B10" s="440"/>
      <c r="C10" s="295"/>
      <c r="D10" s="425" t="s">
        <v>494</v>
      </c>
      <c r="E10" s="438"/>
      <c r="F10" s="304" t="s">
        <v>108</v>
      </c>
      <c r="G10" s="437" t="s">
        <v>479</v>
      </c>
      <c r="H10" s="146"/>
    </row>
    <row r="11" spans="1:8" ht="180.6" customHeight="1" x14ac:dyDescent="0.4">
      <c r="A11" s="439"/>
      <c r="B11" s="440"/>
      <c r="C11" s="294"/>
      <c r="D11" s="472" t="s">
        <v>690</v>
      </c>
      <c r="E11" s="474" t="s">
        <v>691</v>
      </c>
      <c r="F11" s="452" t="str">
        <f>_xlfn.XLOOKUP(F10,BewertungsListe,Source!$C$60:$C$65)</f>
        <v>n.e.</v>
      </c>
      <c r="G11" s="437"/>
      <c r="H11" s="146"/>
    </row>
    <row r="12" spans="1:8" ht="16.899999999999999" customHeight="1" x14ac:dyDescent="0.4">
      <c r="A12" s="439"/>
      <c r="B12" s="440"/>
      <c r="C12" s="301"/>
      <c r="D12" s="473"/>
      <c r="E12" s="475"/>
      <c r="F12" s="453" t="s">
        <v>492</v>
      </c>
      <c r="G12" s="437"/>
      <c r="H12" s="146"/>
    </row>
    <row r="13" spans="1:8" ht="25.9" customHeight="1" x14ac:dyDescent="0.4">
      <c r="A13" s="441" t="s">
        <v>435</v>
      </c>
      <c r="B13" s="442" t="s">
        <v>422</v>
      </c>
      <c r="C13" s="290"/>
      <c r="D13" s="425" t="s">
        <v>495</v>
      </c>
      <c r="E13" s="438"/>
      <c r="F13" s="299" t="s">
        <v>108</v>
      </c>
      <c r="G13" s="436" t="s">
        <v>479</v>
      </c>
      <c r="H13" s="146"/>
    </row>
    <row r="14" spans="1:8" ht="118.9" customHeight="1" x14ac:dyDescent="0.4">
      <c r="A14" s="439"/>
      <c r="B14" s="440"/>
      <c r="C14" s="294"/>
      <c r="D14" s="443" t="s">
        <v>622</v>
      </c>
      <c r="E14" s="448" t="s">
        <v>692</v>
      </c>
      <c r="F14" s="478" t="str">
        <f>_xlfn.XLOOKUP(F13,BewertungsListe,Source!$C$60:$C$65)</f>
        <v>n.e.</v>
      </c>
      <c r="G14" s="436"/>
      <c r="H14" s="146"/>
    </row>
    <row r="15" spans="1:8" ht="31.9" customHeight="1" x14ac:dyDescent="0.4">
      <c r="A15" s="445"/>
      <c r="B15" s="446"/>
      <c r="C15" s="302"/>
      <c r="D15" s="444"/>
      <c r="E15" s="449"/>
      <c r="F15" s="479" t="s">
        <v>492</v>
      </c>
      <c r="G15" s="436"/>
      <c r="H15" s="146"/>
    </row>
    <row r="16" spans="1:8" ht="25.5" customHeight="1" x14ac:dyDescent="0.4">
      <c r="A16" s="441" t="s">
        <v>436</v>
      </c>
      <c r="B16" s="417"/>
      <c r="C16" s="305"/>
      <c r="D16" s="425" t="s">
        <v>496</v>
      </c>
      <c r="E16" s="438"/>
      <c r="F16" s="312" t="s">
        <v>108</v>
      </c>
      <c r="G16" s="436" t="s">
        <v>479</v>
      </c>
      <c r="H16" s="146"/>
    </row>
    <row r="17" spans="1:8" ht="121.9" customHeight="1" x14ac:dyDescent="0.4">
      <c r="A17" s="439"/>
      <c r="B17" s="399"/>
      <c r="C17" s="294"/>
      <c r="D17" s="455" t="s">
        <v>693</v>
      </c>
      <c r="E17" s="447" t="s">
        <v>694</v>
      </c>
      <c r="F17" s="452" t="str">
        <f>_xlfn.XLOOKUP(F16,BewertungsListe,Source!$C$60:$C$65)</f>
        <v>n.e.</v>
      </c>
      <c r="G17" s="436"/>
      <c r="H17" s="146"/>
    </row>
    <row r="18" spans="1:8" ht="24.75" x14ac:dyDescent="0.4">
      <c r="A18" s="445"/>
      <c r="B18" s="468"/>
      <c r="C18" s="301"/>
      <c r="D18" s="443"/>
      <c r="E18" s="449"/>
      <c r="F18" s="454" t="s">
        <v>492</v>
      </c>
      <c r="G18" s="436"/>
      <c r="H18" s="146"/>
    </row>
    <row r="19" spans="1:8" ht="25.5" customHeight="1" x14ac:dyDescent="0.4">
      <c r="A19" s="441" t="s">
        <v>437</v>
      </c>
      <c r="B19" s="417" t="s">
        <v>422</v>
      </c>
      <c r="C19" s="291"/>
      <c r="D19" s="425" t="s">
        <v>497</v>
      </c>
      <c r="E19" s="438"/>
      <c r="F19" s="310" t="s">
        <v>108</v>
      </c>
      <c r="G19" s="437" t="s">
        <v>479</v>
      </c>
      <c r="H19" s="146"/>
    </row>
    <row r="20" spans="1:8" ht="178.15" customHeight="1" x14ac:dyDescent="0.4">
      <c r="A20" s="439"/>
      <c r="B20" s="399"/>
      <c r="C20" s="294"/>
      <c r="D20" s="443" t="s">
        <v>675</v>
      </c>
      <c r="E20" s="455" t="s">
        <v>870</v>
      </c>
      <c r="F20" s="452" t="str">
        <f>_xlfn.XLOOKUP(F19,BewertungsListe,Source!$C$60:$C$65)</f>
        <v>n.e.</v>
      </c>
      <c r="G20" s="437"/>
      <c r="H20" s="146"/>
    </row>
    <row r="21" spans="1:8" ht="24.75" x14ac:dyDescent="0.4">
      <c r="A21" s="445"/>
      <c r="B21" s="399"/>
      <c r="C21" s="302"/>
      <c r="D21" s="443"/>
      <c r="E21" s="443"/>
      <c r="F21" s="453" t="s">
        <v>492</v>
      </c>
      <c r="G21" s="437"/>
      <c r="H21" s="146"/>
    </row>
    <row r="22" spans="1:8" ht="25.5" customHeight="1" x14ac:dyDescent="0.4">
      <c r="A22" s="441" t="s">
        <v>438</v>
      </c>
      <c r="B22" s="417"/>
      <c r="C22" s="291"/>
      <c r="D22" s="425" t="s">
        <v>498</v>
      </c>
      <c r="E22" s="438"/>
      <c r="F22" s="300" t="s">
        <v>108</v>
      </c>
      <c r="G22" s="437" t="s">
        <v>479</v>
      </c>
      <c r="H22" s="146"/>
    </row>
    <row r="23" spans="1:8" ht="81" customHeight="1" x14ac:dyDescent="0.4">
      <c r="A23" s="439"/>
      <c r="B23" s="399"/>
      <c r="C23" s="313"/>
      <c r="D23" s="471" t="s">
        <v>695</v>
      </c>
      <c r="E23" s="443" t="s">
        <v>696</v>
      </c>
      <c r="F23" s="452" t="str">
        <f>_xlfn.XLOOKUP(F22,BewertungsListe,Source!$C$60:$C$65)</f>
        <v>n.e.</v>
      </c>
      <c r="G23" s="437"/>
      <c r="H23" s="146"/>
    </row>
    <row r="24" spans="1:8" ht="24.75" x14ac:dyDescent="0.4">
      <c r="A24" s="445"/>
      <c r="B24" s="399"/>
      <c r="C24" s="277"/>
      <c r="D24" s="471"/>
      <c r="E24" s="443"/>
      <c r="F24" s="454" t="s">
        <v>492</v>
      </c>
      <c r="G24" s="437"/>
      <c r="H24" s="146"/>
    </row>
    <row r="25" spans="1:8" ht="25.5" customHeight="1" x14ac:dyDescent="0.4">
      <c r="A25" s="441" t="s">
        <v>439</v>
      </c>
      <c r="B25" s="417" t="s">
        <v>422</v>
      </c>
      <c r="C25" s="290"/>
      <c r="D25" s="425" t="s">
        <v>499</v>
      </c>
      <c r="E25" s="438"/>
      <c r="F25" s="315" t="s">
        <v>108</v>
      </c>
      <c r="G25" s="437" t="s">
        <v>479</v>
      </c>
      <c r="H25" s="146"/>
    </row>
    <row r="26" spans="1:8" ht="105.6" customHeight="1" x14ac:dyDescent="0.4">
      <c r="A26" s="439"/>
      <c r="B26" s="399"/>
      <c r="C26" s="277"/>
      <c r="D26" s="443" t="s">
        <v>640</v>
      </c>
      <c r="E26" s="448" t="s">
        <v>697</v>
      </c>
      <c r="F26" s="469" t="str">
        <f>_xlfn.XLOOKUP(F25,BewertungsListe,Source!$C$60:$C$65)</f>
        <v>n.e.</v>
      </c>
      <c r="G26" s="437"/>
      <c r="H26" s="146"/>
    </row>
    <row r="27" spans="1:8" ht="24.75" x14ac:dyDescent="0.4">
      <c r="A27" s="445"/>
      <c r="B27" s="468"/>
      <c r="C27" s="311"/>
      <c r="D27" s="444"/>
      <c r="E27" s="449"/>
      <c r="F27" s="470" t="s">
        <v>492</v>
      </c>
      <c r="G27" s="437"/>
      <c r="H27" s="146"/>
    </row>
    <row r="28" spans="1:8" ht="31.5" x14ac:dyDescent="0.4">
      <c r="A28" s="160"/>
      <c r="B28" s="161"/>
      <c r="C28" s="307"/>
      <c r="D28" s="162" cm="1">
        <f t="array" ref="D28">SUMPRODUCT((MOD(ROW(F7:F27),3)=2)*(F7:F27&lt;&gt;"n.e."))</f>
        <v>0</v>
      </c>
      <c r="E28" s="176" t="s">
        <v>500</v>
      </c>
      <c r="F28" s="177" t="str">
        <f>IF(D28=0,"n.e.",ROUND(SUMIF(F7:F27,"&gt;=0") / (D28 *10), 2))</f>
        <v>n.e.</v>
      </c>
      <c r="G28" s="165"/>
      <c r="H28" s="146"/>
    </row>
    <row r="29" spans="1:8" x14ac:dyDescent="0.4">
      <c r="A29" s="148"/>
      <c r="B29" s="121"/>
      <c r="C29" s="121"/>
      <c r="D29" s="119"/>
      <c r="E29" s="121"/>
      <c r="F29" s="121"/>
      <c r="G29" s="121"/>
    </row>
    <row r="30" spans="1:8" x14ac:dyDescent="0.4">
      <c r="A30" s="146"/>
    </row>
    <row r="31" spans="1:8" x14ac:dyDescent="0.4">
      <c r="A31" s="147"/>
    </row>
    <row r="32" spans="1:8" x14ac:dyDescent="0.4">
      <c r="A32" s="146"/>
      <c r="D32" s="6"/>
    </row>
    <row r="33" spans="1:1" x14ac:dyDescent="0.4">
      <c r="A33" s="146"/>
    </row>
    <row r="34" spans="1:1" x14ac:dyDescent="0.4">
      <c r="A34" s="147"/>
    </row>
    <row r="35" spans="1:1" x14ac:dyDescent="0.4">
      <c r="A35" s="147"/>
    </row>
    <row r="36" spans="1:1" x14ac:dyDescent="0.4">
      <c r="A36" s="147"/>
    </row>
    <row r="37" spans="1:1" x14ac:dyDescent="0.4">
      <c r="A37" s="147"/>
    </row>
  </sheetData>
  <mergeCells count="56">
    <mergeCell ref="G19:G21"/>
    <mergeCell ref="G7:G9"/>
    <mergeCell ref="D11:D12"/>
    <mergeCell ref="E11:E12"/>
    <mergeCell ref="G3:G6"/>
    <mergeCell ref="F3:F6"/>
    <mergeCell ref="F11:F12"/>
    <mergeCell ref="F14:F15"/>
    <mergeCell ref="F8:F9"/>
    <mergeCell ref="F20:F21"/>
    <mergeCell ref="G25:G27"/>
    <mergeCell ref="G22:G24"/>
    <mergeCell ref="A3:A6"/>
    <mergeCell ref="B3:B6"/>
    <mergeCell ref="D3:D6"/>
    <mergeCell ref="E3:E6"/>
    <mergeCell ref="A16:A18"/>
    <mergeCell ref="B16:B18"/>
    <mergeCell ref="D17:D18"/>
    <mergeCell ref="E17:E18"/>
    <mergeCell ref="A13:A15"/>
    <mergeCell ref="B13:B15"/>
    <mergeCell ref="D14:D15"/>
    <mergeCell ref="E14:E15"/>
    <mergeCell ref="A10:A12"/>
    <mergeCell ref="B10:B12"/>
    <mergeCell ref="A19:A21"/>
    <mergeCell ref="B19:B21"/>
    <mergeCell ref="D20:D21"/>
    <mergeCell ref="E20:E21"/>
    <mergeCell ref="D7:E7"/>
    <mergeCell ref="D10:E10"/>
    <mergeCell ref="D13:E13"/>
    <mergeCell ref="D16:E16"/>
    <mergeCell ref="D19:E19"/>
    <mergeCell ref="A22:A24"/>
    <mergeCell ref="B22:B24"/>
    <mergeCell ref="D23:D24"/>
    <mergeCell ref="E23:E24"/>
    <mergeCell ref="F23:F24"/>
    <mergeCell ref="D22:E22"/>
    <mergeCell ref="A25:A27"/>
    <mergeCell ref="B25:B27"/>
    <mergeCell ref="D26:D27"/>
    <mergeCell ref="E26:E27"/>
    <mergeCell ref="F26:F27"/>
    <mergeCell ref="D25:E25"/>
    <mergeCell ref="A1:G2"/>
    <mergeCell ref="G16:G18"/>
    <mergeCell ref="G13:G15"/>
    <mergeCell ref="G10:G12"/>
    <mergeCell ref="F17:F18"/>
    <mergeCell ref="A7:A9"/>
    <mergeCell ref="B7:B9"/>
    <mergeCell ref="D8:D9"/>
    <mergeCell ref="E8:E9"/>
  </mergeCells>
  <phoneticPr fontId="8" type="noConversion"/>
  <conditionalFormatting sqref="F8">
    <cfRule type="cellIs" dxfId="216" priority="66" operator="equal">
      <formula>10</formula>
    </cfRule>
  </conditionalFormatting>
  <conditionalFormatting sqref="F8">
    <cfRule type="cellIs" dxfId="215" priority="61" operator="equal">
      <formula>0</formula>
    </cfRule>
    <cfRule type="cellIs" dxfId="214" priority="63" operator="equal">
      <formula>4</formula>
    </cfRule>
  </conditionalFormatting>
  <conditionalFormatting sqref="F8">
    <cfRule type="cellIs" dxfId="213" priority="62" operator="equal">
      <formula>2</formula>
    </cfRule>
    <cfRule type="cellIs" dxfId="212" priority="65" operator="equal">
      <formula>8</formula>
    </cfRule>
  </conditionalFormatting>
  <conditionalFormatting sqref="F8">
    <cfRule type="cellIs" dxfId="211" priority="64" operator="equal">
      <formula>6</formula>
    </cfRule>
  </conditionalFormatting>
  <conditionalFormatting sqref="F11">
    <cfRule type="cellIs" dxfId="210" priority="60" operator="equal">
      <formula>10</formula>
    </cfRule>
  </conditionalFormatting>
  <conditionalFormatting sqref="F11">
    <cfRule type="cellIs" dxfId="209" priority="55" operator="equal">
      <formula>0</formula>
    </cfRule>
    <cfRule type="cellIs" dxfId="208" priority="57" operator="equal">
      <formula>4</formula>
    </cfRule>
  </conditionalFormatting>
  <conditionalFormatting sqref="F11">
    <cfRule type="cellIs" dxfId="207" priority="56" operator="equal">
      <formula>2</formula>
    </cfRule>
    <cfRule type="cellIs" dxfId="206" priority="59" operator="equal">
      <formula>8</formula>
    </cfRule>
  </conditionalFormatting>
  <conditionalFormatting sqref="F11">
    <cfRule type="cellIs" dxfId="205" priority="58" operator="equal">
      <formula>6</formula>
    </cfRule>
  </conditionalFormatting>
  <conditionalFormatting sqref="F14">
    <cfRule type="cellIs" dxfId="204" priority="54" operator="equal">
      <formula>10</formula>
    </cfRule>
  </conditionalFormatting>
  <conditionalFormatting sqref="F14">
    <cfRule type="cellIs" dxfId="203" priority="49" operator="equal">
      <formula>0</formula>
    </cfRule>
    <cfRule type="cellIs" dxfId="202" priority="51" operator="equal">
      <formula>4</formula>
    </cfRule>
  </conditionalFormatting>
  <conditionalFormatting sqref="F14">
    <cfRule type="cellIs" dxfId="201" priority="50" operator="equal">
      <formula>2</formula>
    </cfRule>
    <cfRule type="cellIs" dxfId="200" priority="53" operator="equal">
      <formula>8</formula>
    </cfRule>
  </conditionalFormatting>
  <conditionalFormatting sqref="F14">
    <cfRule type="cellIs" dxfId="199" priority="52" operator="equal">
      <formula>6</formula>
    </cfRule>
  </conditionalFormatting>
  <conditionalFormatting sqref="F17">
    <cfRule type="cellIs" dxfId="198" priority="48" operator="equal">
      <formula>10</formula>
    </cfRule>
  </conditionalFormatting>
  <conditionalFormatting sqref="F17">
    <cfRule type="cellIs" dxfId="197" priority="43" operator="equal">
      <formula>0</formula>
    </cfRule>
    <cfRule type="cellIs" dxfId="196" priority="45" operator="equal">
      <formula>4</formula>
    </cfRule>
  </conditionalFormatting>
  <conditionalFormatting sqref="F17">
    <cfRule type="cellIs" dxfId="195" priority="44" operator="equal">
      <formula>2</formula>
    </cfRule>
    <cfRule type="cellIs" dxfId="194" priority="47" operator="equal">
      <formula>8</formula>
    </cfRule>
  </conditionalFormatting>
  <conditionalFormatting sqref="F17">
    <cfRule type="cellIs" dxfId="193" priority="46" operator="equal">
      <formula>6</formula>
    </cfRule>
  </conditionalFormatting>
  <conditionalFormatting sqref="F20">
    <cfRule type="cellIs" dxfId="192" priority="24" operator="equal">
      <formula>10</formula>
    </cfRule>
  </conditionalFormatting>
  <conditionalFormatting sqref="F20">
    <cfRule type="cellIs" dxfId="191" priority="19" operator="equal">
      <formula>0</formula>
    </cfRule>
    <cfRule type="cellIs" dxfId="190" priority="21" operator="equal">
      <formula>4</formula>
    </cfRule>
  </conditionalFormatting>
  <conditionalFormatting sqref="F20">
    <cfRule type="cellIs" dxfId="189" priority="20" operator="equal">
      <formula>2</formula>
    </cfRule>
    <cfRule type="cellIs" dxfId="188" priority="23" operator="equal">
      <formula>8</formula>
    </cfRule>
  </conditionalFormatting>
  <conditionalFormatting sqref="F20">
    <cfRule type="cellIs" dxfId="187" priority="22" operator="equal">
      <formula>6</formula>
    </cfRule>
  </conditionalFormatting>
  <conditionalFormatting sqref="F23">
    <cfRule type="cellIs" dxfId="186" priority="18" operator="equal">
      <formula>10</formula>
    </cfRule>
  </conditionalFormatting>
  <conditionalFormatting sqref="F23">
    <cfRule type="cellIs" dxfId="185" priority="13" operator="equal">
      <formula>0</formula>
    </cfRule>
    <cfRule type="cellIs" dxfId="184" priority="15" operator="equal">
      <formula>4</formula>
    </cfRule>
  </conditionalFormatting>
  <conditionalFormatting sqref="F23">
    <cfRule type="cellIs" dxfId="183" priority="14" operator="equal">
      <formula>2</formula>
    </cfRule>
    <cfRule type="cellIs" dxfId="182" priority="17" operator="equal">
      <formula>8</formula>
    </cfRule>
  </conditionalFormatting>
  <conditionalFormatting sqref="F23">
    <cfRule type="cellIs" dxfId="181" priority="16" operator="equal">
      <formula>6</formula>
    </cfRule>
  </conditionalFormatting>
  <conditionalFormatting sqref="F26">
    <cfRule type="cellIs" dxfId="180" priority="12" operator="equal">
      <formula>10</formula>
    </cfRule>
  </conditionalFormatting>
  <conditionalFormatting sqref="F26">
    <cfRule type="cellIs" dxfId="179" priority="7" operator="equal">
      <formula>0</formula>
    </cfRule>
    <cfRule type="cellIs" dxfId="178" priority="9" operator="equal">
      <formula>4</formula>
    </cfRule>
  </conditionalFormatting>
  <conditionalFormatting sqref="F26">
    <cfRule type="cellIs" dxfId="177" priority="8" operator="equal">
      <formula>2</formula>
    </cfRule>
    <cfRule type="cellIs" dxfId="176" priority="11" operator="equal">
      <formula>8</formula>
    </cfRule>
  </conditionalFormatting>
  <conditionalFormatting sqref="F26">
    <cfRule type="cellIs" dxfId="175" priority="10" operator="equal">
      <formula>6</formula>
    </cfRule>
  </conditionalFormatting>
  <dataValidations count="1">
    <dataValidation type="list" allowBlank="1" showInputMessage="1" showErrorMessage="1" sqref="F7 F10 F13 F16 F19 F22 F25" xr:uid="{3F9D34AD-AB20-4A49-962E-5A537DDC9078}">
      <formula1>BewertungsListe</formula1>
    </dataValidation>
  </dataValidations>
  <hyperlinks>
    <hyperlink ref="G7" location="Anmerkungen!F39" display="▶️" xr:uid="{66956000-0A43-42B8-80EC-E9E9645BFA83}"/>
    <hyperlink ref="G10" location="Anmerkungen!F40" display="▶️" xr:uid="{8358FB79-85BB-4D60-BC1E-A7076FC8B1A8}"/>
    <hyperlink ref="G13" location="Anmerkungen!F41" display="▶️" xr:uid="{7FA3AC08-06AD-487D-AA98-F527A73ED29F}"/>
    <hyperlink ref="G16" location="Anmerkungen!F42" display="▶️" xr:uid="{D5AA50AE-4327-4D70-AD3A-3590870E3CE4}"/>
    <hyperlink ref="G19" location="Anmerkungen!F46" display="▶️" xr:uid="{0703A15B-1A18-453E-9B6A-BBB23EAA7867}"/>
    <hyperlink ref="G22" location="Anmerkungen!F47" display="▶️" xr:uid="{6F87FFD1-0B6F-46FF-AEAF-6FAA39B11BB7}"/>
    <hyperlink ref="G25" location="Anmerkungen!F48" display="▶️" xr:uid="{4E18207A-BF8F-41B0-AE54-1C3EA764E3F4}"/>
    <hyperlink ref="G7:G9" location="Remarks!G18" display="▶️" xr:uid="{50BC3D4F-D8C3-42F8-BB5B-9D650CB32B3C}"/>
    <hyperlink ref="G10:G12" location="Remarks!G19" display="▶️" xr:uid="{61C1EA1F-727C-40DC-B9AD-90DC6D1843CB}"/>
    <hyperlink ref="G13:G15" location="Remarks!G20" display="▶️" xr:uid="{4E5197E8-8906-4AF1-B113-8B1620F99359}"/>
    <hyperlink ref="G16:G18" location="Remarks!G21" display="▶️" xr:uid="{308D4E9E-699B-4EAD-8D65-756589313D9A}"/>
    <hyperlink ref="G19:G21" location="Remarks!G22" display="▶️" xr:uid="{D26617E5-40D6-4031-B480-D89BCCD2CB74}"/>
    <hyperlink ref="G22:G24" location="Remarks!G23" display="▶️" xr:uid="{9437F93D-8A00-431F-96CA-7C1DD33002A7}"/>
    <hyperlink ref="G25:G27" location="Remarks!G24" display="▶️" xr:uid="{B3CE81AB-2BEE-422B-8153-D24D7CF87091}"/>
  </hyperlinks>
  <pageMargins left="0.70866141732283472" right="0.70866141732283472" top="0.78740157480314965" bottom="0.78740157480314965" header="0.31496062992125984" footer="0.31496062992125984"/>
  <pageSetup paperSize="9" scale="39" fitToHeight="0" orientation="portrait" r:id="rId1"/>
  <rowBreaks count="3" manualBreakCount="3">
    <brk id="28" max="16383" man="1"/>
    <brk id="40" max="16383" man="1"/>
    <brk id="41" max="16383" man="1"/>
  </rowBreaks>
  <colBreaks count="9" manualBreakCount="9">
    <brk id="1" max="1048575" man="1"/>
    <brk id="3" max="42" man="1"/>
    <brk id="4" max="1048575" man="1"/>
    <brk id="5" max="1048575" man="1"/>
    <brk id="7" max="1048575" man="1"/>
    <brk id="9" max="1048575" man="1"/>
    <brk id="10" max="1048575" man="1"/>
    <brk id="11" max="1048575" man="1"/>
    <brk id="16" max="1048575"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96EC6-1EDB-4417-B09B-5DD56C0C9D68}">
  <sheetPr codeName="Tabelle6">
    <pageSetUpPr fitToPage="1"/>
  </sheetPr>
  <dimension ref="A1:H58"/>
  <sheetViews>
    <sheetView zoomScale="70" zoomScaleNormal="70" workbookViewId="0">
      <selection activeCell="D8" sqref="D8:D9"/>
    </sheetView>
  </sheetViews>
  <sheetFormatPr baseColWidth="10" defaultColWidth="10.88671875" defaultRowHeight="18" x14ac:dyDescent="0.4"/>
  <cols>
    <col min="1" max="1" width="4.6640625" style="22" customWidth="1"/>
    <col min="2" max="3" width="3.88671875" style="5" customWidth="1"/>
    <col min="4" max="4" width="83.6640625" style="5" customWidth="1"/>
    <col min="5" max="5" width="58.5546875" style="5" customWidth="1"/>
    <col min="6" max="6" width="27.44140625" style="5" customWidth="1"/>
    <col min="7" max="7" width="5.5546875" style="5" customWidth="1"/>
    <col min="8" max="16384" width="10.88671875" style="5"/>
  </cols>
  <sheetData>
    <row r="1" spans="1:8" ht="38.25" customHeight="1" x14ac:dyDescent="0.4">
      <c r="A1" s="480" t="s">
        <v>551</v>
      </c>
      <c r="B1" s="481"/>
      <c r="C1" s="481"/>
      <c r="D1" s="481"/>
      <c r="E1" s="481"/>
      <c r="F1" s="481"/>
      <c r="G1" s="482"/>
    </row>
    <row r="2" spans="1:8" ht="15" customHeight="1" x14ac:dyDescent="0.4">
      <c r="A2" s="483"/>
      <c r="B2" s="460"/>
      <c r="C2" s="460"/>
      <c r="D2" s="460"/>
      <c r="E2" s="460"/>
      <c r="F2" s="460"/>
      <c r="G2" s="484"/>
    </row>
    <row r="3" spans="1:8" ht="15.75" customHeight="1" x14ac:dyDescent="0.4">
      <c r="A3" s="463" t="s">
        <v>416</v>
      </c>
      <c r="B3" s="464" t="s">
        <v>474</v>
      </c>
      <c r="C3" s="120"/>
      <c r="D3" s="465" t="s">
        <v>631</v>
      </c>
      <c r="E3" s="465" t="s">
        <v>475</v>
      </c>
      <c r="F3" s="466" t="s">
        <v>476</v>
      </c>
      <c r="G3" s="414" t="s">
        <v>477</v>
      </c>
      <c r="H3" s="146"/>
    </row>
    <row r="4" spans="1:8" ht="33.6" customHeight="1" x14ac:dyDescent="0.4">
      <c r="A4" s="463"/>
      <c r="B4" s="412"/>
      <c r="C4" s="316"/>
      <c r="D4" s="465"/>
      <c r="E4" s="465"/>
      <c r="F4" s="466"/>
      <c r="G4" s="414"/>
      <c r="H4" s="146"/>
    </row>
    <row r="5" spans="1:8" ht="0.6" customHeight="1" x14ac:dyDescent="0.4">
      <c r="A5" s="463"/>
      <c r="B5" s="412"/>
      <c r="C5" s="120"/>
      <c r="D5" s="465"/>
      <c r="E5" s="465"/>
      <c r="F5" s="466"/>
      <c r="G5" s="414"/>
      <c r="H5" s="146"/>
    </row>
    <row r="6" spans="1:8" ht="12.6" hidden="1" customHeight="1" thickBot="1" x14ac:dyDescent="0.45">
      <c r="A6" s="463"/>
      <c r="B6" s="412"/>
      <c r="C6" s="120"/>
      <c r="D6" s="465"/>
      <c r="E6" s="465"/>
      <c r="F6" s="466"/>
      <c r="G6" s="414"/>
      <c r="H6" s="146"/>
    </row>
    <row r="7" spans="1:8" ht="25.15" customHeight="1" x14ac:dyDescent="0.4">
      <c r="A7" s="441" t="s">
        <v>441</v>
      </c>
      <c r="B7" s="442"/>
      <c r="C7" s="290"/>
      <c r="D7" s="425" t="s">
        <v>645</v>
      </c>
      <c r="E7" s="438"/>
      <c r="F7" s="300" t="s">
        <v>108</v>
      </c>
      <c r="G7" s="437" t="s">
        <v>479</v>
      </c>
      <c r="H7" s="146"/>
    </row>
    <row r="8" spans="1:8" ht="73.5" customHeight="1" x14ac:dyDescent="0.4">
      <c r="A8" s="439"/>
      <c r="B8" s="440"/>
      <c r="C8" s="294"/>
      <c r="D8" s="472" t="s">
        <v>646</v>
      </c>
      <c r="E8" s="447" t="s">
        <v>698</v>
      </c>
      <c r="F8" s="452" t="str">
        <f>_xlfn.XLOOKUP(F7,BewertungsListe,Source!$C$60:$C$65)</f>
        <v>n.e.</v>
      </c>
      <c r="G8" s="437"/>
      <c r="H8" s="146"/>
    </row>
    <row r="9" spans="1:8" ht="25.15" customHeight="1" x14ac:dyDescent="0.4">
      <c r="A9" s="439"/>
      <c r="B9" s="440"/>
      <c r="C9" s="302"/>
      <c r="D9" s="473"/>
      <c r="E9" s="449"/>
      <c r="F9" s="453"/>
      <c r="G9" s="437"/>
      <c r="H9" s="146"/>
    </row>
    <row r="10" spans="1:8" ht="25.15" customHeight="1" x14ac:dyDescent="0.4">
      <c r="A10" s="439"/>
      <c r="B10" s="440"/>
      <c r="C10" s="317"/>
      <c r="D10" s="471" t="s">
        <v>871</v>
      </c>
      <c r="E10" s="443" t="s">
        <v>699</v>
      </c>
      <c r="F10" s="300" t="s">
        <v>108</v>
      </c>
      <c r="G10" s="437" t="s">
        <v>479</v>
      </c>
      <c r="H10" s="146"/>
    </row>
    <row r="11" spans="1:8" ht="176.25" customHeight="1" x14ac:dyDescent="0.4">
      <c r="A11" s="439"/>
      <c r="B11" s="440"/>
      <c r="C11" s="317"/>
      <c r="D11" s="471"/>
      <c r="E11" s="443"/>
      <c r="F11" s="452" t="str">
        <f>_xlfn.XLOOKUP(F10,BewertungsListe,Source!$C$60:$C$65)</f>
        <v>n.e.</v>
      </c>
      <c r="G11" s="437"/>
      <c r="H11" s="146"/>
    </row>
    <row r="12" spans="1:8" ht="16.899999999999999" customHeight="1" x14ac:dyDescent="0.4">
      <c r="A12" s="439"/>
      <c r="B12" s="446"/>
      <c r="C12" s="318"/>
      <c r="D12" s="473"/>
      <c r="E12" s="444"/>
      <c r="F12" s="453"/>
      <c r="G12" s="437"/>
      <c r="H12" s="146"/>
    </row>
    <row r="13" spans="1:8" ht="36.6" customHeight="1" x14ac:dyDescent="0.4">
      <c r="A13" s="441" t="s">
        <v>442</v>
      </c>
      <c r="B13" s="440" t="s">
        <v>422</v>
      </c>
      <c r="C13" s="305"/>
      <c r="D13" s="425" t="s">
        <v>502</v>
      </c>
      <c r="E13" s="438"/>
      <c r="F13" s="300" t="s">
        <v>108</v>
      </c>
      <c r="G13" s="436" t="s">
        <v>479</v>
      </c>
      <c r="H13" s="146"/>
    </row>
    <row r="14" spans="1:8" ht="111.6" customHeight="1" x14ac:dyDescent="0.4">
      <c r="A14" s="439"/>
      <c r="B14" s="440"/>
      <c r="C14" s="294"/>
      <c r="D14" s="443" t="s">
        <v>503</v>
      </c>
      <c r="E14" s="443" t="s">
        <v>700</v>
      </c>
      <c r="F14" s="452" t="str">
        <f>_xlfn.XLOOKUP(F13,BewertungsListe,Source!$C$60:$C$65)</f>
        <v>n.e.</v>
      </c>
      <c r="G14" s="436"/>
      <c r="H14" s="146"/>
    </row>
    <row r="15" spans="1:8" ht="16.899999999999999" customHeight="1" x14ac:dyDescent="0.4">
      <c r="A15" s="439"/>
      <c r="B15" s="446"/>
      <c r="C15" s="302"/>
      <c r="D15" s="444"/>
      <c r="E15" s="444"/>
      <c r="F15" s="453" t="s">
        <v>492</v>
      </c>
      <c r="G15" s="436"/>
      <c r="H15" s="146"/>
    </row>
    <row r="16" spans="1:8" ht="33" customHeight="1" x14ac:dyDescent="0.4">
      <c r="A16" s="441" t="s">
        <v>443</v>
      </c>
      <c r="B16" s="440" t="s">
        <v>422</v>
      </c>
      <c r="C16" s="305"/>
      <c r="D16" s="425" t="s">
        <v>501</v>
      </c>
      <c r="E16" s="438"/>
      <c r="F16" s="300" t="s">
        <v>108</v>
      </c>
      <c r="G16" s="436" t="s">
        <v>479</v>
      </c>
    </row>
    <row r="17" spans="1:8" ht="192" customHeight="1" x14ac:dyDescent="0.4">
      <c r="A17" s="439"/>
      <c r="B17" s="440"/>
      <c r="C17" s="294"/>
      <c r="D17" s="443" t="s">
        <v>872</v>
      </c>
      <c r="E17" s="443" t="s">
        <v>701</v>
      </c>
      <c r="F17" s="452" t="str">
        <f>_xlfn.XLOOKUP(F16,BewertungsListe,Source!$C$60:$C$65)</f>
        <v>n.e.</v>
      </c>
      <c r="G17" s="436"/>
      <c r="H17" s="146"/>
    </row>
    <row r="18" spans="1:8" ht="16.899999999999999" customHeight="1" x14ac:dyDescent="0.4">
      <c r="A18" s="439"/>
      <c r="B18" s="440"/>
      <c r="C18" s="302"/>
      <c r="D18" s="444"/>
      <c r="E18" s="444"/>
      <c r="F18" s="453" t="s">
        <v>492</v>
      </c>
      <c r="G18" s="436"/>
      <c r="H18" s="146"/>
    </row>
    <row r="19" spans="1:8" ht="33" customHeight="1" x14ac:dyDescent="0.4">
      <c r="A19" s="441" t="s">
        <v>641</v>
      </c>
      <c r="B19" s="417" t="s">
        <v>422</v>
      </c>
      <c r="C19" s="281"/>
      <c r="D19" s="425" t="s">
        <v>504</v>
      </c>
      <c r="E19" s="438"/>
      <c r="F19" s="300" t="s">
        <v>108</v>
      </c>
      <c r="G19" s="436" t="s">
        <v>479</v>
      </c>
      <c r="H19" s="146"/>
    </row>
    <row r="20" spans="1:8" ht="221.45" customHeight="1" x14ac:dyDescent="0.4">
      <c r="A20" s="439"/>
      <c r="B20" s="399"/>
      <c r="C20" s="294"/>
      <c r="D20" s="455" t="s">
        <v>647</v>
      </c>
      <c r="E20" s="447" t="s">
        <v>866</v>
      </c>
      <c r="F20" s="452" t="str">
        <f>_xlfn.XLOOKUP(F19,BewertungsListe,Source!$C$60:$C$65)</f>
        <v>n.e.</v>
      </c>
      <c r="G20" s="436"/>
      <c r="H20" s="146"/>
    </row>
    <row r="21" spans="1:8" ht="16.899999999999999" customHeight="1" x14ac:dyDescent="0.4">
      <c r="A21" s="439"/>
      <c r="B21" s="468"/>
      <c r="C21" s="277"/>
      <c r="D21" s="444"/>
      <c r="E21" s="449"/>
      <c r="F21" s="453" t="s">
        <v>492</v>
      </c>
      <c r="G21" s="436"/>
      <c r="H21" s="146"/>
    </row>
    <row r="22" spans="1:8" ht="52.15" customHeight="1" x14ac:dyDescent="0.4">
      <c r="A22" s="306"/>
      <c r="B22" s="161"/>
      <c r="C22" s="307"/>
      <c r="D22" s="162" cm="1">
        <f t="array" ref="D22">SUMPRODUCT((MOD(ROW(F8:F20),3)=2)*(F8:F20&lt;&gt;"n.e."))</f>
        <v>0</v>
      </c>
      <c r="E22" s="176" t="s">
        <v>506</v>
      </c>
      <c r="F22" s="177" t="str">
        <f>IF(D22=0,"n.e.",ROUND(SUMIF(F8:F20,"&gt;=0") / (D22 *10), 2))</f>
        <v>n.e.</v>
      </c>
      <c r="G22" s="165"/>
      <c r="H22" s="146"/>
    </row>
    <row r="23" spans="1:8" x14ac:dyDescent="0.4">
      <c r="A23" s="164"/>
      <c r="B23" s="121"/>
      <c r="C23" s="121"/>
      <c r="D23" s="119"/>
      <c r="E23" s="121"/>
      <c r="F23" s="121"/>
      <c r="G23" s="121"/>
    </row>
    <row r="24" spans="1:8" ht="16.899999999999999" customHeight="1" x14ac:dyDescent="0.4">
      <c r="A24" s="147"/>
    </row>
    <row r="25" spans="1:8" x14ac:dyDescent="0.4">
      <c r="A25" s="147"/>
    </row>
    <row r="26" spans="1:8" x14ac:dyDescent="0.4">
      <c r="A26" s="146"/>
    </row>
    <row r="27" spans="1:8" x14ac:dyDescent="0.4">
      <c r="A27" s="146"/>
    </row>
    <row r="28" spans="1:8" x14ac:dyDescent="0.4">
      <c r="A28" s="146"/>
    </row>
    <row r="29" spans="1:8" x14ac:dyDescent="0.4">
      <c r="A29" s="146"/>
    </row>
    <row r="30" spans="1:8" x14ac:dyDescent="0.4">
      <c r="A30" s="146"/>
    </row>
    <row r="31" spans="1:8" x14ac:dyDescent="0.4">
      <c r="A31" s="146"/>
    </row>
    <row r="32" spans="1:8" x14ac:dyDescent="0.4">
      <c r="A32" s="146"/>
    </row>
    <row r="33" spans="1:1" x14ac:dyDescent="0.4">
      <c r="A33" s="146"/>
    </row>
    <row r="34" spans="1:1" x14ac:dyDescent="0.4">
      <c r="A34" s="146"/>
    </row>
    <row r="35" spans="1:1" x14ac:dyDescent="0.4">
      <c r="A35" s="146"/>
    </row>
    <row r="36" spans="1:1" x14ac:dyDescent="0.4">
      <c r="A36" s="146"/>
    </row>
    <row r="37" spans="1:1" x14ac:dyDescent="0.4">
      <c r="A37" s="147"/>
    </row>
    <row r="38" spans="1:1" x14ac:dyDescent="0.4">
      <c r="A38" s="146"/>
    </row>
    <row r="39" spans="1:1" x14ac:dyDescent="0.4">
      <c r="A39" s="146"/>
    </row>
    <row r="40" spans="1:1" x14ac:dyDescent="0.4">
      <c r="A40" s="146"/>
    </row>
    <row r="41" spans="1:1" x14ac:dyDescent="0.4">
      <c r="A41" s="146"/>
    </row>
    <row r="42" spans="1:1" x14ac:dyDescent="0.4">
      <c r="A42" s="146"/>
    </row>
    <row r="43" spans="1:1" x14ac:dyDescent="0.4">
      <c r="A43" s="146"/>
    </row>
    <row r="44" spans="1:1" x14ac:dyDescent="0.4">
      <c r="A44" s="146"/>
    </row>
    <row r="45" spans="1:1" x14ac:dyDescent="0.4">
      <c r="A45" s="146"/>
    </row>
    <row r="46" spans="1:1" x14ac:dyDescent="0.4">
      <c r="A46" s="146"/>
    </row>
    <row r="47" spans="1:1" x14ac:dyDescent="0.4">
      <c r="A47" s="146"/>
    </row>
    <row r="48" spans="1:1" x14ac:dyDescent="0.4">
      <c r="A48" s="146"/>
    </row>
    <row r="49" spans="1:4" x14ac:dyDescent="0.4">
      <c r="A49" s="146"/>
    </row>
    <row r="50" spans="1:4" x14ac:dyDescent="0.4">
      <c r="A50" s="146"/>
    </row>
    <row r="51" spans="1:4" x14ac:dyDescent="0.4">
      <c r="A51" s="146"/>
    </row>
    <row r="52" spans="1:4" x14ac:dyDescent="0.4">
      <c r="A52" s="147"/>
    </row>
    <row r="53" spans="1:4" x14ac:dyDescent="0.4">
      <c r="A53" s="146"/>
      <c r="D53" s="6"/>
    </row>
    <row r="54" spans="1:4" x14ac:dyDescent="0.4">
      <c r="A54" s="146"/>
    </row>
    <row r="55" spans="1:4" x14ac:dyDescent="0.4">
      <c r="A55" s="147"/>
    </row>
    <row r="56" spans="1:4" x14ac:dyDescent="0.4">
      <c r="A56" s="147"/>
    </row>
    <row r="57" spans="1:4" x14ac:dyDescent="0.4">
      <c r="A57" s="147"/>
    </row>
    <row r="58" spans="1:4" x14ac:dyDescent="0.4">
      <c r="A58" s="147"/>
    </row>
  </sheetData>
  <mergeCells count="39">
    <mergeCell ref="A1:G2"/>
    <mergeCell ref="G3:G6"/>
    <mergeCell ref="A7:A12"/>
    <mergeCell ref="B7:B12"/>
    <mergeCell ref="F11:F12"/>
    <mergeCell ref="F3:F6"/>
    <mergeCell ref="F8:F9"/>
    <mergeCell ref="G7:G9"/>
    <mergeCell ref="G10:G12"/>
    <mergeCell ref="A16:A18"/>
    <mergeCell ref="A3:A6"/>
    <mergeCell ref="B3:B6"/>
    <mergeCell ref="D3:D6"/>
    <mergeCell ref="E3:E6"/>
    <mergeCell ref="D8:D9"/>
    <mergeCell ref="E8:E9"/>
    <mergeCell ref="E10:E12"/>
    <mergeCell ref="D10:D12"/>
    <mergeCell ref="A13:A15"/>
    <mergeCell ref="B13:B15"/>
    <mergeCell ref="D7:E7"/>
    <mergeCell ref="A19:A21"/>
    <mergeCell ref="B19:B21"/>
    <mergeCell ref="D20:D21"/>
    <mergeCell ref="E20:E21"/>
    <mergeCell ref="F20:F21"/>
    <mergeCell ref="G19:G21"/>
    <mergeCell ref="B16:B18"/>
    <mergeCell ref="D14:D15"/>
    <mergeCell ref="E14:E15"/>
    <mergeCell ref="F17:F18"/>
    <mergeCell ref="G13:G15"/>
    <mergeCell ref="D17:D18"/>
    <mergeCell ref="E17:E18"/>
    <mergeCell ref="F14:F15"/>
    <mergeCell ref="G16:G18"/>
    <mergeCell ref="D13:E13"/>
    <mergeCell ref="D16:E16"/>
    <mergeCell ref="D19:E19"/>
  </mergeCells>
  <conditionalFormatting sqref="F17">
    <cfRule type="cellIs" dxfId="174" priority="42" operator="equal">
      <formula>10</formula>
    </cfRule>
  </conditionalFormatting>
  <conditionalFormatting sqref="F17">
    <cfRule type="cellIs" dxfId="173" priority="37" operator="equal">
      <formula>0</formula>
    </cfRule>
    <cfRule type="cellIs" dxfId="172" priority="39" operator="equal">
      <formula>4</formula>
    </cfRule>
  </conditionalFormatting>
  <conditionalFormatting sqref="F17">
    <cfRule type="cellIs" dxfId="171" priority="38" operator="equal">
      <formula>2</formula>
    </cfRule>
    <cfRule type="cellIs" dxfId="170" priority="41" operator="equal">
      <formula>8</formula>
    </cfRule>
  </conditionalFormatting>
  <conditionalFormatting sqref="F17">
    <cfRule type="cellIs" dxfId="169" priority="40" operator="equal">
      <formula>6</formula>
    </cfRule>
  </conditionalFormatting>
  <conditionalFormatting sqref="F20">
    <cfRule type="cellIs" dxfId="168" priority="36" operator="equal">
      <formula>10</formula>
    </cfRule>
  </conditionalFormatting>
  <conditionalFormatting sqref="F20">
    <cfRule type="cellIs" dxfId="167" priority="31" operator="equal">
      <formula>0</formula>
    </cfRule>
    <cfRule type="cellIs" dxfId="166" priority="33" operator="equal">
      <formula>4</formula>
    </cfRule>
  </conditionalFormatting>
  <conditionalFormatting sqref="F20">
    <cfRule type="cellIs" dxfId="165" priority="32" operator="equal">
      <formula>2</formula>
    </cfRule>
    <cfRule type="cellIs" dxfId="164" priority="35" operator="equal">
      <formula>8</formula>
    </cfRule>
  </conditionalFormatting>
  <conditionalFormatting sqref="F20">
    <cfRule type="cellIs" dxfId="163" priority="34" operator="equal">
      <formula>6</formula>
    </cfRule>
  </conditionalFormatting>
  <conditionalFormatting sqref="F11">
    <cfRule type="cellIs" dxfId="162" priority="18" operator="equal">
      <formula>10</formula>
    </cfRule>
  </conditionalFormatting>
  <conditionalFormatting sqref="F11">
    <cfRule type="cellIs" dxfId="161" priority="13" operator="equal">
      <formula>0</formula>
    </cfRule>
    <cfRule type="cellIs" dxfId="160" priority="15" operator="equal">
      <formula>4</formula>
    </cfRule>
  </conditionalFormatting>
  <conditionalFormatting sqref="F11">
    <cfRule type="cellIs" dxfId="159" priority="14" operator="equal">
      <formula>2</formula>
    </cfRule>
    <cfRule type="cellIs" dxfId="158" priority="17" operator="equal">
      <formula>8</formula>
    </cfRule>
  </conditionalFormatting>
  <conditionalFormatting sqref="F11">
    <cfRule type="cellIs" dxfId="157" priority="16" operator="equal">
      <formula>6</formula>
    </cfRule>
  </conditionalFormatting>
  <conditionalFormatting sqref="F8">
    <cfRule type="cellIs" dxfId="156" priority="12" operator="equal">
      <formula>10</formula>
    </cfRule>
  </conditionalFormatting>
  <conditionalFormatting sqref="F8">
    <cfRule type="cellIs" dxfId="155" priority="7" operator="equal">
      <formula>0</formula>
    </cfRule>
    <cfRule type="cellIs" dxfId="154" priority="9" operator="equal">
      <formula>4</formula>
    </cfRule>
  </conditionalFormatting>
  <conditionalFormatting sqref="F8">
    <cfRule type="cellIs" dxfId="153" priority="8" operator="equal">
      <formula>2</formula>
    </cfRule>
    <cfRule type="cellIs" dxfId="152" priority="11" operator="equal">
      <formula>8</formula>
    </cfRule>
  </conditionalFormatting>
  <conditionalFormatting sqref="F8">
    <cfRule type="cellIs" dxfId="151" priority="10" operator="equal">
      <formula>6</formula>
    </cfRule>
  </conditionalFormatting>
  <conditionalFormatting sqref="F14">
    <cfRule type="cellIs" dxfId="150" priority="6" operator="equal">
      <formula>10</formula>
    </cfRule>
  </conditionalFormatting>
  <conditionalFormatting sqref="F14">
    <cfRule type="cellIs" dxfId="149" priority="1" operator="equal">
      <formula>0</formula>
    </cfRule>
    <cfRule type="cellIs" dxfId="148" priority="3" operator="equal">
      <formula>4</formula>
    </cfRule>
  </conditionalFormatting>
  <conditionalFormatting sqref="F14">
    <cfRule type="cellIs" dxfId="147" priority="2" operator="equal">
      <formula>2</formula>
    </cfRule>
    <cfRule type="cellIs" dxfId="146" priority="5" operator="equal">
      <formula>8</formula>
    </cfRule>
  </conditionalFormatting>
  <conditionalFormatting sqref="F14">
    <cfRule type="cellIs" dxfId="145" priority="4" operator="equal">
      <formula>6</formula>
    </cfRule>
  </conditionalFormatting>
  <dataValidations count="1">
    <dataValidation type="list" allowBlank="1" showInputMessage="1" showErrorMessage="1" sqref="F19 F16 F10 F13 F7" xr:uid="{0473D551-1275-4FA5-8B3F-796002209767}">
      <formula1>BewertungsListe</formula1>
    </dataValidation>
  </dataValidations>
  <hyperlinks>
    <hyperlink ref="G7" location="Anmerkungen!F51" display="▶️" xr:uid="{4D65B14E-93AF-4FF5-96B6-4CD91F5F20F9}"/>
    <hyperlink ref="G16" location="Anmerkungen!F52" display="▶️" xr:uid="{E812DE9B-DB28-470D-8B42-DEA88268C7E2}"/>
    <hyperlink ref="G19" location="Anmerkungen!F53" display="▶️" xr:uid="{86BCFB16-B22B-4827-A577-28D8ED16447F}"/>
    <hyperlink ref="G16:G18" location="Remarks!G30" display="▶️" xr:uid="{082E1469-4ECF-4ACD-9B4B-F8728DD8B4DA}"/>
    <hyperlink ref="G19:G21" location="Remarks!G31" display="▶️" xr:uid="{2575794F-B1BA-4790-A78B-4723EEA13851}"/>
    <hyperlink ref="G13" location="Anmerkungen!F52" display="▶️" xr:uid="{2529C2BE-2189-4177-8B14-0765D6BCC081}"/>
    <hyperlink ref="G13:G15" location="Remarks!G29" display="▶️" xr:uid="{A7A0C52C-4B66-4DD1-98D3-3EC2F855D516}"/>
    <hyperlink ref="G7:G9" location="Remarks!G27" display="▶️" xr:uid="{DD7E5651-D2D3-42DC-AF4B-5C098B61714E}"/>
    <hyperlink ref="G10" location="Anmerkungen!F51" display="▶️" xr:uid="{4E3C30C8-FCA6-4780-99D7-62454654FB16}"/>
    <hyperlink ref="G10:G12" location="Remarks!G28" display="▶️" xr:uid="{CEB0E87D-4FE7-4EE9-B119-EAD9BE73C2C6}"/>
  </hyperlinks>
  <pageMargins left="0.7" right="0.7" top="0.78740157499999996" bottom="0.78740157499999996" header="0.3" footer="0.3"/>
  <pageSetup paperSize="9" scale="39" fitToHeight="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0B293-43E7-4702-ADDF-69F0BFE7792B}">
  <sheetPr codeName="Tabelle8">
    <pageSetUpPr fitToPage="1"/>
  </sheetPr>
  <dimension ref="A1:K87"/>
  <sheetViews>
    <sheetView zoomScale="70" zoomScaleNormal="70" workbookViewId="0">
      <selection activeCell="D8" sqref="D8:D9"/>
    </sheetView>
  </sheetViews>
  <sheetFormatPr baseColWidth="10" defaultColWidth="10.88671875" defaultRowHeight="18" x14ac:dyDescent="0.4"/>
  <cols>
    <col min="1" max="1" width="4.6640625" style="22" customWidth="1"/>
    <col min="2" max="3" width="3.88671875" style="5" customWidth="1"/>
    <col min="4" max="4" width="83.6640625" style="5" customWidth="1"/>
    <col min="5" max="5" width="58.5546875" style="5" customWidth="1"/>
    <col min="6" max="6" width="27.44140625" style="5" customWidth="1"/>
    <col min="7" max="7" width="5.5546875" style="5" customWidth="1"/>
    <col min="8" max="8" width="10.88671875" style="5"/>
    <col min="9" max="9" width="36.44140625" style="5" customWidth="1"/>
    <col min="10" max="10" width="54.77734375" style="5" customWidth="1"/>
    <col min="11" max="11" width="82.77734375" style="5" customWidth="1"/>
    <col min="12" max="16384" width="10.88671875" style="5"/>
  </cols>
  <sheetData>
    <row r="1" spans="1:7" ht="38.25" customHeight="1" x14ac:dyDescent="0.4">
      <c r="A1" s="456" t="s">
        <v>636</v>
      </c>
      <c r="B1" s="457"/>
      <c r="C1" s="457"/>
      <c r="D1" s="457"/>
      <c r="E1" s="457"/>
      <c r="F1" s="457"/>
      <c r="G1" s="458"/>
    </row>
    <row r="2" spans="1:7" ht="15" customHeight="1" x14ac:dyDescent="0.4">
      <c r="A2" s="459"/>
      <c r="B2" s="460"/>
      <c r="C2" s="460"/>
      <c r="D2" s="460"/>
      <c r="E2" s="460"/>
      <c r="F2" s="460"/>
      <c r="G2" s="461"/>
    </row>
    <row r="3" spans="1:7" ht="15.75" customHeight="1" x14ac:dyDescent="0.4">
      <c r="A3" s="463" t="s">
        <v>416</v>
      </c>
      <c r="B3" s="489" t="s">
        <v>474</v>
      </c>
      <c r="C3" s="319"/>
      <c r="D3" s="465" t="s">
        <v>631</v>
      </c>
      <c r="E3" s="465" t="s">
        <v>475</v>
      </c>
      <c r="F3" s="466" t="s">
        <v>476</v>
      </c>
      <c r="G3" s="414" t="s">
        <v>477</v>
      </c>
    </row>
    <row r="4" spans="1:7" ht="33.6" customHeight="1" x14ac:dyDescent="0.4">
      <c r="A4" s="463"/>
      <c r="B4" s="489"/>
      <c r="C4" s="298"/>
      <c r="D4" s="465"/>
      <c r="E4" s="465"/>
      <c r="F4" s="466"/>
      <c r="G4" s="414"/>
    </row>
    <row r="5" spans="1:7" ht="0.6" customHeight="1" x14ac:dyDescent="0.4">
      <c r="A5" s="463"/>
      <c r="B5" s="414"/>
      <c r="C5" s="120"/>
      <c r="D5" s="465"/>
      <c r="E5" s="465"/>
      <c r="F5" s="466"/>
      <c r="G5" s="414"/>
    </row>
    <row r="6" spans="1:7" ht="12.6" customHeight="1" x14ac:dyDescent="0.4">
      <c r="A6" s="463"/>
      <c r="B6" s="489"/>
      <c r="C6" s="316"/>
      <c r="D6" s="490"/>
      <c r="E6" s="490"/>
      <c r="F6" s="477"/>
      <c r="G6" s="414"/>
    </row>
    <row r="7" spans="1:7" ht="26.45" customHeight="1" x14ac:dyDescent="0.4">
      <c r="A7" s="441" t="s">
        <v>445</v>
      </c>
      <c r="B7" s="417" t="s">
        <v>422</v>
      </c>
      <c r="C7" s="290"/>
      <c r="D7" s="425" t="s">
        <v>507</v>
      </c>
      <c r="E7" s="438"/>
      <c r="F7" s="299" t="s">
        <v>108</v>
      </c>
      <c r="G7" s="158"/>
    </row>
    <row r="8" spans="1:7" ht="117" customHeight="1" x14ac:dyDescent="0.4">
      <c r="A8" s="439"/>
      <c r="B8" s="399"/>
      <c r="C8" s="277"/>
      <c r="D8" s="443" t="s">
        <v>508</v>
      </c>
      <c r="E8" s="448" t="s">
        <v>702</v>
      </c>
      <c r="F8" s="478" t="str">
        <f>_xlfn.XLOOKUP(F7,BewertungsListe,Source!$C$60:$C$65)</f>
        <v>n.e.</v>
      </c>
      <c r="G8" s="436" t="s">
        <v>479</v>
      </c>
    </row>
    <row r="9" spans="1:7" ht="16.899999999999999" customHeight="1" x14ac:dyDescent="0.4">
      <c r="A9" s="445"/>
      <c r="B9" s="468"/>
      <c r="C9" s="311"/>
      <c r="D9" s="444"/>
      <c r="E9" s="449"/>
      <c r="F9" s="479" t="s">
        <v>492</v>
      </c>
      <c r="G9" s="436"/>
    </row>
    <row r="10" spans="1:7" ht="26.45" customHeight="1" x14ac:dyDescent="0.4">
      <c r="A10" s="415" t="s">
        <v>446</v>
      </c>
      <c r="B10" s="417" t="s">
        <v>422</v>
      </c>
      <c r="C10" s="290"/>
      <c r="D10" s="425" t="s">
        <v>509</v>
      </c>
      <c r="E10" s="438"/>
      <c r="F10" s="299" t="s">
        <v>108</v>
      </c>
      <c r="G10" s="436" t="s">
        <v>479</v>
      </c>
    </row>
    <row r="11" spans="1:7" ht="183" customHeight="1" x14ac:dyDescent="0.4">
      <c r="A11" s="416"/>
      <c r="B11" s="399"/>
      <c r="C11" s="277"/>
      <c r="D11" s="443" t="s">
        <v>651</v>
      </c>
      <c r="E11" s="448" t="s">
        <v>703</v>
      </c>
      <c r="F11" s="478" t="str">
        <f>_xlfn.XLOOKUP(F10,BewertungsListe,Source!$C$60:$C$65)</f>
        <v>n.e.</v>
      </c>
      <c r="G11" s="436"/>
    </row>
    <row r="12" spans="1:7" ht="16.899999999999999" customHeight="1" x14ac:dyDescent="0.4">
      <c r="A12" s="467"/>
      <c r="B12" s="468"/>
      <c r="C12" s="311"/>
      <c r="D12" s="444"/>
      <c r="E12" s="449"/>
      <c r="F12" s="479" t="s">
        <v>492</v>
      </c>
      <c r="G12" s="436"/>
    </row>
    <row r="13" spans="1:7" ht="25.9" customHeight="1" x14ac:dyDescent="0.4">
      <c r="A13" s="439" t="s">
        <v>447</v>
      </c>
      <c r="B13" s="399" t="s">
        <v>422</v>
      </c>
      <c r="C13" s="290"/>
      <c r="D13" s="425" t="s">
        <v>510</v>
      </c>
      <c r="E13" s="438"/>
      <c r="F13" s="299" t="s">
        <v>108</v>
      </c>
      <c r="G13" s="436" t="s">
        <v>479</v>
      </c>
    </row>
    <row r="14" spans="1:7" ht="165.6" customHeight="1" x14ac:dyDescent="0.4">
      <c r="A14" s="439"/>
      <c r="B14" s="399"/>
      <c r="C14" s="277"/>
      <c r="D14" s="443" t="s">
        <v>652</v>
      </c>
      <c r="E14" s="448" t="s">
        <v>704</v>
      </c>
      <c r="F14" s="478" t="str">
        <f>_xlfn.XLOOKUP(F13,BewertungsListe,Source!$C$60:$C$65)</f>
        <v>n.e.</v>
      </c>
      <c r="G14" s="436"/>
    </row>
    <row r="15" spans="1:7" ht="16.899999999999999" customHeight="1" x14ac:dyDescent="0.4">
      <c r="A15" s="445"/>
      <c r="B15" s="468"/>
      <c r="C15" s="311"/>
      <c r="D15" s="444"/>
      <c r="E15" s="449"/>
      <c r="F15" s="479" t="s">
        <v>492</v>
      </c>
      <c r="G15" s="436"/>
    </row>
    <row r="16" spans="1:7" ht="30.6" customHeight="1" x14ac:dyDescent="0.4">
      <c r="A16" s="439" t="s">
        <v>448</v>
      </c>
      <c r="B16" s="399" t="s">
        <v>422</v>
      </c>
      <c r="C16" s="290"/>
      <c r="D16" s="425" t="s">
        <v>511</v>
      </c>
      <c r="E16" s="438"/>
      <c r="F16" s="299" t="s">
        <v>108</v>
      </c>
      <c r="G16" s="436" t="s">
        <v>479</v>
      </c>
    </row>
    <row r="17" spans="1:11" ht="196.9" customHeight="1" x14ac:dyDescent="0.4">
      <c r="A17" s="439"/>
      <c r="B17" s="399"/>
      <c r="C17" s="277"/>
      <c r="D17" s="443" t="s">
        <v>705</v>
      </c>
      <c r="E17" s="448" t="s">
        <v>706</v>
      </c>
      <c r="F17" s="478" t="str">
        <f>_xlfn.XLOOKUP(F16,BewertungsListe,Source!$C$60:$C$65)</f>
        <v>n.e.</v>
      </c>
      <c r="G17" s="436"/>
    </row>
    <row r="18" spans="1:11" ht="16.899999999999999" customHeight="1" x14ac:dyDescent="0.4">
      <c r="A18" s="445"/>
      <c r="B18" s="468"/>
      <c r="C18" s="311"/>
      <c r="D18" s="444"/>
      <c r="E18" s="449"/>
      <c r="F18" s="479" t="s">
        <v>492</v>
      </c>
      <c r="G18" s="436"/>
    </row>
    <row r="19" spans="1:11" ht="30.6" customHeight="1" x14ac:dyDescent="0.4">
      <c r="A19" s="439" t="s">
        <v>449</v>
      </c>
      <c r="B19" s="399"/>
      <c r="C19" s="290"/>
      <c r="D19" s="425" t="s">
        <v>653</v>
      </c>
      <c r="E19" s="438"/>
      <c r="F19" s="299" t="s">
        <v>108</v>
      </c>
      <c r="G19" s="436" t="s">
        <v>479</v>
      </c>
    </row>
    <row r="20" spans="1:11" ht="162.75" customHeight="1" x14ac:dyDescent="0.4">
      <c r="A20" s="439"/>
      <c r="B20" s="399"/>
      <c r="C20" s="277"/>
      <c r="D20" s="443" t="s">
        <v>873</v>
      </c>
      <c r="E20" s="448" t="s">
        <v>707</v>
      </c>
      <c r="F20" s="454" t="str">
        <f>_xlfn.XLOOKUP(F19,BewertungsListe,Source!$C$60:$C$65)</f>
        <v>n.e.</v>
      </c>
      <c r="G20" s="436"/>
    </row>
    <row r="21" spans="1:11" ht="24.75" x14ac:dyDescent="0.4">
      <c r="A21" s="439"/>
      <c r="B21" s="399"/>
      <c r="C21" s="277"/>
      <c r="D21" s="443"/>
      <c r="E21" s="448"/>
      <c r="F21" s="454" t="s">
        <v>492</v>
      </c>
      <c r="G21" s="436"/>
    </row>
    <row r="22" spans="1:11" ht="25.5" customHeight="1" x14ac:dyDescent="0.4">
      <c r="A22" s="415" t="s">
        <v>450</v>
      </c>
      <c r="B22" s="417" t="s">
        <v>422</v>
      </c>
      <c r="C22" s="291"/>
      <c r="D22" s="425" t="s">
        <v>512</v>
      </c>
      <c r="E22" s="438"/>
      <c r="F22" s="303" t="s">
        <v>108</v>
      </c>
      <c r="G22" s="321"/>
    </row>
    <row r="23" spans="1:11" ht="186" customHeight="1" x14ac:dyDescent="0.4">
      <c r="A23" s="416"/>
      <c r="B23" s="399"/>
      <c r="C23" s="277"/>
      <c r="D23" s="443" t="s">
        <v>708</v>
      </c>
      <c r="E23" s="448" t="s">
        <v>709</v>
      </c>
      <c r="F23" s="452" t="str">
        <f>_xlfn.XLOOKUP(F22,BewertungsListe,Source!$C$60:$C$65)</f>
        <v>n.e.</v>
      </c>
      <c r="G23" s="328" t="s">
        <v>479</v>
      </c>
    </row>
    <row r="24" spans="1:11" ht="18" customHeight="1" x14ac:dyDescent="0.4">
      <c r="A24" s="416"/>
      <c r="B24" s="399"/>
      <c r="C24" s="311"/>
      <c r="D24" s="444"/>
      <c r="E24" s="449"/>
      <c r="F24" s="453"/>
      <c r="G24" s="328"/>
    </row>
    <row r="25" spans="1:11" ht="25.5" customHeight="1" x14ac:dyDescent="0.4">
      <c r="A25" s="416"/>
      <c r="B25" s="399"/>
      <c r="C25" s="277"/>
      <c r="D25" s="322"/>
      <c r="E25" s="325"/>
      <c r="F25" s="324" t="s">
        <v>108</v>
      </c>
      <c r="G25" s="321"/>
    </row>
    <row r="26" spans="1:11" ht="25.5" customHeight="1" x14ac:dyDescent="0.4">
      <c r="A26" s="416"/>
      <c r="B26" s="399"/>
      <c r="C26" s="301"/>
      <c r="D26" s="443" t="s">
        <v>654</v>
      </c>
      <c r="E26" s="487" t="s">
        <v>710</v>
      </c>
      <c r="F26" s="452" t="str">
        <f>_xlfn.XLOOKUP(F25,BewertungsListe,Source!$C$60:$C$65)</f>
        <v>n.e.</v>
      </c>
      <c r="G26" s="485" t="s">
        <v>479</v>
      </c>
    </row>
    <row r="27" spans="1:11" ht="46.5" customHeight="1" x14ac:dyDescent="0.4">
      <c r="A27" s="416"/>
      <c r="B27" s="399"/>
      <c r="C27" s="302"/>
      <c r="D27" s="444"/>
      <c r="E27" s="488"/>
      <c r="F27" s="453"/>
      <c r="G27" s="485"/>
    </row>
    <row r="28" spans="1:11" ht="25.5" customHeight="1" x14ac:dyDescent="0.4">
      <c r="A28" s="416"/>
      <c r="B28" s="399"/>
      <c r="C28" s="277"/>
      <c r="D28" s="322"/>
      <c r="E28" s="323"/>
      <c r="F28" s="324" t="s">
        <v>108</v>
      </c>
      <c r="G28" s="320"/>
    </row>
    <row r="29" spans="1:11" ht="18.75" customHeight="1" x14ac:dyDescent="0.4">
      <c r="A29" s="416"/>
      <c r="B29" s="399"/>
      <c r="C29" s="277"/>
      <c r="D29" s="443" t="s">
        <v>655</v>
      </c>
      <c r="E29" s="448" t="s">
        <v>711</v>
      </c>
      <c r="F29" s="452" t="str">
        <f>_xlfn.XLOOKUP(F28,BewertungsListe,Source!$C$60:$C$65)</f>
        <v>n.e.</v>
      </c>
      <c r="G29" s="485" t="s">
        <v>479</v>
      </c>
    </row>
    <row r="30" spans="1:11" ht="19.5" customHeight="1" x14ac:dyDescent="0.4">
      <c r="A30" s="467"/>
      <c r="B30" s="468"/>
      <c r="C30" s="311"/>
      <c r="D30" s="444"/>
      <c r="E30" s="449"/>
      <c r="F30" s="453"/>
      <c r="G30" s="485"/>
    </row>
    <row r="31" spans="1:11" ht="25.5" customHeight="1" x14ac:dyDescent="0.4">
      <c r="A31" s="415" t="s">
        <v>451</v>
      </c>
      <c r="B31" s="417"/>
      <c r="C31" s="290"/>
      <c r="D31" s="425" t="s">
        <v>656</v>
      </c>
      <c r="E31" s="438"/>
      <c r="F31" s="300" t="s">
        <v>108</v>
      </c>
      <c r="G31" s="436" t="s">
        <v>479</v>
      </c>
    </row>
    <row r="32" spans="1:11" ht="267" customHeight="1" x14ac:dyDescent="0.4">
      <c r="A32" s="416"/>
      <c r="B32" s="399"/>
      <c r="C32" s="277"/>
      <c r="D32" s="471" t="s">
        <v>874</v>
      </c>
      <c r="E32" s="475" t="s">
        <v>875</v>
      </c>
      <c r="F32" s="454" t="str">
        <f>_xlfn.XLOOKUP(F31,BewertungsListe,Source!$C$60:$C$65)</f>
        <v>n.e.</v>
      </c>
      <c r="G32" s="436"/>
      <c r="I32" s="491"/>
      <c r="J32" s="492"/>
      <c r="K32" s="93"/>
    </row>
    <row r="33" spans="1:10" ht="24.75" x14ac:dyDescent="0.4">
      <c r="A33" s="467"/>
      <c r="B33" s="468"/>
      <c r="C33" s="311"/>
      <c r="D33" s="473"/>
      <c r="E33" s="486"/>
      <c r="F33" s="453" t="s">
        <v>492</v>
      </c>
      <c r="G33" s="436"/>
      <c r="I33" s="6"/>
      <c r="J33" s="6"/>
    </row>
    <row r="34" spans="1:10" ht="24" customHeight="1" x14ac:dyDescent="0.4">
      <c r="A34" s="439" t="s">
        <v>452</v>
      </c>
      <c r="B34" s="399"/>
      <c r="C34" s="290"/>
      <c r="D34" s="425" t="s">
        <v>513</v>
      </c>
      <c r="E34" s="438"/>
      <c r="F34" s="299" t="s">
        <v>108</v>
      </c>
      <c r="G34" s="436" t="s">
        <v>479</v>
      </c>
    </row>
    <row r="35" spans="1:10" ht="122.45" customHeight="1" x14ac:dyDescent="0.4">
      <c r="A35" s="439"/>
      <c r="B35" s="399"/>
      <c r="C35" s="277"/>
      <c r="D35" s="443" t="s">
        <v>657</v>
      </c>
      <c r="E35" s="448" t="s">
        <v>712</v>
      </c>
      <c r="F35" s="478" t="str">
        <f>_xlfn.XLOOKUP(F34,BewertungsListe,Source!$C$60:$C$65)</f>
        <v>n.e.</v>
      </c>
      <c r="G35" s="436"/>
    </row>
    <row r="36" spans="1:10" ht="24.75" x14ac:dyDescent="0.4">
      <c r="A36" s="445"/>
      <c r="B36" s="468"/>
      <c r="C36" s="311"/>
      <c r="D36" s="444"/>
      <c r="E36" s="449"/>
      <c r="F36" s="479" t="s">
        <v>492</v>
      </c>
      <c r="G36" s="436"/>
    </row>
    <row r="37" spans="1:10" ht="25.5" customHeight="1" x14ac:dyDescent="0.4">
      <c r="A37" s="439" t="s">
        <v>453</v>
      </c>
      <c r="B37" s="399" t="s">
        <v>422</v>
      </c>
      <c r="C37" s="290"/>
      <c r="D37" s="425" t="s">
        <v>514</v>
      </c>
      <c r="E37" s="438"/>
      <c r="F37" s="299" t="s">
        <v>108</v>
      </c>
      <c r="G37" s="436" t="s">
        <v>479</v>
      </c>
    </row>
    <row r="38" spans="1:10" ht="171" customHeight="1" x14ac:dyDescent="0.4">
      <c r="A38" s="439"/>
      <c r="B38" s="399"/>
      <c r="C38" s="277"/>
      <c r="D38" s="443" t="s">
        <v>623</v>
      </c>
      <c r="E38" s="448" t="s">
        <v>867</v>
      </c>
      <c r="F38" s="478" t="str">
        <f>_xlfn.XLOOKUP(F37,BewertungsListe,Source!$C$60:$C$65)</f>
        <v>n.e.</v>
      </c>
      <c r="G38" s="436"/>
    </row>
    <row r="39" spans="1:10" ht="35.450000000000003" customHeight="1" x14ac:dyDescent="0.4">
      <c r="A39" s="439"/>
      <c r="B39" s="399"/>
      <c r="C39" s="277"/>
      <c r="D39" s="443"/>
      <c r="E39" s="448"/>
      <c r="F39" s="478" t="s">
        <v>492</v>
      </c>
      <c r="G39" s="436"/>
    </row>
    <row r="40" spans="1:10" ht="24.75" x14ac:dyDescent="0.4">
      <c r="A40" s="415" t="s">
        <v>454</v>
      </c>
      <c r="B40" s="417" t="s">
        <v>422</v>
      </c>
      <c r="C40" s="290"/>
      <c r="D40" s="425" t="s">
        <v>515</v>
      </c>
      <c r="E40" s="438"/>
      <c r="F40" s="299" t="s">
        <v>108</v>
      </c>
      <c r="G40" s="436" t="s">
        <v>479</v>
      </c>
    </row>
    <row r="41" spans="1:10" ht="271.14999999999998" customHeight="1" x14ac:dyDescent="0.4">
      <c r="A41" s="416"/>
      <c r="B41" s="399"/>
      <c r="C41" s="277"/>
      <c r="D41" s="443" t="s">
        <v>505</v>
      </c>
      <c r="E41" s="448" t="s">
        <v>713</v>
      </c>
      <c r="F41" s="478" t="str">
        <f>_xlfn.XLOOKUP(F40,BewertungsListe,Source!$C$60:$C$65)</f>
        <v>n.e.</v>
      </c>
      <c r="G41" s="436"/>
    </row>
    <row r="42" spans="1:10" ht="25.15" customHeight="1" x14ac:dyDescent="0.4">
      <c r="A42" s="467"/>
      <c r="B42" s="468"/>
      <c r="C42" s="311"/>
      <c r="D42" s="444"/>
      <c r="E42" s="449"/>
      <c r="F42" s="479" t="s">
        <v>492</v>
      </c>
      <c r="G42" s="436"/>
    </row>
    <row r="43" spans="1:10" ht="24.75" x14ac:dyDescent="0.4">
      <c r="A43" s="415" t="s">
        <v>455</v>
      </c>
      <c r="B43" s="417" t="s">
        <v>422</v>
      </c>
      <c r="C43" s="290"/>
      <c r="D43" s="425" t="s">
        <v>516</v>
      </c>
      <c r="E43" s="438"/>
      <c r="F43" s="300" t="s">
        <v>108</v>
      </c>
      <c r="G43" s="436" t="s">
        <v>479</v>
      </c>
    </row>
    <row r="44" spans="1:10" ht="217.15" customHeight="1" x14ac:dyDescent="0.4">
      <c r="A44" s="416"/>
      <c r="B44" s="399"/>
      <c r="C44" s="277"/>
      <c r="D44" s="443" t="s">
        <v>868</v>
      </c>
      <c r="E44" s="448" t="s">
        <v>876</v>
      </c>
      <c r="F44" s="454" t="str">
        <f>_xlfn.XLOOKUP(F43,BewertungsListe,Source!$C$60:$C$65)</f>
        <v>n.e.</v>
      </c>
      <c r="G44" s="436"/>
    </row>
    <row r="45" spans="1:10" ht="25.9" customHeight="1" x14ac:dyDescent="0.4">
      <c r="A45" s="467"/>
      <c r="B45" s="468"/>
      <c r="C45" s="311"/>
      <c r="D45" s="444"/>
      <c r="E45" s="449"/>
      <c r="F45" s="453" t="s">
        <v>492</v>
      </c>
      <c r="G45" s="436"/>
    </row>
    <row r="46" spans="1:10" ht="27" customHeight="1" x14ac:dyDescent="0.4">
      <c r="A46" s="415" t="s">
        <v>456</v>
      </c>
      <c r="B46" s="399"/>
      <c r="C46" s="290"/>
      <c r="D46" s="425" t="s">
        <v>517</v>
      </c>
      <c r="E46" s="438"/>
      <c r="F46" s="300" t="s">
        <v>108</v>
      </c>
      <c r="G46" s="436" t="s">
        <v>479</v>
      </c>
    </row>
    <row r="47" spans="1:10" ht="260.45" customHeight="1" x14ac:dyDescent="0.4">
      <c r="A47" s="416"/>
      <c r="B47" s="399"/>
      <c r="C47" s="277"/>
      <c r="D47" s="443" t="s">
        <v>518</v>
      </c>
      <c r="E47" s="447" t="s">
        <v>714</v>
      </c>
      <c r="F47" s="478" t="str">
        <f>_xlfn.XLOOKUP(F46,BewertungsListe,Source!$C$60:$C$65)</f>
        <v>n.e.</v>
      </c>
      <c r="G47" s="436"/>
    </row>
    <row r="48" spans="1:10" ht="24.75" x14ac:dyDescent="0.4">
      <c r="A48" s="467"/>
      <c r="B48" s="468"/>
      <c r="C48" s="311"/>
      <c r="D48" s="444"/>
      <c r="E48" s="449"/>
      <c r="F48" s="479" t="s">
        <v>492</v>
      </c>
      <c r="G48" s="436"/>
    </row>
    <row r="49" spans="1:7" ht="24.75" x14ac:dyDescent="0.4">
      <c r="A49" s="415" t="s">
        <v>457</v>
      </c>
      <c r="B49" s="399" t="s">
        <v>422</v>
      </c>
      <c r="C49" s="290"/>
      <c r="D49" s="425" t="s">
        <v>519</v>
      </c>
      <c r="E49" s="438"/>
      <c r="F49" s="299" t="s">
        <v>108</v>
      </c>
      <c r="G49" s="436" t="s">
        <v>479</v>
      </c>
    </row>
    <row r="50" spans="1:7" ht="292.89999999999998" customHeight="1" x14ac:dyDescent="0.4">
      <c r="A50" s="416"/>
      <c r="B50" s="399"/>
      <c r="C50" s="277"/>
      <c r="D50" s="443" t="s">
        <v>658</v>
      </c>
      <c r="E50" s="447" t="s">
        <v>715</v>
      </c>
      <c r="F50" s="452" t="str">
        <f>_xlfn.XLOOKUP(F49,BewertungsListe,Source!$C$60:$C$65)</f>
        <v>n.e.</v>
      </c>
      <c r="G50" s="436"/>
    </row>
    <row r="51" spans="1:7" ht="24.75" x14ac:dyDescent="0.4">
      <c r="A51" s="467"/>
      <c r="B51" s="468"/>
      <c r="C51" s="311"/>
      <c r="D51" s="444"/>
      <c r="E51" s="449"/>
      <c r="F51" s="453" t="s">
        <v>492</v>
      </c>
      <c r="G51" s="436"/>
    </row>
    <row r="52" spans="1:7" ht="24.75" x14ac:dyDescent="0.4">
      <c r="A52" s="415" t="s">
        <v>458</v>
      </c>
      <c r="B52" s="399"/>
      <c r="C52" s="290"/>
      <c r="D52" s="425" t="s">
        <v>520</v>
      </c>
      <c r="E52" s="438"/>
      <c r="F52" s="299" t="s">
        <v>108</v>
      </c>
      <c r="G52" s="436" t="s">
        <v>479</v>
      </c>
    </row>
    <row r="53" spans="1:7" ht="184.9" customHeight="1" x14ac:dyDescent="0.4">
      <c r="A53" s="416"/>
      <c r="B53" s="399"/>
      <c r="C53" s="277"/>
      <c r="D53" s="493" t="s">
        <v>716</v>
      </c>
      <c r="E53" s="448" t="s">
        <v>717</v>
      </c>
      <c r="F53" s="478" t="str">
        <f>_xlfn.XLOOKUP(F52,BewertungsListe,Source!$C$60:$C$65)</f>
        <v>n.e.</v>
      </c>
      <c r="G53" s="436"/>
    </row>
    <row r="54" spans="1:7" ht="24.75" x14ac:dyDescent="0.4">
      <c r="A54" s="467"/>
      <c r="B54" s="468"/>
      <c r="C54" s="311"/>
      <c r="D54" s="494"/>
      <c r="E54" s="449"/>
      <c r="F54" s="479" t="s">
        <v>492</v>
      </c>
      <c r="G54" s="436"/>
    </row>
    <row r="55" spans="1:7" ht="24.75" x14ac:dyDescent="0.4">
      <c r="A55" s="415" t="s">
        <v>459</v>
      </c>
      <c r="B55" s="399"/>
      <c r="C55" s="290"/>
      <c r="D55" s="425" t="s">
        <v>521</v>
      </c>
      <c r="E55" s="438"/>
      <c r="F55" s="299" t="s">
        <v>108</v>
      </c>
      <c r="G55" s="436" t="s">
        <v>479</v>
      </c>
    </row>
    <row r="56" spans="1:7" ht="231" customHeight="1" x14ac:dyDescent="0.4">
      <c r="A56" s="416"/>
      <c r="B56" s="399"/>
      <c r="C56" s="277"/>
      <c r="D56" s="443" t="s">
        <v>522</v>
      </c>
      <c r="E56" s="448" t="s">
        <v>877</v>
      </c>
      <c r="F56" s="478" t="str">
        <f>_xlfn.XLOOKUP(F55,BewertungsListe,Source!$C$60:$C$65)</f>
        <v>n.e.</v>
      </c>
      <c r="G56" s="436"/>
    </row>
    <row r="57" spans="1:7" ht="24.75" x14ac:dyDescent="0.4">
      <c r="A57" s="467"/>
      <c r="B57" s="399"/>
      <c r="C57" s="277"/>
      <c r="D57" s="443"/>
      <c r="E57" s="448"/>
      <c r="F57" s="478" t="s">
        <v>492</v>
      </c>
      <c r="G57" s="436"/>
    </row>
    <row r="58" spans="1:7" ht="24.75" x14ac:dyDescent="0.4">
      <c r="A58" s="415" t="s">
        <v>460</v>
      </c>
      <c r="B58" s="417" t="s">
        <v>422</v>
      </c>
      <c r="C58" s="314"/>
      <c r="D58" s="425" t="s">
        <v>523</v>
      </c>
      <c r="E58" s="438"/>
      <c r="F58" s="299" t="s">
        <v>108</v>
      </c>
      <c r="G58" s="158"/>
    </row>
    <row r="59" spans="1:7" ht="189" customHeight="1" x14ac:dyDescent="0.4">
      <c r="A59" s="416"/>
      <c r="B59" s="399"/>
      <c r="C59" s="277"/>
      <c r="D59" s="443" t="s">
        <v>718</v>
      </c>
      <c r="E59" s="448" t="s">
        <v>719</v>
      </c>
      <c r="F59" s="478" t="str">
        <f>_xlfn.XLOOKUP(F58,BewertungsListe,Source!$C$60:$C$65)</f>
        <v>n.e.</v>
      </c>
      <c r="G59" s="436" t="s">
        <v>479</v>
      </c>
    </row>
    <row r="60" spans="1:7" ht="24.75" x14ac:dyDescent="0.4">
      <c r="A60" s="467"/>
      <c r="B60" s="468"/>
      <c r="C60" s="311"/>
      <c r="D60" s="444"/>
      <c r="E60" s="449"/>
      <c r="F60" s="479" t="s">
        <v>492</v>
      </c>
      <c r="G60" s="436"/>
    </row>
    <row r="61" spans="1:7" ht="39" customHeight="1" x14ac:dyDescent="0.4">
      <c r="A61" s="160"/>
      <c r="B61" s="307"/>
      <c r="C61" s="161"/>
      <c r="D61" s="162" cm="1">
        <f t="array" ref="D61">SUMPRODUCT((MOD(ROW(F8:F60),3)=2)*(F8:F60&lt;&gt;"n.e."))</f>
        <v>0</v>
      </c>
      <c r="E61" s="176" t="s">
        <v>524</v>
      </c>
      <c r="F61" s="177" t="str">
        <f>IF(D61=0,"n.e.",ROUND(SUMIF(F7:F60,"&gt;=0") / (D61 *10), 2))</f>
        <v>n.e.</v>
      </c>
      <c r="G61" s="165"/>
    </row>
    <row r="62" spans="1:7" x14ac:dyDescent="0.4">
      <c r="A62" s="121"/>
      <c r="B62" s="121"/>
      <c r="C62" s="121"/>
      <c r="D62" s="119"/>
      <c r="E62" s="121"/>
      <c r="F62" s="121"/>
      <c r="G62" s="121"/>
    </row>
    <row r="63" spans="1:7" x14ac:dyDescent="0.4">
      <c r="A63" s="5"/>
    </row>
    <row r="64" spans="1:7" x14ac:dyDescent="0.4">
      <c r="A64" s="5"/>
    </row>
    <row r="65" spans="1:1" x14ac:dyDescent="0.4">
      <c r="A65" s="5"/>
    </row>
    <row r="66" spans="1:1" x14ac:dyDescent="0.4">
      <c r="A66" s="5"/>
    </row>
    <row r="67" spans="1:1" x14ac:dyDescent="0.4">
      <c r="A67" s="5"/>
    </row>
    <row r="68" spans="1:1" x14ac:dyDescent="0.4">
      <c r="A68" s="5"/>
    </row>
    <row r="69" spans="1:1" x14ac:dyDescent="0.4">
      <c r="A69" s="5"/>
    </row>
    <row r="70" spans="1:1" x14ac:dyDescent="0.4">
      <c r="A70" s="5"/>
    </row>
    <row r="71" spans="1:1" x14ac:dyDescent="0.4">
      <c r="A71" s="5"/>
    </row>
    <row r="72" spans="1:1" x14ac:dyDescent="0.4">
      <c r="A72" s="5"/>
    </row>
    <row r="73" spans="1:1" x14ac:dyDescent="0.4">
      <c r="A73" s="5"/>
    </row>
    <row r="74" spans="1:1" x14ac:dyDescent="0.4">
      <c r="A74" s="5"/>
    </row>
    <row r="75" spans="1:1" x14ac:dyDescent="0.4">
      <c r="A75" s="5"/>
    </row>
    <row r="76" spans="1:1" x14ac:dyDescent="0.4">
      <c r="A76" s="5"/>
    </row>
    <row r="77" spans="1:1" x14ac:dyDescent="0.4">
      <c r="A77" s="5"/>
    </row>
    <row r="78" spans="1:1" x14ac:dyDescent="0.4">
      <c r="A78" s="5"/>
    </row>
    <row r="79" spans="1:1" x14ac:dyDescent="0.4">
      <c r="A79" s="5"/>
    </row>
    <row r="80" spans="1:1" x14ac:dyDescent="0.4">
      <c r="A80" s="5"/>
    </row>
    <row r="81" spans="1:1" x14ac:dyDescent="0.4">
      <c r="A81" s="5"/>
    </row>
    <row r="82" spans="1:1" x14ac:dyDescent="0.4">
      <c r="A82" s="5"/>
    </row>
    <row r="83" spans="1:1" x14ac:dyDescent="0.4">
      <c r="A83" s="5"/>
    </row>
    <row r="84" spans="1:1" x14ac:dyDescent="0.4">
      <c r="A84" s="5"/>
    </row>
    <row r="85" spans="1:1" x14ac:dyDescent="0.4">
      <c r="A85" s="5"/>
    </row>
    <row r="86" spans="1:1" x14ac:dyDescent="0.4">
      <c r="A86" s="5"/>
    </row>
    <row r="87" spans="1:1" x14ac:dyDescent="0.4">
      <c r="A87" s="5"/>
    </row>
  </sheetData>
  <mergeCells count="127">
    <mergeCell ref="I32:J32"/>
    <mergeCell ref="G3:G6"/>
    <mergeCell ref="A52:A54"/>
    <mergeCell ref="B52:B54"/>
    <mergeCell ref="D53:D54"/>
    <mergeCell ref="E53:E54"/>
    <mergeCell ref="A58:A60"/>
    <mergeCell ref="B58:B60"/>
    <mergeCell ref="D59:D60"/>
    <mergeCell ref="A40:A42"/>
    <mergeCell ref="B40:B42"/>
    <mergeCell ref="D41:D42"/>
    <mergeCell ref="G29:G30"/>
    <mergeCell ref="A16:A18"/>
    <mergeCell ref="B16:B18"/>
    <mergeCell ref="D17:D18"/>
    <mergeCell ref="E17:E18"/>
    <mergeCell ref="F17:F18"/>
    <mergeCell ref="A19:A21"/>
    <mergeCell ref="B19:B21"/>
    <mergeCell ref="D20:D21"/>
    <mergeCell ref="E20:E21"/>
    <mergeCell ref="F32:F33"/>
    <mergeCell ref="A34:A36"/>
    <mergeCell ref="A1:G2"/>
    <mergeCell ref="A7:A9"/>
    <mergeCell ref="B7:B9"/>
    <mergeCell ref="D8:D9"/>
    <mergeCell ref="E8:E9"/>
    <mergeCell ref="A13:A15"/>
    <mergeCell ref="B13:B15"/>
    <mergeCell ref="D14:D15"/>
    <mergeCell ref="E14:E15"/>
    <mergeCell ref="F8:F9"/>
    <mergeCell ref="A10:A12"/>
    <mergeCell ref="B10:B12"/>
    <mergeCell ref="D11:D12"/>
    <mergeCell ref="E11:E12"/>
    <mergeCell ref="F11:F12"/>
    <mergeCell ref="A3:A6"/>
    <mergeCell ref="B3:B6"/>
    <mergeCell ref="D3:D6"/>
    <mergeCell ref="E3:E6"/>
    <mergeCell ref="F3:F6"/>
    <mergeCell ref="F14:F15"/>
    <mergeCell ref="G8:G9"/>
    <mergeCell ref="G10:G12"/>
    <mergeCell ref="G13:G15"/>
    <mergeCell ref="F20:F21"/>
    <mergeCell ref="A22:A30"/>
    <mergeCell ref="B22:B30"/>
    <mergeCell ref="D29:D30"/>
    <mergeCell ref="E29:E30"/>
    <mergeCell ref="F29:F30"/>
    <mergeCell ref="A31:A33"/>
    <mergeCell ref="B31:B33"/>
    <mergeCell ref="D32:D33"/>
    <mergeCell ref="E32:E33"/>
    <mergeCell ref="F26:F27"/>
    <mergeCell ref="D26:D27"/>
    <mergeCell ref="E26:E27"/>
    <mergeCell ref="F23:F24"/>
    <mergeCell ref="E23:E24"/>
    <mergeCell ref="D23:D24"/>
    <mergeCell ref="F38:F39"/>
    <mergeCell ref="A37:A39"/>
    <mergeCell ref="B37:B39"/>
    <mergeCell ref="D38:D39"/>
    <mergeCell ref="E38:E39"/>
    <mergeCell ref="B34:B36"/>
    <mergeCell ref="D35:D36"/>
    <mergeCell ref="E35:E36"/>
    <mergeCell ref="F35:F36"/>
    <mergeCell ref="A46:A48"/>
    <mergeCell ref="B46:B48"/>
    <mergeCell ref="D47:D48"/>
    <mergeCell ref="E47:E48"/>
    <mergeCell ref="F47:F48"/>
    <mergeCell ref="F41:F42"/>
    <mergeCell ref="G49:G51"/>
    <mergeCell ref="G52:G54"/>
    <mergeCell ref="G55:G57"/>
    <mergeCell ref="A43:A45"/>
    <mergeCell ref="B43:B45"/>
    <mergeCell ref="D44:D45"/>
    <mergeCell ref="E44:E45"/>
    <mergeCell ref="F44:F45"/>
    <mergeCell ref="E41:E42"/>
    <mergeCell ref="E59:E60"/>
    <mergeCell ref="F59:F60"/>
    <mergeCell ref="F53:F54"/>
    <mergeCell ref="A55:A57"/>
    <mergeCell ref="B55:B57"/>
    <mergeCell ref="D56:D57"/>
    <mergeCell ref="E56:E57"/>
    <mergeCell ref="F56:F57"/>
    <mergeCell ref="A49:A51"/>
    <mergeCell ref="B49:B51"/>
    <mergeCell ref="D50:D51"/>
    <mergeCell ref="E50:E51"/>
    <mergeCell ref="F50:F51"/>
    <mergeCell ref="G59:G60"/>
    <mergeCell ref="G40:G42"/>
    <mergeCell ref="G43:G45"/>
    <mergeCell ref="G46:G48"/>
    <mergeCell ref="G31:G33"/>
    <mergeCell ref="G34:G36"/>
    <mergeCell ref="G37:G39"/>
    <mergeCell ref="G16:G18"/>
    <mergeCell ref="G19:G21"/>
    <mergeCell ref="G26:G27"/>
    <mergeCell ref="D40:E40"/>
    <mergeCell ref="D43:E43"/>
    <mergeCell ref="D46:E46"/>
    <mergeCell ref="D49:E49"/>
    <mergeCell ref="D52:E52"/>
    <mergeCell ref="D55:E55"/>
    <mergeCell ref="D58:E58"/>
    <mergeCell ref="D7:E7"/>
    <mergeCell ref="D10:E10"/>
    <mergeCell ref="D13:E13"/>
    <mergeCell ref="D16:E16"/>
    <mergeCell ref="D19:E19"/>
    <mergeCell ref="D22:E22"/>
    <mergeCell ref="D31:E31"/>
    <mergeCell ref="D34:E34"/>
    <mergeCell ref="D37:E37"/>
  </mergeCells>
  <phoneticPr fontId="8" type="noConversion"/>
  <conditionalFormatting sqref="F8">
    <cfRule type="cellIs" dxfId="144" priority="162" operator="equal">
      <formula>10</formula>
    </cfRule>
  </conditionalFormatting>
  <conditionalFormatting sqref="F8">
    <cfRule type="cellIs" dxfId="143" priority="157" operator="equal">
      <formula>0</formula>
    </cfRule>
    <cfRule type="cellIs" dxfId="142" priority="159" operator="equal">
      <formula>4</formula>
    </cfRule>
  </conditionalFormatting>
  <conditionalFormatting sqref="F8">
    <cfRule type="cellIs" dxfId="141" priority="158" operator="equal">
      <formula>2</formula>
    </cfRule>
    <cfRule type="cellIs" dxfId="140" priority="161" operator="equal">
      <formula>8</formula>
    </cfRule>
  </conditionalFormatting>
  <conditionalFormatting sqref="F8">
    <cfRule type="cellIs" dxfId="139" priority="160" operator="equal">
      <formula>6</formula>
    </cfRule>
  </conditionalFormatting>
  <conditionalFormatting sqref="F11">
    <cfRule type="cellIs" dxfId="138" priority="156" operator="equal">
      <formula>10</formula>
    </cfRule>
  </conditionalFormatting>
  <conditionalFormatting sqref="F11">
    <cfRule type="cellIs" dxfId="137" priority="151" operator="equal">
      <formula>0</formula>
    </cfRule>
    <cfRule type="cellIs" dxfId="136" priority="153" operator="equal">
      <formula>4</formula>
    </cfRule>
  </conditionalFormatting>
  <conditionalFormatting sqref="F11">
    <cfRule type="cellIs" dxfId="135" priority="152" operator="equal">
      <formula>2</formula>
    </cfRule>
    <cfRule type="cellIs" dxfId="134" priority="155" operator="equal">
      <formula>8</formula>
    </cfRule>
  </conditionalFormatting>
  <conditionalFormatting sqref="F11">
    <cfRule type="cellIs" dxfId="133" priority="154" operator="equal">
      <formula>6</formula>
    </cfRule>
  </conditionalFormatting>
  <conditionalFormatting sqref="F14">
    <cfRule type="cellIs" dxfId="132" priority="150" operator="equal">
      <formula>10</formula>
    </cfRule>
  </conditionalFormatting>
  <conditionalFormatting sqref="F14">
    <cfRule type="cellIs" dxfId="131" priority="145" operator="equal">
      <formula>0</formula>
    </cfRule>
    <cfRule type="cellIs" dxfId="130" priority="147" operator="equal">
      <formula>4</formula>
    </cfRule>
  </conditionalFormatting>
  <conditionalFormatting sqref="F14">
    <cfRule type="cellIs" dxfId="129" priority="146" operator="equal">
      <formula>2</formula>
    </cfRule>
    <cfRule type="cellIs" dxfId="128" priority="149" operator="equal">
      <formula>8</formula>
    </cfRule>
  </conditionalFormatting>
  <conditionalFormatting sqref="F14">
    <cfRule type="cellIs" dxfId="127" priority="148" operator="equal">
      <formula>6</formula>
    </cfRule>
  </conditionalFormatting>
  <conditionalFormatting sqref="F17">
    <cfRule type="cellIs" dxfId="126" priority="138" operator="equal">
      <formula>10</formula>
    </cfRule>
  </conditionalFormatting>
  <conditionalFormatting sqref="F17">
    <cfRule type="cellIs" dxfId="125" priority="133" operator="equal">
      <formula>0</formula>
    </cfRule>
    <cfRule type="cellIs" dxfId="124" priority="135" operator="equal">
      <formula>4</formula>
    </cfRule>
  </conditionalFormatting>
  <conditionalFormatting sqref="F17">
    <cfRule type="cellIs" dxfId="123" priority="134" operator="equal">
      <formula>2</formula>
    </cfRule>
    <cfRule type="cellIs" dxfId="122" priority="137" operator="equal">
      <formula>8</formula>
    </cfRule>
  </conditionalFormatting>
  <conditionalFormatting sqref="F17">
    <cfRule type="cellIs" dxfId="121" priority="136" operator="equal">
      <formula>6</formula>
    </cfRule>
  </conditionalFormatting>
  <conditionalFormatting sqref="F20">
    <cfRule type="cellIs" dxfId="120" priority="132" operator="equal">
      <formula>10</formula>
    </cfRule>
  </conditionalFormatting>
  <conditionalFormatting sqref="F20">
    <cfRule type="cellIs" dxfId="119" priority="127" operator="equal">
      <formula>0</formula>
    </cfRule>
    <cfRule type="cellIs" dxfId="118" priority="129" operator="equal">
      <formula>4</formula>
    </cfRule>
  </conditionalFormatting>
  <conditionalFormatting sqref="F20">
    <cfRule type="cellIs" dxfId="117" priority="128" operator="equal">
      <formula>2</formula>
    </cfRule>
    <cfRule type="cellIs" dxfId="116" priority="131" operator="equal">
      <formula>8</formula>
    </cfRule>
  </conditionalFormatting>
  <conditionalFormatting sqref="F20">
    <cfRule type="cellIs" dxfId="115" priority="130" operator="equal">
      <formula>6</formula>
    </cfRule>
  </conditionalFormatting>
  <conditionalFormatting sqref="F29">
    <cfRule type="cellIs" dxfId="114" priority="126" operator="equal">
      <formula>10</formula>
    </cfRule>
  </conditionalFormatting>
  <conditionalFormatting sqref="F29">
    <cfRule type="cellIs" dxfId="113" priority="121" operator="equal">
      <formula>0</formula>
    </cfRule>
    <cfRule type="cellIs" dxfId="112" priority="123" operator="equal">
      <formula>4</formula>
    </cfRule>
  </conditionalFormatting>
  <conditionalFormatting sqref="F29">
    <cfRule type="cellIs" dxfId="111" priority="122" operator="equal">
      <formula>2</formula>
    </cfRule>
    <cfRule type="cellIs" dxfId="110" priority="125" operator="equal">
      <formula>8</formula>
    </cfRule>
  </conditionalFormatting>
  <conditionalFormatting sqref="F29">
    <cfRule type="cellIs" dxfId="109" priority="124" operator="equal">
      <formula>6</formula>
    </cfRule>
  </conditionalFormatting>
  <conditionalFormatting sqref="F32">
    <cfRule type="cellIs" dxfId="108" priority="120" operator="equal">
      <formula>10</formula>
    </cfRule>
  </conditionalFormatting>
  <conditionalFormatting sqref="F32">
    <cfRule type="cellIs" dxfId="107" priority="115" operator="equal">
      <formula>0</formula>
    </cfRule>
    <cfRule type="cellIs" dxfId="106" priority="117" operator="equal">
      <formula>4</formula>
    </cfRule>
  </conditionalFormatting>
  <conditionalFormatting sqref="F32">
    <cfRule type="cellIs" dxfId="105" priority="116" operator="equal">
      <formula>2</formula>
    </cfRule>
    <cfRule type="cellIs" dxfId="104" priority="119" operator="equal">
      <formula>8</formula>
    </cfRule>
  </conditionalFormatting>
  <conditionalFormatting sqref="F32">
    <cfRule type="cellIs" dxfId="103" priority="118" operator="equal">
      <formula>6</formula>
    </cfRule>
  </conditionalFormatting>
  <conditionalFormatting sqref="F35">
    <cfRule type="cellIs" dxfId="102" priority="114" operator="equal">
      <formula>10</formula>
    </cfRule>
  </conditionalFormatting>
  <conditionalFormatting sqref="F35">
    <cfRule type="cellIs" dxfId="101" priority="109" operator="equal">
      <formula>0</formula>
    </cfRule>
    <cfRule type="cellIs" dxfId="100" priority="111" operator="equal">
      <formula>4</formula>
    </cfRule>
  </conditionalFormatting>
  <conditionalFormatting sqref="F35">
    <cfRule type="cellIs" dxfId="99" priority="110" operator="equal">
      <formula>2</formula>
    </cfRule>
    <cfRule type="cellIs" dxfId="98" priority="113" operator="equal">
      <formula>8</formula>
    </cfRule>
  </conditionalFormatting>
  <conditionalFormatting sqref="F35">
    <cfRule type="cellIs" dxfId="97" priority="112" operator="equal">
      <formula>6</formula>
    </cfRule>
  </conditionalFormatting>
  <conditionalFormatting sqref="F38">
    <cfRule type="cellIs" dxfId="96" priority="108" operator="equal">
      <formula>10</formula>
    </cfRule>
  </conditionalFormatting>
  <conditionalFormatting sqref="F38">
    <cfRule type="cellIs" dxfId="95" priority="103" operator="equal">
      <formula>0</formula>
    </cfRule>
    <cfRule type="cellIs" dxfId="94" priority="105" operator="equal">
      <formula>4</formula>
    </cfRule>
  </conditionalFormatting>
  <conditionalFormatting sqref="F38">
    <cfRule type="cellIs" dxfId="93" priority="104" operator="equal">
      <formula>2</formula>
    </cfRule>
    <cfRule type="cellIs" dxfId="92" priority="107" operator="equal">
      <formula>8</formula>
    </cfRule>
  </conditionalFormatting>
  <conditionalFormatting sqref="F38">
    <cfRule type="cellIs" dxfId="91" priority="106" operator="equal">
      <formula>6</formula>
    </cfRule>
  </conditionalFormatting>
  <conditionalFormatting sqref="F44">
    <cfRule type="cellIs" dxfId="90" priority="72" operator="equal">
      <formula>10</formula>
    </cfRule>
  </conditionalFormatting>
  <conditionalFormatting sqref="F44">
    <cfRule type="cellIs" dxfId="89" priority="67" operator="equal">
      <formula>0</formula>
    </cfRule>
    <cfRule type="cellIs" dxfId="88" priority="69" operator="equal">
      <formula>4</formula>
    </cfRule>
  </conditionalFormatting>
  <conditionalFormatting sqref="F44">
    <cfRule type="cellIs" dxfId="87" priority="68" operator="equal">
      <formula>2</formula>
    </cfRule>
    <cfRule type="cellIs" dxfId="86" priority="71" operator="equal">
      <formula>8</formula>
    </cfRule>
  </conditionalFormatting>
  <conditionalFormatting sqref="F44">
    <cfRule type="cellIs" dxfId="85" priority="70" operator="equal">
      <formula>6</formula>
    </cfRule>
  </conditionalFormatting>
  <conditionalFormatting sqref="F41">
    <cfRule type="cellIs" dxfId="84" priority="66" operator="equal">
      <formula>10</formula>
    </cfRule>
  </conditionalFormatting>
  <conditionalFormatting sqref="F41">
    <cfRule type="cellIs" dxfId="83" priority="61" operator="equal">
      <formula>0</formula>
    </cfRule>
    <cfRule type="cellIs" dxfId="82" priority="63" operator="equal">
      <formula>4</formula>
    </cfRule>
  </conditionalFormatting>
  <conditionalFormatting sqref="F41">
    <cfRule type="cellIs" dxfId="81" priority="62" operator="equal">
      <formula>2</formula>
    </cfRule>
    <cfRule type="cellIs" dxfId="80" priority="65" operator="equal">
      <formula>8</formula>
    </cfRule>
  </conditionalFormatting>
  <conditionalFormatting sqref="F41">
    <cfRule type="cellIs" dxfId="79" priority="64" operator="equal">
      <formula>6</formula>
    </cfRule>
  </conditionalFormatting>
  <conditionalFormatting sqref="F47">
    <cfRule type="cellIs" dxfId="78" priority="60" operator="equal">
      <formula>10</formula>
    </cfRule>
  </conditionalFormatting>
  <conditionalFormatting sqref="F47">
    <cfRule type="cellIs" dxfId="77" priority="55" operator="equal">
      <formula>0</formula>
    </cfRule>
    <cfRule type="cellIs" dxfId="76" priority="57" operator="equal">
      <formula>4</formula>
    </cfRule>
  </conditionalFormatting>
  <conditionalFormatting sqref="F47">
    <cfRule type="cellIs" dxfId="75" priority="56" operator="equal">
      <formula>2</formula>
    </cfRule>
    <cfRule type="cellIs" dxfId="74" priority="59" operator="equal">
      <formula>8</formula>
    </cfRule>
  </conditionalFormatting>
  <conditionalFormatting sqref="F47">
    <cfRule type="cellIs" dxfId="73" priority="58" operator="equal">
      <formula>6</formula>
    </cfRule>
  </conditionalFormatting>
  <conditionalFormatting sqref="F50">
    <cfRule type="cellIs" dxfId="72" priority="54" operator="equal">
      <formula>10</formula>
    </cfRule>
  </conditionalFormatting>
  <conditionalFormatting sqref="F50">
    <cfRule type="cellIs" dxfId="71" priority="49" operator="equal">
      <formula>0</formula>
    </cfRule>
    <cfRule type="cellIs" dxfId="70" priority="51" operator="equal">
      <formula>4</formula>
    </cfRule>
  </conditionalFormatting>
  <conditionalFormatting sqref="F50">
    <cfRule type="cellIs" dxfId="69" priority="50" operator="equal">
      <formula>2</formula>
    </cfRule>
    <cfRule type="cellIs" dxfId="68" priority="53" operator="equal">
      <formula>8</formula>
    </cfRule>
  </conditionalFormatting>
  <conditionalFormatting sqref="F50">
    <cfRule type="cellIs" dxfId="67" priority="52" operator="equal">
      <formula>6</formula>
    </cfRule>
  </conditionalFormatting>
  <conditionalFormatting sqref="F53">
    <cfRule type="cellIs" dxfId="66" priority="48" operator="equal">
      <formula>10</formula>
    </cfRule>
  </conditionalFormatting>
  <conditionalFormatting sqref="F53">
    <cfRule type="cellIs" dxfId="65" priority="43" operator="equal">
      <formula>0</formula>
    </cfRule>
    <cfRule type="cellIs" dxfId="64" priority="45" operator="equal">
      <formula>4</formula>
    </cfRule>
  </conditionalFormatting>
  <conditionalFormatting sqref="F53">
    <cfRule type="cellIs" dxfId="63" priority="44" operator="equal">
      <formula>2</formula>
    </cfRule>
    <cfRule type="cellIs" dxfId="62" priority="47" operator="equal">
      <formula>8</formula>
    </cfRule>
  </conditionalFormatting>
  <conditionalFormatting sqref="F53">
    <cfRule type="cellIs" dxfId="61" priority="46" operator="equal">
      <formula>6</formula>
    </cfRule>
  </conditionalFormatting>
  <conditionalFormatting sqref="F56">
    <cfRule type="cellIs" dxfId="60" priority="42" operator="equal">
      <formula>10</formula>
    </cfRule>
  </conditionalFormatting>
  <conditionalFormatting sqref="F56">
    <cfRule type="cellIs" dxfId="59" priority="37" operator="equal">
      <formula>0</formula>
    </cfRule>
    <cfRule type="cellIs" dxfId="58" priority="39" operator="equal">
      <formula>4</formula>
    </cfRule>
  </conditionalFormatting>
  <conditionalFormatting sqref="F56">
    <cfRule type="cellIs" dxfId="57" priority="38" operator="equal">
      <formula>2</formula>
    </cfRule>
    <cfRule type="cellIs" dxfId="56" priority="41" operator="equal">
      <formula>8</formula>
    </cfRule>
  </conditionalFormatting>
  <conditionalFormatting sqref="F56">
    <cfRule type="cellIs" dxfId="55" priority="40" operator="equal">
      <formula>6</formula>
    </cfRule>
  </conditionalFormatting>
  <conditionalFormatting sqref="F59">
    <cfRule type="cellIs" dxfId="54" priority="36" operator="equal">
      <formula>10</formula>
    </cfRule>
  </conditionalFormatting>
  <conditionalFormatting sqref="F59">
    <cfRule type="cellIs" dxfId="53" priority="31" operator="equal">
      <formula>0</formula>
    </cfRule>
    <cfRule type="cellIs" dxfId="52" priority="33" operator="equal">
      <formula>4</formula>
    </cfRule>
  </conditionalFormatting>
  <conditionalFormatting sqref="F59">
    <cfRule type="cellIs" dxfId="51" priority="32" operator="equal">
      <formula>2</formula>
    </cfRule>
    <cfRule type="cellIs" dxfId="50" priority="35" operator="equal">
      <formula>8</formula>
    </cfRule>
  </conditionalFormatting>
  <conditionalFormatting sqref="F59">
    <cfRule type="cellIs" dxfId="49" priority="34" operator="equal">
      <formula>6</formula>
    </cfRule>
  </conditionalFormatting>
  <conditionalFormatting sqref="F23">
    <cfRule type="cellIs" dxfId="48" priority="24" operator="equal">
      <formula>10</formula>
    </cfRule>
  </conditionalFormatting>
  <conditionalFormatting sqref="F23">
    <cfRule type="cellIs" dxfId="47" priority="19" operator="equal">
      <formula>0</formula>
    </cfRule>
    <cfRule type="cellIs" dxfId="46" priority="21" operator="equal">
      <formula>4</formula>
    </cfRule>
  </conditionalFormatting>
  <conditionalFormatting sqref="F23">
    <cfRule type="cellIs" dxfId="45" priority="20" operator="equal">
      <formula>2</formula>
    </cfRule>
    <cfRule type="cellIs" dxfId="44" priority="23" operator="equal">
      <formula>8</formula>
    </cfRule>
  </conditionalFormatting>
  <conditionalFormatting sqref="F23">
    <cfRule type="cellIs" dxfId="43" priority="22" operator="equal">
      <formula>6</formula>
    </cfRule>
  </conditionalFormatting>
  <conditionalFormatting sqref="F26">
    <cfRule type="cellIs" dxfId="42" priority="6" operator="equal">
      <formula>10</formula>
    </cfRule>
  </conditionalFormatting>
  <conditionalFormatting sqref="F26">
    <cfRule type="cellIs" dxfId="41" priority="1" operator="equal">
      <formula>0</formula>
    </cfRule>
    <cfRule type="cellIs" dxfId="40" priority="3" operator="equal">
      <formula>4</formula>
    </cfRule>
  </conditionalFormatting>
  <conditionalFormatting sqref="F26">
    <cfRule type="cellIs" dxfId="39" priority="2" operator="equal">
      <formula>2</formula>
    </cfRule>
    <cfRule type="cellIs" dxfId="38" priority="5" operator="equal">
      <formula>8</formula>
    </cfRule>
  </conditionalFormatting>
  <conditionalFormatting sqref="F26">
    <cfRule type="cellIs" dxfId="37" priority="4" operator="equal">
      <formula>6</formula>
    </cfRule>
  </conditionalFormatting>
  <dataValidations count="1">
    <dataValidation type="list" allowBlank="1" showInputMessage="1" showErrorMessage="1" sqref="F7 F10 F13 F16 F19 F31 F34 F37 F40 F43 F46 F49 F52 F55 F58 F22 F28 F25" xr:uid="{B34B7CFF-C0B7-488A-914F-5D6CCF664DC3}">
      <formula1>BewertungsListe</formula1>
    </dataValidation>
  </dataValidations>
  <hyperlinks>
    <hyperlink ref="G8" location="Anmerkungen!F55" display="▶️" xr:uid="{AE15F044-E85B-4C7C-A702-B5ACBA32502B}"/>
    <hyperlink ref="G10" location="Anmerkungen!F56" display="▶️" xr:uid="{71E5D179-0884-4AA9-A06A-80901878CFE7}"/>
    <hyperlink ref="G13" location="Anmerkungen!F57" display="▶️" xr:uid="{E6F540A5-480D-4C25-A426-65D5EFDBE6A7}"/>
    <hyperlink ref="G16" location="Anmerkungen!F58" display="▶️" xr:uid="{DA4E7CC6-8593-4868-9F1A-6767F1F417FC}"/>
    <hyperlink ref="G19" location="Anmerkungen!F59" display="▶️" xr:uid="{AB60DFC9-5C13-4F58-9910-E013B724DB70}"/>
    <hyperlink ref="G31" location="Anmerkungen!F61" display="▶️" xr:uid="{710F9479-4FC2-4637-8AF3-FD26F0E05EB3}"/>
    <hyperlink ref="G34" location="Anmerkungen!F62" display="▶️" xr:uid="{8B1CB865-8152-4D29-B4D3-BF0CB2A0CFDE}"/>
    <hyperlink ref="G37" location="Anmerkungen!F63" display="▶️" xr:uid="{E725C830-1C8F-4C93-82DB-B56E8895A32F}"/>
    <hyperlink ref="G40" location="Anmerkungen!F67" display="▶️" xr:uid="{FE82B65B-DC2B-4618-A429-13BD39682CCC}"/>
    <hyperlink ref="G43" location="Anmerkungen!F68" display="▶️" xr:uid="{DF72575C-EADC-4862-A32F-951FB7B65911}"/>
    <hyperlink ref="G46" location="Anmerkungen!F69" display="▶️" xr:uid="{045220D2-5E72-4256-AB1C-A09B426D7BC8}"/>
    <hyperlink ref="G49" location="Anmerkungen!F70" display="▶️" xr:uid="{42F603FD-CAF2-4B5E-A1D1-1462C4534C41}"/>
    <hyperlink ref="G52" location="Anmerkungen!F71" display="▶️" xr:uid="{8FD81E21-C18C-4D9F-BBE8-154A6B3A24AA}"/>
    <hyperlink ref="G55" location="Anmerkungen!F72" display="▶️" xr:uid="{1962039F-7E6C-4E70-89E8-AE5399DB43EA}"/>
    <hyperlink ref="G59" location="Anmerkungen!F74" display="▶️" xr:uid="{65926FB8-AAEB-4B22-A3DA-C9C0F0579216}"/>
    <hyperlink ref="G8:G9" location="Remarks!G33" display="▶️" xr:uid="{7815D16B-95B3-4BB5-ACF8-435666465D6B}"/>
    <hyperlink ref="G10:G12" location="Remarks!G34" display="▶️" xr:uid="{FB75B6F7-1765-427A-AB12-9C5475E14DF8}"/>
    <hyperlink ref="G13:G15" location="Remarks!G35" display="▶️" xr:uid="{641DAB68-56F9-41C8-BD90-2AE7F9146A6F}"/>
    <hyperlink ref="G16:G18" location="Remarks!G36" display="▶️" xr:uid="{1ECF89D4-F7F4-4D7D-A0B7-4EBF53DD20BB}"/>
    <hyperlink ref="G19:G21" location="Remarks!G37" display="▶️" xr:uid="{4A272D12-3458-405B-9CC5-C766E427AF0E}"/>
    <hyperlink ref="G31:G33" location="Remarks!G42" display="▶️" xr:uid="{17BAE25F-0C92-464F-A7F2-0631C70D641A}"/>
    <hyperlink ref="G34:G36" location="Remarks!G43" display="▶️" xr:uid="{C78F601F-B685-40A8-B835-1A872B696E22}"/>
    <hyperlink ref="G37:G39" location="Remarks!G44" display="▶️" xr:uid="{33A22A8E-59A2-4410-897B-CB61F24C9655}"/>
    <hyperlink ref="G46:G48" location="Remarks!G47" display="▶️" xr:uid="{D49DD7A0-7E0B-4CA2-B24D-9345E1A22D9E}"/>
    <hyperlink ref="G40:G42" location="Remarks!G45" display="▶️" xr:uid="{44A36441-FACD-4AB4-9B37-2B289C53DBFA}"/>
    <hyperlink ref="G43:G45" location="Remarks!G46" display="▶️" xr:uid="{C67F9AE7-DA3A-4FCF-9E82-23E7492638B5}"/>
    <hyperlink ref="G49:G51" location="Remarks!G48" display="▶️" xr:uid="{31211589-BA71-4905-9F34-A78A3E49E11A}"/>
    <hyperlink ref="G52:G54" location="Remarks!G49" display="▶️" xr:uid="{88C53151-E46F-424D-A75C-A7CE11EF9A2E}"/>
    <hyperlink ref="G55:G57" location="Remarks!G50" display="▶️" xr:uid="{5BF9B776-0896-413B-9E53-57501F0E14E9}"/>
    <hyperlink ref="G59:G60" location="Remarks!G51" display="▶️" xr:uid="{F764732A-399C-4D55-AD86-264D4B4F685D}"/>
    <hyperlink ref="G23" location="Remarks!G39" display="▶️" xr:uid="{97B949F9-6E16-47FE-A920-DA162177A785}"/>
    <hyperlink ref="G26" location="Remarks!G53" display="▶️" xr:uid="{6DD9EE8F-1898-472A-9423-CEB444EEB10B}"/>
    <hyperlink ref="G29" location="Anmerkungen!G54" display="Anmerkungen!G54" xr:uid="{C5C3B90F-D5F4-44F2-BDFA-752AC4B3D9B9}"/>
    <hyperlink ref="G29:G30" location="Remarks!G41" display="▶️" xr:uid="{B1628E3D-A570-46DB-827B-3A17FAE6DB92}"/>
    <hyperlink ref="G26:G27" location="Remarks!G40" display="▶️" xr:uid="{63A20713-E86C-4DEF-AC5E-C748189545DD}"/>
  </hyperlinks>
  <pageMargins left="0.7" right="0.7" top="0.78740157499999996" bottom="0.78740157499999996" header="0.3" footer="0.3"/>
  <pageSetup paperSize="9" scale="39" fitToHeight="0" orientation="portrait" r:id="rId1"/>
  <rowBreaks count="3" manualBreakCount="3">
    <brk id="30" max="6" man="1"/>
    <brk id="39" max="6" man="1"/>
    <brk id="54" max="6"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83EEE-5D25-4A96-B52E-78A654B1E569}">
  <sheetPr codeName="Tabelle7">
    <pageSetUpPr fitToPage="1"/>
  </sheetPr>
  <dimension ref="A1:H52"/>
  <sheetViews>
    <sheetView zoomScale="70" zoomScaleNormal="70" workbookViewId="0">
      <selection activeCell="D8" sqref="D8:D9"/>
    </sheetView>
  </sheetViews>
  <sheetFormatPr baseColWidth="10" defaultColWidth="10.88671875" defaultRowHeight="18" x14ac:dyDescent="0.4"/>
  <cols>
    <col min="1" max="1" width="4.6640625" style="22" customWidth="1"/>
    <col min="2" max="3" width="3.88671875" style="5" customWidth="1"/>
    <col min="4" max="4" width="83.6640625" style="5" customWidth="1"/>
    <col min="5" max="5" width="58.5546875" style="5" customWidth="1"/>
    <col min="6" max="6" width="27.44140625" style="5" customWidth="1"/>
    <col min="7" max="7" width="5.5546875" style="5" customWidth="1"/>
    <col min="8" max="16384" width="10.88671875" style="5"/>
  </cols>
  <sheetData>
    <row r="1" spans="1:8" ht="38.25" customHeight="1" x14ac:dyDescent="0.4">
      <c r="A1" s="456" t="s">
        <v>572</v>
      </c>
      <c r="B1" s="457"/>
      <c r="C1" s="457"/>
      <c r="D1" s="457"/>
      <c r="E1" s="457"/>
      <c r="F1" s="457"/>
      <c r="G1" s="458"/>
      <c r="H1" s="146"/>
    </row>
    <row r="2" spans="1:8" ht="15" customHeight="1" x14ac:dyDescent="0.4">
      <c r="A2" s="459"/>
      <c r="B2" s="460"/>
      <c r="C2" s="460"/>
      <c r="D2" s="460"/>
      <c r="E2" s="460"/>
      <c r="F2" s="460"/>
      <c r="G2" s="461"/>
      <c r="H2" s="146"/>
    </row>
    <row r="3" spans="1:8" ht="15.75" customHeight="1" x14ac:dyDescent="0.4">
      <c r="A3" s="463" t="s">
        <v>416</v>
      </c>
      <c r="B3" s="464" t="s">
        <v>474</v>
      </c>
      <c r="C3" s="120"/>
      <c r="D3" s="495" t="s">
        <v>631</v>
      </c>
      <c r="E3" s="495" t="s">
        <v>475</v>
      </c>
      <c r="F3" s="476" t="s">
        <v>476</v>
      </c>
      <c r="G3" s="414" t="s">
        <v>477</v>
      </c>
      <c r="H3" s="146"/>
    </row>
    <row r="4" spans="1:8" ht="33.6" customHeight="1" x14ac:dyDescent="0.4">
      <c r="A4" s="463"/>
      <c r="B4" s="412"/>
      <c r="C4" s="120"/>
      <c r="D4" s="465"/>
      <c r="E4" s="465"/>
      <c r="F4" s="466"/>
      <c r="G4" s="414"/>
      <c r="H4" s="146"/>
    </row>
    <row r="5" spans="1:8" ht="0.6" customHeight="1" x14ac:dyDescent="0.4">
      <c r="A5" s="463"/>
      <c r="B5" s="412"/>
      <c r="C5" s="120"/>
      <c r="D5" s="465"/>
      <c r="E5" s="465"/>
      <c r="F5" s="466"/>
      <c r="G5" s="414"/>
      <c r="H5" s="146"/>
    </row>
    <row r="6" spans="1:8" ht="12.6" customHeight="1" x14ac:dyDescent="0.4">
      <c r="A6" s="463"/>
      <c r="B6" s="412"/>
      <c r="C6" s="316"/>
      <c r="D6" s="490"/>
      <c r="E6" s="490"/>
      <c r="F6" s="477"/>
      <c r="G6" s="414"/>
      <c r="H6" s="146"/>
    </row>
    <row r="7" spans="1:8" ht="26.45" customHeight="1" x14ac:dyDescent="0.4">
      <c r="A7" s="415" t="s">
        <v>462</v>
      </c>
      <c r="B7" s="442" t="s">
        <v>422</v>
      </c>
      <c r="C7" s="290"/>
      <c r="D7" s="425" t="s">
        <v>525</v>
      </c>
      <c r="E7" s="438"/>
      <c r="F7" s="299" t="s">
        <v>108</v>
      </c>
      <c r="G7" s="158"/>
      <c r="H7" s="146"/>
    </row>
    <row r="8" spans="1:8" ht="196.9" customHeight="1" x14ac:dyDescent="0.4">
      <c r="A8" s="416"/>
      <c r="B8" s="440"/>
      <c r="C8" s="301"/>
      <c r="D8" s="443" t="s">
        <v>648</v>
      </c>
      <c r="E8" s="448" t="s">
        <v>720</v>
      </c>
      <c r="F8" s="478" t="str">
        <f>_xlfn.XLOOKUP(F7,BewertungsListe,Source!$C$60:$C$65)</f>
        <v>n.e.</v>
      </c>
      <c r="G8" s="436" t="s">
        <v>479</v>
      </c>
      <c r="H8" s="146"/>
    </row>
    <row r="9" spans="1:8" ht="16.899999999999999" customHeight="1" x14ac:dyDescent="0.4">
      <c r="A9" s="467"/>
      <c r="B9" s="446"/>
      <c r="C9" s="302"/>
      <c r="D9" s="444"/>
      <c r="E9" s="449"/>
      <c r="F9" s="479"/>
      <c r="G9" s="436"/>
      <c r="H9" s="146"/>
    </row>
    <row r="10" spans="1:8" ht="40.9" customHeight="1" x14ac:dyDescent="0.4">
      <c r="A10" s="441" t="s">
        <v>463</v>
      </c>
      <c r="B10" s="417" t="s">
        <v>422</v>
      </c>
      <c r="C10" s="305"/>
      <c r="D10" s="425" t="s">
        <v>649</v>
      </c>
      <c r="E10" s="438"/>
      <c r="F10" s="312" t="s">
        <v>108</v>
      </c>
      <c r="G10" s="158"/>
      <c r="H10" s="146"/>
    </row>
    <row r="11" spans="1:8" ht="256.5" customHeight="1" x14ac:dyDescent="0.4">
      <c r="A11" s="439"/>
      <c r="B11" s="399"/>
      <c r="C11" s="294"/>
      <c r="D11" s="455" t="s">
        <v>721</v>
      </c>
      <c r="E11" s="447" t="s">
        <v>722</v>
      </c>
      <c r="F11" s="499" t="str">
        <f>_xlfn.XLOOKUP(F10,BewertungsListe,Source!$C$60:$C$65)</f>
        <v>n.e.</v>
      </c>
      <c r="G11" s="436" t="s">
        <v>479</v>
      </c>
      <c r="H11" s="146"/>
    </row>
    <row r="12" spans="1:8" ht="16.899999999999999" customHeight="1" x14ac:dyDescent="0.4">
      <c r="A12" s="445"/>
      <c r="B12" s="468"/>
      <c r="C12" s="302"/>
      <c r="D12" s="444"/>
      <c r="E12" s="449"/>
      <c r="F12" s="479"/>
      <c r="G12" s="436"/>
      <c r="H12" s="146"/>
    </row>
    <row r="13" spans="1:8" ht="28.15" customHeight="1" x14ac:dyDescent="0.4">
      <c r="A13" s="497" t="s">
        <v>464</v>
      </c>
      <c r="B13" s="498"/>
      <c r="C13" s="290"/>
      <c r="D13" s="425" t="s">
        <v>465</v>
      </c>
      <c r="E13" s="438"/>
      <c r="F13" s="299" t="s">
        <v>108</v>
      </c>
      <c r="G13" s="133"/>
      <c r="H13" s="146"/>
    </row>
    <row r="14" spans="1:8" ht="114.6" customHeight="1" x14ac:dyDescent="0.4">
      <c r="A14" s="497"/>
      <c r="B14" s="498"/>
      <c r="C14" s="326"/>
      <c r="D14" s="471" t="s">
        <v>526</v>
      </c>
      <c r="E14" s="496" t="s">
        <v>527</v>
      </c>
      <c r="F14" s="478" t="str">
        <f>_xlfn.XLOOKUP(F13,BewertungsListe,Source!$C$60:$C$65)</f>
        <v>n.e.</v>
      </c>
      <c r="G14" s="436" t="s">
        <v>479</v>
      </c>
      <c r="H14" s="146"/>
    </row>
    <row r="15" spans="1:8" ht="16.899999999999999" customHeight="1" x14ac:dyDescent="0.4">
      <c r="A15" s="497"/>
      <c r="B15" s="498"/>
      <c r="C15" s="326"/>
      <c r="D15" s="471"/>
      <c r="E15" s="475"/>
      <c r="F15" s="478"/>
      <c r="G15" s="436"/>
      <c r="H15" s="146"/>
    </row>
    <row r="16" spans="1:8" ht="25.9" customHeight="1" x14ac:dyDescent="0.4">
      <c r="A16" s="415" t="s">
        <v>466</v>
      </c>
      <c r="B16" s="417" t="s">
        <v>422</v>
      </c>
      <c r="C16" s="314"/>
      <c r="D16" s="425" t="s">
        <v>723</v>
      </c>
      <c r="E16" s="438"/>
      <c r="F16" s="299" t="s">
        <v>108</v>
      </c>
      <c r="G16" s="158"/>
      <c r="H16" s="146"/>
    </row>
    <row r="17" spans="1:8" ht="155.25" customHeight="1" x14ac:dyDescent="0.4">
      <c r="A17" s="416"/>
      <c r="B17" s="399"/>
      <c r="C17" s="277"/>
      <c r="D17" s="443" t="s">
        <v>724</v>
      </c>
      <c r="E17" s="448" t="s">
        <v>650</v>
      </c>
      <c r="F17" s="478" t="str">
        <f>_xlfn.XLOOKUP(F16,BewertungsListe,Source!$C$60:$C$65)</f>
        <v>n.e.</v>
      </c>
      <c r="G17" s="436" t="s">
        <v>479</v>
      </c>
      <c r="H17" s="146"/>
    </row>
    <row r="18" spans="1:8" ht="16.899999999999999" customHeight="1" x14ac:dyDescent="0.4">
      <c r="A18" s="467"/>
      <c r="B18" s="468"/>
      <c r="C18" s="287"/>
      <c r="D18" s="444"/>
      <c r="E18" s="449"/>
      <c r="F18" s="479"/>
      <c r="G18" s="436"/>
      <c r="H18" s="146"/>
    </row>
    <row r="19" spans="1:8" ht="31.5" x14ac:dyDescent="0.4">
      <c r="A19" s="160"/>
      <c r="B19" s="161"/>
      <c r="C19" s="307"/>
      <c r="D19" s="162" cm="1">
        <f t="array" ref="D19">SUMPRODUCT((MOD(ROW(F8:F18),3)=2)*(F8:F18&lt;&gt;"n.e."))</f>
        <v>0</v>
      </c>
      <c r="E19" s="176" t="s">
        <v>528</v>
      </c>
      <c r="F19" s="177" t="str">
        <f>IF(D19=0,"n.e.",ROUND(SUMIF(F7:F18,"&gt;=0")/(D19*10),2))</f>
        <v>n.e.</v>
      </c>
      <c r="G19" s="165"/>
      <c r="H19" s="146"/>
    </row>
    <row r="20" spans="1:8" x14ac:dyDescent="0.4">
      <c r="A20" s="148"/>
      <c r="B20" s="121"/>
      <c r="C20" s="121"/>
      <c r="D20" s="119"/>
      <c r="E20" s="121"/>
      <c r="F20" s="121"/>
      <c r="G20" s="121"/>
    </row>
    <row r="21" spans="1:8" x14ac:dyDescent="0.4">
      <c r="A21" s="146"/>
    </row>
    <row r="22" spans="1:8" ht="25.5" customHeight="1" x14ac:dyDescent="0.4">
      <c r="A22" s="146"/>
    </row>
    <row r="23" spans="1:8" ht="144" customHeight="1" x14ac:dyDescent="0.4">
      <c r="A23" s="146"/>
    </row>
    <row r="24" spans="1:8" x14ac:dyDescent="0.4">
      <c r="A24" s="146"/>
    </row>
    <row r="25" spans="1:8" ht="25.5" customHeight="1" x14ac:dyDescent="0.4">
      <c r="A25" s="146"/>
    </row>
    <row r="26" spans="1:8" x14ac:dyDescent="0.4">
      <c r="A26" s="146"/>
    </row>
    <row r="27" spans="1:8" x14ac:dyDescent="0.4">
      <c r="A27" s="146"/>
    </row>
    <row r="28" spans="1:8" ht="25.5" customHeight="1" x14ac:dyDescent="0.4">
      <c r="A28" s="146"/>
    </row>
    <row r="29" spans="1:8" x14ac:dyDescent="0.4">
      <c r="A29" s="146"/>
    </row>
    <row r="30" spans="1:8" x14ac:dyDescent="0.4">
      <c r="A30" s="146"/>
    </row>
    <row r="31" spans="1:8" ht="25.5" customHeight="1" x14ac:dyDescent="0.4">
      <c r="A31" s="146"/>
    </row>
    <row r="32" spans="1:8" x14ac:dyDescent="0.4">
      <c r="A32" s="146"/>
    </row>
    <row r="33" spans="1:4" x14ac:dyDescent="0.4">
      <c r="A33" s="146"/>
    </row>
    <row r="34" spans="1:4" x14ac:dyDescent="0.4">
      <c r="A34" s="147"/>
    </row>
    <row r="35" spans="1:4" x14ac:dyDescent="0.4">
      <c r="A35" s="146"/>
      <c r="D35" s="6"/>
    </row>
    <row r="36" spans="1:4" x14ac:dyDescent="0.4">
      <c r="A36" s="146"/>
    </row>
    <row r="37" spans="1:4" x14ac:dyDescent="0.4">
      <c r="A37" s="147"/>
    </row>
    <row r="38" spans="1:4" x14ac:dyDescent="0.4">
      <c r="A38" s="147"/>
    </row>
    <row r="39" spans="1:4" x14ac:dyDescent="0.4">
      <c r="A39" s="147"/>
    </row>
    <row r="40" spans="1:4" x14ac:dyDescent="0.4">
      <c r="A40" s="147"/>
    </row>
    <row r="41" spans="1:4" x14ac:dyDescent="0.4">
      <c r="A41" s="147"/>
    </row>
    <row r="42" spans="1:4" x14ac:dyDescent="0.4">
      <c r="A42" s="147"/>
    </row>
    <row r="43" spans="1:4" x14ac:dyDescent="0.4">
      <c r="A43" s="147"/>
    </row>
    <row r="44" spans="1:4" x14ac:dyDescent="0.4">
      <c r="A44" s="147"/>
    </row>
    <row r="45" spans="1:4" x14ac:dyDescent="0.4">
      <c r="A45" s="147"/>
    </row>
    <row r="46" spans="1:4" x14ac:dyDescent="0.4">
      <c r="A46" s="147"/>
    </row>
    <row r="47" spans="1:4" x14ac:dyDescent="0.4">
      <c r="A47" s="147"/>
    </row>
    <row r="48" spans="1:4" x14ac:dyDescent="0.4">
      <c r="A48" s="147"/>
    </row>
    <row r="49" spans="1:1" x14ac:dyDescent="0.4">
      <c r="A49" s="147"/>
    </row>
    <row r="50" spans="1:1" x14ac:dyDescent="0.4">
      <c r="A50" s="147"/>
    </row>
    <row r="51" spans="1:1" x14ac:dyDescent="0.4">
      <c r="A51" s="147"/>
    </row>
    <row r="52" spans="1:1" x14ac:dyDescent="0.4">
      <c r="A52" s="147"/>
    </row>
  </sheetData>
  <mergeCells count="35">
    <mergeCell ref="A10:A12"/>
    <mergeCell ref="B10:B12"/>
    <mergeCell ref="G11:G12"/>
    <mergeCell ref="D17:D18"/>
    <mergeCell ref="E17:E18"/>
    <mergeCell ref="F17:F18"/>
    <mergeCell ref="A16:A18"/>
    <mergeCell ref="B16:B18"/>
    <mergeCell ref="G14:G15"/>
    <mergeCell ref="D14:D15"/>
    <mergeCell ref="E14:E15"/>
    <mergeCell ref="F14:F15"/>
    <mergeCell ref="A13:A15"/>
    <mergeCell ref="B13:B15"/>
    <mergeCell ref="G17:G18"/>
    <mergeCell ref="F11:F12"/>
    <mergeCell ref="A1:G2"/>
    <mergeCell ref="A7:A9"/>
    <mergeCell ref="B7:B9"/>
    <mergeCell ref="A3:A6"/>
    <mergeCell ref="B3:B6"/>
    <mergeCell ref="D3:D6"/>
    <mergeCell ref="E3:E6"/>
    <mergeCell ref="F8:F9"/>
    <mergeCell ref="G8:G9"/>
    <mergeCell ref="D13:E13"/>
    <mergeCell ref="D16:E16"/>
    <mergeCell ref="D11:D12"/>
    <mergeCell ref="E11:E12"/>
    <mergeCell ref="G3:G6"/>
    <mergeCell ref="D8:D9"/>
    <mergeCell ref="E8:E9"/>
    <mergeCell ref="F3:F6"/>
    <mergeCell ref="D7:E7"/>
    <mergeCell ref="D10:E10"/>
  </mergeCells>
  <conditionalFormatting sqref="F8 F11 F17">
    <cfRule type="cellIs" dxfId="36" priority="36" operator="equal">
      <formula>10</formula>
    </cfRule>
  </conditionalFormatting>
  <conditionalFormatting sqref="F11 F17 F8">
    <cfRule type="cellIs" dxfId="35" priority="31" operator="equal">
      <formula>0</formula>
    </cfRule>
    <cfRule type="cellIs" dxfId="34" priority="33" operator="equal">
      <formula>4</formula>
    </cfRule>
  </conditionalFormatting>
  <conditionalFormatting sqref="F11 F17 F8">
    <cfRule type="cellIs" dxfId="33" priority="32" operator="equal">
      <formula>2</formula>
    </cfRule>
    <cfRule type="cellIs" dxfId="32" priority="35" operator="equal">
      <formula>8</formula>
    </cfRule>
  </conditionalFormatting>
  <conditionalFormatting sqref="F11 F17 F8">
    <cfRule type="cellIs" dxfId="31" priority="34" operator="equal">
      <formula>6</formula>
    </cfRule>
  </conditionalFormatting>
  <conditionalFormatting sqref="F14">
    <cfRule type="cellIs" dxfId="30" priority="6" operator="equal">
      <formula>10</formula>
    </cfRule>
  </conditionalFormatting>
  <conditionalFormatting sqref="F14">
    <cfRule type="cellIs" dxfId="29" priority="1" operator="equal">
      <formula>0</formula>
    </cfRule>
    <cfRule type="cellIs" dxfId="28" priority="3" operator="equal">
      <formula>4</formula>
    </cfRule>
  </conditionalFormatting>
  <conditionalFormatting sqref="F14">
    <cfRule type="cellIs" dxfId="27" priority="2" operator="equal">
      <formula>2</formula>
    </cfRule>
    <cfRule type="cellIs" dxfId="26" priority="5" operator="equal">
      <formula>8</formula>
    </cfRule>
  </conditionalFormatting>
  <conditionalFormatting sqref="F14">
    <cfRule type="cellIs" dxfId="25" priority="4" operator="equal">
      <formula>6</formula>
    </cfRule>
  </conditionalFormatting>
  <dataValidations count="1">
    <dataValidation type="list" allowBlank="1" showInputMessage="1" showErrorMessage="1" sqref="F7 F10 F16 F13" xr:uid="{D408B689-9143-4840-97D2-C76FF3210FB3}">
      <formula1>BewertungsListe</formula1>
    </dataValidation>
  </dataValidations>
  <hyperlinks>
    <hyperlink ref="G8" location="Anmerkungen!F77" display="▶️" xr:uid="{667A03D7-AF0B-4398-87F4-571E8B47CF9B}"/>
    <hyperlink ref="G11" location="Remarks!F76" display="▶️" xr:uid="{699D5873-9B4D-406A-98CF-C9A66C73A767}"/>
    <hyperlink ref="G17" location="Remarks!F78" display="▶️" xr:uid="{90BE9F2C-FEB6-435E-A97F-C1E0D7A31700}"/>
    <hyperlink ref="G8:G9" location="Remarks!G53" display="▶️" xr:uid="{FF485BAF-525E-4777-B043-9DA3859D7016}"/>
    <hyperlink ref="G14" location="Remarks!F77" display="▶️" xr:uid="{F94FA358-1868-45AB-AEC8-563EF7689C67}"/>
    <hyperlink ref="G11:G12" location="Remarks!G54" display="▶️" xr:uid="{E0DEAEC4-2DB2-4ACA-B51E-C52BA9D99EC6}"/>
    <hyperlink ref="G14:G15" location="Remarks!G55" display="▶️" xr:uid="{6B4D654D-6C40-4528-9770-0AE905809A37}"/>
    <hyperlink ref="G17:G18" location="Remarks!G56" display="▶️" xr:uid="{4B7930BF-F173-4A18-AD2D-A4B67E4C080A}"/>
  </hyperlinks>
  <pageMargins left="0.7" right="0.7" top="0.78740157499999996" bottom="0.78740157499999996" header="0.3" footer="0.3"/>
  <pageSetup paperSize="9" scale="39"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C7CD4-BE4B-4071-BEBF-90BE625CCC82}">
  <sheetPr codeName="Tabelle11">
    <pageSetUpPr fitToPage="1"/>
  </sheetPr>
  <dimension ref="A1:J57"/>
  <sheetViews>
    <sheetView zoomScaleNormal="100" workbookViewId="0">
      <pane ySplit="3" topLeftCell="A49" activePane="bottomLeft" state="frozen"/>
      <selection activeCell="I56" sqref="I56"/>
      <selection pane="bottomLeft" activeCell="H56" sqref="H56"/>
    </sheetView>
  </sheetViews>
  <sheetFormatPr baseColWidth="10" defaultColWidth="10.88671875" defaultRowHeight="18" x14ac:dyDescent="0.4"/>
  <cols>
    <col min="1" max="1" width="3.33203125" style="23" customWidth="1"/>
    <col min="2" max="2" width="5.21875" style="23" customWidth="1"/>
    <col min="3" max="3" width="8.33203125" style="59" customWidth="1"/>
    <col min="4" max="4" width="3" style="23" customWidth="1"/>
    <col min="5" max="5" width="54.77734375" style="26" customWidth="1"/>
    <col min="6" max="6" width="7.88671875" style="23" customWidth="1"/>
    <col min="7" max="7" width="44.21875" style="23" customWidth="1"/>
    <col min="8" max="9" width="3.5546875" style="45" customWidth="1"/>
    <col min="10" max="16384" width="10.88671875" style="23"/>
  </cols>
  <sheetData>
    <row r="1" spans="1:9" ht="15" customHeight="1" x14ac:dyDescent="0.4">
      <c r="A1" s="503" t="s">
        <v>637</v>
      </c>
      <c r="B1" s="503"/>
      <c r="C1" s="503"/>
      <c r="D1" s="503"/>
      <c r="E1" s="503"/>
      <c r="F1" s="503"/>
      <c r="G1" s="503"/>
      <c r="H1" s="503"/>
      <c r="I1" s="504"/>
    </row>
    <row r="2" spans="1:9" ht="40.9" customHeight="1" x14ac:dyDescent="0.4">
      <c r="A2" s="503"/>
      <c r="B2" s="503"/>
      <c r="C2" s="503"/>
      <c r="D2" s="503"/>
      <c r="E2" s="503"/>
      <c r="F2" s="503"/>
      <c r="G2" s="503"/>
      <c r="H2" s="503"/>
      <c r="I2" s="504"/>
    </row>
    <row r="3" spans="1:9" ht="24" customHeight="1" x14ac:dyDescent="0.4">
      <c r="A3" s="140"/>
      <c r="B3" s="166" t="s">
        <v>416</v>
      </c>
      <c r="C3" s="167" t="s">
        <v>529</v>
      </c>
      <c r="D3" s="168"/>
      <c r="E3" s="166" t="s">
        <v>530</v>
      </c>
      <c r="F3" s="169" t="s">
        <v>476</v>
      </c>
      <c r="G3" s="500" t="s">
        <v>531</v>
      </c>
      <c r="H3" s="500"/>
      <c r="I3" s="132"/>
    </row>
    <row r="4" spans="1:9" x14ac:dyDescent="0.4">
      <c r="A4" s="140"/>
      <c r="B4" s="501" t="s">
        <v>532</v>
      </c>
      <c r="C4" s="501"/>
      <c r="D4" s="501"/>
      <c r="E4" s="501"/>
      <c r="F4" s="501"/>
      <c r="G4" s="501"/>
      <c r="H4" s="501"/>
      <c r="I4" s="136"/>
    </row>
    <row r="5" spans="1:9" ht="36" x14ac:dyDescent="0.4">
      <c r="A5" s="140"/>
      <c r="B5" s="122" t="s">
        <v>421</v>
      </c>
      <c r="C5" s="123" t="s">
        <v>533</v>
      </c>
      <c r="D5" s="124" t="s">
        <v>422</v>
      </c>
      <c r="E5" s="125" t="s">
        <v>587</v>
      </c>
      <c r="F5" s="126" t="str">
        <f>IF(Evaluationsheet!E5="nicht bewertet", "n.b.", Evaluationsheet!E5)</f>
        <v>n.e.</v>
      </c>
      <c r="G5" s="263"/>
      <c r="H5" s="174" t="s">
        <v>534</v>
      </c>
      <c r="I5" s="133"/>
    </row>
    <row r="6" spans="1:9" ht="36" x14ac:dyDescent="0.4">
      <c r="A6" s="140"/>
      <c r="B6" s="127" t="s">
        <v>423</v>
      </c>
      <c r="C6" s="128" t="s">
        <v>535</v>
      </c>
      <c r="D6" s="129" t="s">
        <v>422</v>
      </c>
      <c r="E6" s="130" t="s">
        <v>588</v>
      </c>
      <c r="F6" s="131" t="str">
        <f>IF(Evaluationsheet!E6="nicht bewertet", "n.b.", Evaluationsheet!E6)</f>
        <v>n.e.</v>
      </c>
      <c r="G6" s="332"/>
      <c r="H6" s="175" t="s">
        <v>534</v>
      </c>
      <c r="I6" s="133"/>
    </row>
    <row r="7" spans="1:9" ht="36" x14ac:dyDescent="0.4">
      <c r="A7" s="140"/>
      <c r="B7" s="127" t="s">
        <v>424</v>
      </c>
      <c r="C7" s="128" t="s">
        <v>536</v>
      </c>
      <c r="D7" s="129"/>
      <c r="E7" s="130" t="s">
        <v>590</v>
      </c>
      <c r="F7" s="131" t="str">
        <f>IF(Evaluationsheet!E7="nicht bewertet", "n.b.", Evaluationsheet!E7)</f>
        <v>n.e.</v>
      </c>
      <c r="G7" s="332"/>
      <c r="H7" s="175" t="s">
        <v>534</v>
      </c>
      <c r="I7" s="133"/>
    </row>
    <row r="8" spans="1:9" ht="36" x14ac:dyDescent="0.4">
      <c r="A8" s="140"/>
      <c r="B8" s="122" t="s">
        <v>425</v>
      </c>
      <c r="C8" s="128" t="s">
        <v>537</v>
      </c>
      <c r="D8" s="129" t="s">
        <v>422</v>
      </c>
      <c r="E8" s="130" t="s">
        <v>589</v>
      </c>
      <c r="F8" s="131" t="str">
        <f>IF(Evaluationsheet!E8="nicht bewertet", "n.b.", Evaluationsheet!E8)</f>
        <v>n.e.</v>
      </c>
      <c r="G8" s="332"/>
      <c r="H8" s="175" t="s">
        <v>534</v>
      </c>
      <c r="I8" s="133"/>
    </row>
    <row r="9" spans="1:9" x14ac:dyDescent="0.4">
      <c r="A9" s="140"/>
      <c r="B9" s="127" t="s">
        <v>426</v>
      </c>
      <c r="C9" s="128" t="s">
        <v>538</v>
      </c>
      <c r="D9" s="129"/>
      <c r="E9" s="130" t="s">
        <v>593</v>
      </c>
      <c r="F9" s="131" t="str">
        <f>IF(Evaluationsheet!E9="nicht bewertet", "n.b.", Evaluationsheet!E9)</f>
        <v>n.e.</v>
      </c>
      <c r="G9" s="332"/>
      <c r="H9" s="175" t="s">
        <v>534</v>
      </c>
      <c r="I9" s="133"/>
    </row>
    <row r="10" spans="1:9" ht="19.149999999999999" customHeight="1" x14ac:dyDescent="0.4">
      <c r="A10" s="140"/>
      <c r="B10" s="505" t="s">
        <v>539</v>
      </c>
      <c r="C10" s="505"/>
      <c r="D10" s="505"/>
      <c r="E10" s="505"/>
      <c r="F10" s="505"/>
      <c r="G10" s="505"/>
      <c r="H10" s="505"/>
      <c r="I10" s="137"/>
    </row>
    <row r="11" spans="1:9" ht="36" x14ac:dyDescent="0.4">
      <c r="A11" s="140"/>
      <c r="B11" s="267" t="s">
        <v>428</v>
      </c>
      <c r="C11" s="128" t="s">
        <v>540</v>
      </c>
      <c r="D11" s="129" t="s">
        <v>422</v>
      </c>
      <c r="E11" s="130" t="s">
        <v>594</v>
      </c>
      <c r="F11" s="131" t="str">
        <f>IF(Evaluationsheet!E11="nicht bewertet", "n.b.", Evaluationsheet!E11)</f>
        <v>n.e.</v>
      </c>
      <c r="G11" s="332"/>
      <c r="H11" s="175" t="s">
        <v>534</v>
      </c>
      <c r="I11" s="133"/>
    </row>
    <row r="12" spans="1:9" ht="36" x14ac:dyDescent="0.4">
      <c r="A12" s="140"/>
      <c r="B12" s="344" t="s">
        <v>429</v>
      </c>
      <c r="C12" s="345" t="s">
        <v>541</v>
      </c>
      <c r="D12" s="507" t="s">
        <v>422</v>
      </c>
      <c r="E12" s="336" t="s">
        <v>595</v>
      </c>
      <c r="F12" s="333"/>
      <c r="G12" s="335"/>
      <c r="H12" s="339"/>
      <c r="I12" s="133"/>
    </row>
    <row r="13" spans="1:9" x14ac:dyDescent="0.4">
      <c r="A13" s="140"/>
      <c r="B13" s="350" t="s">
        <v>429</v>
      </c>
      <c r="C13" s="349" t="s">
        <v>541</v>
      </c>
      <c r="D13" s="393"/>
      <c r="E13" s="264" t="s">
        <v>879</v>
      </c>
      <c r="F13" s="131" t="str">
        <f>IF(Evaluationsheet!E13="nicht bewertet", "n.b.", Evaluationsheet!E13)</f>
        <v>n.e.</v>
      </c>
      <c r="G13" s="263"/>
      <c r="H13" s="173" t="s">
        <v>534</v>
      </c>
      <c r="I13" s="133"/>
    </row>
    <row r="14" spans="1:9" x14ac:dyDescent="0.4">
      <c r="A14" s="140"/>
      <c r="B14" s="347" t="s">
        <v>429</v>
      </c>
      <c r="C14" s="348" t="s">
        <v>541</v>
      </c>
      <c r="D14" s="508"/>
      <c r="E14" s="262" t="s">
        <v>878</v>
      </c>
      <c r="F14" s="126" t="str">
        <f>IF(Evaluationsheet!E14="nicht bewertet", "n.b.", Evaluationsheet!E14)</f>
        <v>n.e.</v>
      </c>
      <c r="G14" s="188"/>
      <c r="H14" s="174" t="s">
        <v>534</v>
      </c>
      <c r="I14" s="133"/>
    </row>
    <row r="15" spans="1:9" x14ac:dyDescent="0.4">
      <c r="A15" s="140"/>
      <c r="B15" s="265" t="s">
        <v>430</v>
      </c>
      <c r="C15" s="128" t="s">
        <v>542</v>
      </c>
      <c r="D15" s="129" t="s">
        <v>422</v>
      </c>
      <c r="E15" s="130" t="s">
        <v>591</v>
      </c>
      <c r="F15" s="131" t="str">
        <f>IF(Evaluationsheet!E15="nicht bewertet", "n.b.", Evaluationsheet!E15)</f>
        <v>n.e.</v>
      </c>
      <c r="G15" s="332"/>
      <c r="H15" s="175" t="s">
        <v>534</v>
      </c>
      <c r="I15" s="133"/>
    </row>
    <row r="16" spans="1:9" ht="36" x14ac:dyDescent="0.4">
      <c r="A16" s="140"/>
      <c r="B16" s="266" t="s">
        <v>431</v>
      </c>
      <c r="C16" s="59" t="s">
        <v>543</v>
      </c>
      <c r="D16" s="138" t="s">
        <v>422</v>
      </c>
      <c r="E16" s="139" t="s">
        <v>596</v>
      </c>
      <c r="F16" s="135" t="str">
        <f>IF(Evaluationsheet!E16="nicht bewertet", "n.b.", Evaluationsheet!E16)</f>
        <v>n.e.</v>
      </c>
      <c r="G16" s="188"/>
      <c r="H16" s="173" t="s">
        <v>534</v>
      </c>
      <c r="I16" s="133"/>
    </row>
    <row r="17" spans="1:9" x14ac:dyDescent="0.4">
      <c r="A17" s="140"/>
      <c r="B17" s="506" t="s">
        <v>544</v>
      </c>
      <c r="C17" s="506"/>
      <c r="D17" s="506"/>
      <c r="E17" s="506"/>
      <c r="F17" s="506"/>
      <c r="G17" s="506"/>
      <c r="H17" s="506"/>
      <c r="I17" s="137"/>
    </row>
    <row r="18" spans="1:9" ht="36" x14ac:dyDescent="0.4">
      <c r="A18" s="140"/>
      <c r="B18" s="122" t="s">
        <v>433</v>
      </c>
      <c r="C18" s="128" t="s">
        <v>545</v>
      </c>
      <c r="D18" s="129" t="s">
        <v>422</v>
      </c>
      <c r="E18" s="130" t="s">
        <v>597</v>
      </c>
      <c r="F18" s="131" t="str">
        <f>IF(Evaluationsheet!E18="nicht bewertet", "n.b.", Evaluationsheet!E18)</f>
        <v>n.e.</v>
      </c>
      <c r="G18" s="332"/>
      <c r="H18" s="175" t="s">
        <v>534</v>
      </c>
      <c r="I18" s="133"/>
    </row>
    <row r="19" spans="1:9" ht="36" x14ac:dyDescent="0.4">
      <c r="A19" s="140"/>
      <c r="B19" s="122" t="s">
        <v>434</v>
      </c>
      <c r="C19" s="128" t="s">
        <v>546</v>
      </c>
      <c r="D19" s="129"/>
      <c r="E19" s="130" t="s">
        <v>598</v>
      </c>
      <c r="F19" s="131" t="str">
        <f>IF(Evaluationsheet!E19="nicht bewertet", "n.b.", Evaluationsheet!E19)</f>
        <v>n.e.</v>
      </c>
      <c r="G19" s="332"/>
      <c r="H19" s="175" t="s">
        <v>534</v>
      </c>
      <c r="I19" s="133"/>
    </row>
    <row r="20" spans="1:9" ht="36" x14ac:dyDescent="0.4">
      <c r="A20" s="140"/>
      <c r="B20" s="122" t="s">
        <v>435</v>
      </c>
      <c r="C20" s="123" t="s">
        <v>545</v>
      </c>
      <c r="D20" s="124" t="s">
        <v>422</v>
      </c>
      <c r="E20" s="125" t="s">
        <v>495</v>
      </c>
      <c r="F20" s="126" t="str">
        <f>IF(Evaluationsheet!E20="nicht bewertet", "n.b.", Evaluationsheet!E20)</f>
        <v>n.e.</v>
      </c>
      <c r="G20" s="263"/>
      <c r="H20" s="174" t="s">
        <v>534</v>
      </c>
      <c r="I20" s="133"/>
    </row>
    <row r="21" spans="1:9" ht="36" x14ac:dyDescent="0.4">
      <c r="A21" s="140"/>
      <c r="B21" s="122" t="s">
        <v>436</v>
      </c>
      <c r="C21" s="128" t="s">
        <v>547</v>
      </c>
      <c r="D21" s="129"/>
      <c r="E21" s="130" t="s">
        <v>590</v>
      </c>
      <c r="F21" s="131" t="str">
        <f>IF(Evaluationsheet!E21="nicht bewertet", "n.b.", Evaluationsheet!E21)</f>
        <v>n.e.</v>
      </c>
      <c r="G21" s="332"/>
      <c r="H21" s="175" t="s">
        <v>534</v>
      </c>
      <c r="I21" s="133"/>
    </row>
    <row r="22" spans="1:9" x14ac:dyDescent="0.4">
      <c r="A22" s="140"/>
      <c r="B22" s="122" t="s">
        <v>437</v>
      </c>
      <c r="C22" s="128" t="s">
        <v>548</v>
      </c>
      <c r="D22" s="129" t="s">
        <v>422</v>
      </c>
      <c r="E22" s="130" t="s">
        <v>599</v>
      </c>
      <c r="F22" s="131" t="str">
        <f>IF(Evaluationsheet!E22="nicht bewertet", "n.b.", Evaluationsheet!E22)</f>
        <v>n.e.</v>
      </c>
      <c r="G22" s="332"/>
      <c r="H22" s="175" t="s">
        <v>534</v>
      </c>
      <c r="I22" s="133"/>
    </row>
    <row r="23" spans="1:9" ht="36" x14ac:dyDescent="0.4">
      <c r="A23" s="140"/>
      <c r="B23" s="122" t="s">
        <v>438</v>
      </c>
      <c r="C23" s="123" t="s">
        <v>549</v>
      </c>
      <c r="D23" s="129"/>
      <c r="E23" s="130" t="s">
        <v>600</v>
      </c>
      <c r="F23" s="131" t="str">
        <f>IF(Evaluationsheet!E23="nicht bewertet", "n.b.", Evaluationsheet!E23)</f>
        <v>n.e.</v>
      </c>
      <c r="G23" s="332"/>
      <c r="H23" s="175" t="s">
        <v>534</v>
      </c>
      <c r="I23" s="133"/>
    </row>
    <row r="24" spans="1:9" ht="36" x14ac:dyDescent="0.4">
      <c r="A24" s="140"/>
      <c r="B24" s="122" t="s">
        <v>439</v>
      </c>
      <c r="C24" s="128" t="s">
        <v>550</v>
      </c>
      <c r="D24" s="129" t="s">
        <v>422</v>
      </c>
      <c r="E24" s="130" t="s">
        <v>601</v>
      </c>
      <c r="F24" s="131" t="str">
        <f>IF(Evaluationsheet!E24="nicht bewertet", "n.b.", Evaluationsheet!E24)</f>
        <v>n.e.</v>
      </c>
      <c r="G24" s="332"/>
      <c r="H24" s="175" t="s">
        <v>534</v>
      </c>
      <c r="I24" s="133"/>
    </row>
    <row r="25" spans="1:9" x14ac:dyDescent="0.4">
      <c r="A25" s="140"/>
      <c r="B25" s="502" t="s">
        <v>551</v>
      </c>
      <c r="C25" s="502"/>
      <c r="D25" s="502"/>
      <c r="E25" s="502"/>
      <c r="F25" s="502"/>
      <c r="G25" s="502"/>
      <c r="H25" s="502"/>
      <c r="I25" s="137"/>
    </row>
    <row r="26" spans="1:9" x14ac:dyDescent="0.4">
      <c r="A26" s="140"/>
      <c r="B26" s="215" t="s">
        <v>441</v>
      </c>
      <c r="C26" s="346" t="s">
        <v>890</v>
      </c>
      <c r="D26" s="393"/>
      <c r="E26" s="337" t="s">
        <v>891</v>
      </c>
      <c r="F26" s="334"/>
      <c r="G26" s="338"/>
      <c r="H26" s="340"/>
      <c r="I26" s="133"/>
    </row>
    <row r="27" spans="1:9" x14ac:dyDescent="0.4">
      <c r="A27" s="140"/>
      <c r="B27" s="352" t="s">
        <v>441</v>
      </c>
      <c r="C27" s="352" t="s">
        <v>552</v>
      </c>
      <c r="D27" s="393"/>
      <c r="E27" s="264" t="s">
        <v>661</v>
      </c>
      <c r="F27" s="126" t="str">
        <f>IF(Evaluationsheet!E27="nicht bewertet", "n.b.", Evaluationsheet!E27)</f>
        <v>n.e.</v>
      </c>
      <c r="G27" s="263"/>
      <c r="H27" s="174" t="s">
        <v>534</v>
      </c>
      <c r="I27" s="133"/>
    </row>
    <row r="28" spans="1:9" x14ac:dyDescent="0.4">
      <c r="A28" s="140"/>
      <c r="B28" s="351" t="s">
        <v>441</v>
      </c>
      <c r="C28" s="351" t="s">
        <v>552</v>
      </c>
      <c r="D28" s="508"/>
      <c r="E28" s="262" t="s">
        <v>880</v>
      </c>
      <c r="F28" s="126" t="str">
        <f>IF(Evaluationsheet!E28="nicht bewertet", "n.b.", Evaluationsheet!E28)</f>
        <v>n.e.</v>
      </c>
      <c r="G28" s="263"/>
      <c r="H28" s="174" t="s">
        <v>534</v>
      </c>
      <c r="I28" s="133"/>
    </row>
    <row r="29" spans="1:9" x14ac:dyDescent="0.4">
      <c r="A29" s="140"/>
      <c r="B29" s="127" t="s">
        <v>442</v>
      </c>
      <c r="C29" s="128" t="s">
        <v>553</v>
      </c>
      <c r="D29" s="129" t="s">
        <v>422</v>
      </c>
      <c r="E29" s="130" t="s">
        <v>602</v>
      </c>
      <c r="F29" s="126" t="str">
        <f>IF(Evaluationsheet!E29="nicht bewertet", "n.b.", Evaluationsheet!E29)</f>
        <v>n.e.</v>
      </c>
      <c r="G29" s="332"/>
      <c r="H29" s="175" t="s">
        <v>534</v>
      </c>
      <c r="I29" s="133"/>
    </row>
    <row r="30" spans="1:9" ht="36" x14ac:dyDescent="0.4">
      <c r="A30" s="140"/>
      <c r="B30" s="128" t="s">
        <v>443</v>
      </c>
      <c r="C30" s="128" t="s">
        <v>552</v>
      </c>
      <c r="D30" s="129" t="s">
        <v>422</v>
      </c>
      <c r="E30" s="130" t="s">
        <v>881</v>
      </c>
      <c r="F30" s="131" t="str">
        <f>IF(Evaluationsheet!E30="nicht bewertet", "n.b.", Evaluationsheet!E30)</f>
        <v>n.e.</v>
      </c>
      <c r="G30" s="332"/>
      <c r="H30" s="175" t="s">
        <v>534</v>
      </c>
      <c r="I30" s="133"/>
    </row>
    <row r="31" spans="1:9" x14ac:dyDescent="0.4">
      <c r="A31" s="140"/>
      <c r="B31" s="128" t="s">
        <v>641</v>
      </c>
      <c r="C31" s="128" t="s">
        <v>554</v>
      </c>
      <c r="D31" s="129" t="s">
        <v>422</v>
      </c>
      <c r="E31" s="130" t="s">
        <v>603</v>
      </c>
      <c r="F31" s="131" t="str">
        <f>IF(Evaluationsheet!E31="nicht bewertet", "n.b.", Evaluationsheet!E31)</f>
        <v>n.e.</v>
      </c>
      <c r="G31" s="332"/>
      <c r="H31" s="175" t="s">
        <v>534</v>
      </c>
      <c r="I31" s="133"/>
    </row>
    <row r="32" spans="1:9" x14ac:dyDescent="0.4">
      <c r="A32" s="140"/>
      <c r="B32" s="502" t="s">
        <v>555</v>
      </c>
      <c r="C32" s="502"/>
      <c r="D32" s="502"/>
      <c r="E32" s="502"/>
      <c r="F32" s="502"/>
      <c r="G32" s="502"/>
      <c r="H32" s="502"/>
      <c r="I32" s="137"/>
    </row>
    <row r="33" spans="1:9" x14ac:dyDescent="0.4">
      <c r="A33" s="140"/>
      <c r="B33" s="122" t="s">
        <v>445</v>
      </c>
      <c r="C33" s="123" t="s">
        <v>556</v>
      </c>
      <c r="D33" s="124" t="s">
        <v>422</v>
      </c>
      <c r="E33" s="125" t="s">
        <v>604</v>
      </c>
      <c r="F33" s="126" t="str">
        <f>IF(Evaluationsheet!E33="nicht bewertet", "n.b.", Evaluationsheet!E33)</f>
        <v>n.e.</v>
      </c>
      <c r="G33" s="263"/>
      <c r="H33" s="174" t="s">
        <v>534</v>
      </c>
      <c r="I33" s="133"/>
    </row>
    <row r="34" spans="1:9" ht="36" x14ac:dyDescent="0.4">
      <c r="A34" s="140"/>
      <c r="B34" s="127" t="s">
        <v>446</v>
      </c>
      <c r="C34" s="128" t="s">
        <v>557</v>
      </c>
      <c r="D34" s="129" t="s">
        <v>422</v>
      </c>
      <c r="E34" s="130" t="s">
        <v>605</v>
      </c>
      <c r="F34" s="126" t="str">
        <f>IF(Evaluationsheet!E34="nicht bewertet", "n.b.", Evaluationsheet!E34)</f>
        <v>n.e.</v>
      </c>
      <c r="G34" s="332"/>
      <c r="H34" s="175" t="s">
        <v>534</v>
      </c>
      <c r="I34" s="133"/>
    </row>
    <row r="35" spans="1:9" x14ac:dyDescent="0.4">
      <c r="A35" s="140"/>
      <c r="B35" s="127" t="s">
        <v>447</v>
      </c>
      <c r="C35" s="128" t="s">
        <v>558</v>
      </c>
      <c r="D35" s="129" t="s">
        <v>422</v>
      </c>
      <c r="E35" s="130" t="s">
        <v>606</v>
      </c>
      <c r="F35" s="126" t="str">
        <f>IF(Evaluationsheet!E35="nicht bewertet", "n.b.", Evaluationsheet!E35)</f>
        <v>n.e.</v>
      </c>
      <c r="G35" s="332"/>
      <c r="H35" s="175" t="s">
        <v>534</v>
      </c>
      <c r="I35" s="133"/>
    </row>
    <row r="36" spans="1:9" ht="36" x14ac:dyDescent="0.4">
      <c r="A36" s="140"/>
      <c r="B36" s="127" t="s">
        <v>448</v>
      </c>
      <c r="C36" s="128" t="s">
        <v>559</v>
      </c>
      <c r="D36" s="129" t="s">
        <v>422</v>
      </c>
      <c r="E36" s="130" t="s">
        <v>607</v>
      </c>
      <c r="F36" s="126" t="str">
        <f>IF(Evaluationsheet!E36="nicht bewertet", "n.b.", Evaluationsheet!E36)</f>
        <v>n.e.</v>
      </c>
      <c r="G36" s="332"/>
      <c r="H36" s="175" t="s">
        <v>534</v>
      </c>
      <c r="I36" s="133"/>
    </row>
    <row r="37" spans="1:9" ht="36" x14ac:dyDescent="0.4">
      <c r="A37" s="140"/>
      <c r="B37" s="127" t="s">
        <v>449</v>
      </c>
      <c r="C37" s="128" t="s">
        <v>560</v>
      </c>
      <c r="D37" s="129"/>
      <c r="E37" s="130" t="s">
        <v>608</v>
      </c>
      <c r="F37" s="126" t="str">
        <f>IF(Evaluationsheet!E37="nicht bewertet", "n.b.", Evaluationsheet!E37)</f>
        <v>n.e.</v>
      </c>
      <c r="G37" s="332"/>
      <c r="H37" s="175" t="s">
        <v>534</v>
      </c>
      <c r="I37" s="133"/>
    </row>
    <row r="38" spans="1:9" ht="36" x14ac:dyDescent="0.4">
      <c r="A38" s="140"/>
      <c r="B38" s="353" t="s">
        <v>450</v>
      </c>
      <c r="C38" s="345" t="s">
        <v>561</v>
      </c>
      <c r="D38" s="509" t="s">
        <v>422</v>
      </c>
      <c r="E38" s="336" t="s">
        <v>609</v>
      </c>
      <c r="F38" s="334"/>
      <c r="G38" s="335"/>
      <c r="H38" s="341"/>
      <c r="I38" s="133"/>
    </row>
    <row r="39" spans="1:9" x14ac:dyDescent="0.4">
      <c r="A39" s="140"/>
      <c r="B39" s="349" t="s">
        <v>450</v>
      </c>
      <c r="C39" s="349" t="s">
        <v>561</v>
      </c>
      <c r="D39" s="510"/>
      <c r="E39" s="262" t="s">
        <v>882</v>
      </c>
      <c r="F39" s="135" t="str">
        <f>IF(Evaluationsheet!E39="nicht bewertet", "n.b.", Evaluationsheet!E39)</f>
        <v>n.e.</v>
      </c>
      <c r="G39" s="342"/>
      <c r="H39" s="343" t="s">
        <v>534</v>
      </c>
      <c r="I39" s="133"/>
    </row>
    <row r="40" spans="1:9" x14ac:dyDescent="0.4">
      <c r="A40" s="140"/>
      <c r="B40" s="349" t="s">
        <v>450</v>
      </c>
      <c r="C40" s="349" t="s">
        <v>561</v>
      </c>
      <c r="D40" s="510"/>
      <c r="E40" s="264" t="s">
        <v>883</v>
      </c>
      <c r="F40" s="131" t="str">
        <f>IF(Evaluationsheet!E40="nicht bewertet", "n.b.", Evaluationsheet!E40)</f>
        <v>n.e.</v>
      </c>
      <c r="G40" s="332"/>
      <c r="H40" s="175" t="s">
        <v>534</v>
      </c>
      <c r="I40" s="133"/>
    </row>
    <row r="41" spans="1:9" x14ac:dyDescent="0.4">
      <c r="A41" s="140"/>
      <c r="B41" s="348" t="s">
        <v>450</v>
      </c>
      <c r="C41" s="348" t="s">
        <v>561</v>
      </c>
      <c r="D41" s="511"/>
      <c r="E41" s="268" t="s">
        <v>884</v>
      </c>
      <c r="F41" s="135" t="str">
        <f>IF(Evaluationsheet!E41="nicht bewertet", "n.b.", Evaluationsheet!E41)</f>
        <v>n.e.</v>
      </c>
      <c r="G41" s="263"/>
      <c r="H41" s="174" t="s">
        <v>534</v>
      </c>
      <c r="I41" s="133"/>
    </row>
    <row r="42" spans="1:9" ht="36" x14ac:dyDescent="0.4">
      <c r="A42" s="140"/>
      <c r="B42" s="127" t="s">
        <v>451</v>
      </c>
      <c r="C42" s="128" t="s">
        <v>562</v>
      </c>
      <c r="D42" s="129"/>
      <c r="E42" s="130" t="s">
        <v>610</v>
      </c>
      <c r="F42" s="131" t="str">
        <f>IF(Evaluationsheet!E42="nicht bewertet", "n.b.", Evaluationsheet!E42)</f>
        <v>n.e.</v>
      </c>
      <c r="G42" s="332"/>
      <c r="H42" s="175" t="s">
        <v>534</v>
      </c>
      <c r="I42" s="133"/>
    </row>
    <row r="43" spans="1:9" ht="36" x14ac:dyDescent="0.4">
      <c r="A43" s="140"/>
      <c r="B43" s="127" t="s">
        <v>452</v>
      </c>
      <c r="C43" s="128" t="s">
        <v>563</v>
      </c>
      <c r="D43" s="129"/>
      <c r="E43" s="130" t="s">
        <v>612</v>
      </c>
      <c r="F43" s="135" t="str">
        <f>IF(Evaluationsheet!E43="nicht bewertet", "n.b.", Evaluationsheet!E43)</f>
        <v>n.e.</v>
      </c>
      <c r="G43" s="332"/>
      <c r="H43" s="175" t="s">
        <v>534</v>
      </c>
      <c r="I43" s="133"/>
    </row>
    <row r="44" spans="1:9" ht="36" x14ac:dyDescent="0.4">
      <c r="A44" s="140"/>
      <c r="B44" s="127" t="s">
        <v>453</v>
      </c>
      <c r="C44" s="128" t="s">
        <v>564</v>
      </c>
      <c r="D44" s="129" t="s">
        <v>422</v>
      </c>
      <c r="E44" s="130" t="s">
        <v>611</v>
      </c>
      <c r="F44" s="131" t="str">
        <f>IF(Evaluationsheet!E44="nicht bewertet", "n.b.", Evaluationsheet!E44)</f>
        <v>n.e.</v>
      </c>
      <c r="G44" s="332"/>
      <c r="H44" s="175" t="s">
        <v>534</v>
      </c>
      <c r="I44" s="133"/>
    </row>
    <row r="45" spans="1:9" x14ac:dyDescent="0.4">
      <c r="A45" s="140"/>
      <c r="B45" s="127" t="s">
        <v>454</v>
      </c>
      <c r="C45" s="128" t="s">
        <v>565</v>
      </c>
      <c r="D45" s="129" t="s">
        <v>422</v>
      </c>
      <c r="E45" s="130" t="s">
        <v>603</v>
      </c>
      <c r="F45" s="131" t="str">
        <f>IF(Evaluationsheet!E45="nicht bewertet", "n.b.", Evaluationsheet!E45)</f>
        <v>n.e.</v>
      </c>
      <c r="G45" s="332"/>
      <c r="H45" s="175" t="s">
        <v>534</v>
      </c>
      <c r="I45" s="133"/>
    </row>
    <row r="46" spans="1:9" x14ac:dyDescent="0.4">
      <c r="A46" s="140"/>
      <c r="B46" s="127" t="s">
        <v>455</v>
      </c>
      <c r="C46" s="128" t="s">
        <v>566</v>
      </c>
      <c r="D46" s="129" t="s">
        <v>422</v>
      </c>
      <c r="E46" s="130" t="s">
        <v>592</v>
      </c>
      <c r="F46" s="135" t="str">
        <f>IF(Evaluationsheet!E46="nicht bewertet", "n.b.", Evaluationsheet!E46)</f>
        <v>n.e.</v>
      </c>
      <c r="G46" s="332"/>
      <c r="H46" s="175" t="s">
        <v>534</v>
      </c>
      <c r="I46" s="133"/>
    </row>
    <row r="47" spans="1:9" ht="36" x14ac:dyDescent="0.4">
      <c r="A47" s="140"/>
      <c r="B47" s="127" t="s">
        <v>456</v>
      </c>
      <c r="C47" s="128" t="s">
        <v>567</v>
      </c>
      <c r="D47" s="129"/>
      <c r="E47" s="130" t="s">
        <v>613</v>
      </c>
      <c r="F47" s="131" t="str">
        <f>IF(Evaluationsheet!E47="nicht bewertet", "n.b.", Evaluationsheet!E47)</f>
        <v>n.e.</v>
      </c>
      <c r="G47" s="332"/>
      <c r="H47" s="175" t="s">
        <v>534</v>
      </c>
      <c r="I47" s="133"/>
    </row>
    <row r="48" spans="1:9" ht="36" x14ac:dyDescent="0.4">
      <c r="A48" s="140"/>
      <c r="B48" s="127" t="s">
        <v>457</v>
      </c>
      <c r="C48" s="128" t="s">
        <v>568</v>
      </c>
      <c r="D48" s="129" t="s">
        <v>422</v>
      </c>
      <c r="E48" s="130" t="s">
        <v>614</v>
      </c>
      <c r="F48" s="135" t="str">
        <f>IF(Evaluationsheet!E48="nicht bewertet", "n.b.", Evaluationsheet!E48)</f>
        <v>n.e.</v>
      </c>
      <c r="G48" s="332"/>
      <c r="H48" s="175" t="s">
        <v>534</v>
      </c>
      <c r="I48" s="133"/>
    </row>
    <row r="49" spans="1:10" ht="36" x14ac:dyDescent="0.4">
      <c r="A49" s="140"/>
      <c r="B49" s="127" t="s">
        <v>458</v>
      </c>
      <c r="C49" s="128" t="s">
        <v>569</v>
      </c>
      <c r="D49" s="129"/>
      <c r="E49" s="130" t="s">
        <v>615</v>
      </c>
      <c r="F49" s="131" t="str">
        <f>IF(Evaluationsheet!E49="nicht bewertet", "n.b.", Evaluationsheet!E49)</f>
        <v>n.e.</v>
      </c>
      <c r="G49" s="332"/>
      <c r="H49" s="175" t="s">
        <v>534</v>
      </c>
      <c r="I49" s="133"/>
    </row>
    <row r="50" spans="1:10" x14ac:dyDescent="0.4">
      <c r="A50" s="140"/>
      <c r="B50" s="127" t="s">
        <v>459</v>
      </c>
      <c r="C50" s="128" t="s">
        <v>570</v>
      </c>
      <c r="D50" s="129"/>
      <c r="E50" s="130" t="s">
        <v>616</v>
      </c>
      <c r="F50" s="135" t="str">
        <f>IF(Evaluationsheet!E50="nicht bewertet", "n.b.", Evaluationsheet!E50)</f>
        <v>n.e.</v>
      </c>
      <c r="G50" s="332"/>
      <c r="H50" s="175" t="s">
        <v>534</v>
      </c>
      <c r="I50" s="133"/>
    </row>
    <row r="51" spans="1:10" ht="36" x14ac:dyDescent="0.4">
      <c r="A51" s="140"/>
      <c r="B51" s="127" t="s">
        <v>460</v>
      </c>
      <c r="C51" s="128" t="s">
        <v>571</v>
      </c>
      <c r="D51" s="129" t="s">
        <v>422</v>
      </c>
      <c r="E51" s="130" t="s">
        <v>617</v>
      </c>
      <c r="F51" s="131" t="str">
        <f>IF(Evaluationsheet!E51="nicht bewertet", "n.b.", Evaluationsheet!E51)</f>
        <v>n.e.</v>
      </c>
      <c r="G51" s="332"/>
      <c r="H51" s="175" t="s">
        <v>534</v>
      </c>
      <c r="I51" s="133"/>
    </row>
    <row r="52" spans="1:10" ht="22.9" customHeight="1" x14ac:dyDescent="0.4">
      <c r="A52" s="140"/>
      <c r="B52" s="502" t="s">
        <v>572</v>
      </c>
      <c r="C52" s="502"/>
      <c r="D52" s="502"/>
      <c r="E52" s="502"/>
      <c r="F52" s="502"/>
      <c r="G52" s="502"/>
      <c r="H52" s="502"/>
      <c r="I52" s="134"/>
    </row>
    <row r="53" spans="1:10" ht="36" x14ac:dyDescent="0.4">
      <c r="A53" s="140"/>
      <c r="B53" s="122" t="s">
        <v>462</v>
      </c>
      <c r="C53" s="123" t="s">
        <v>573</v>
      </c>
      <c r="D53" s="124" t="s">
        <v>422</v>
      </c>
      <c r="E53" s="125" t="s">
        <v>618</v>
      </c>
      <c r="F53" s="126" t="str">
        <f>IF(Evaluationsheet!E53="nicht bewertet", "n.b.", Evaluationsheet!E53)</f>
        <v>n.e.</v>
      </c>
      <c r="G53" s="263"/>
      <c r="H53" s="174" t="s">
        <v>534</v>
      </c>
      <c r="I53" s="133"/>
    </row>
    <row r="54" spans="1:10" ht="36" x14ac:dyDescent="0.4">
      <c r="A54" s="140"/>
      <c r="B54" s="127" t="s">
        <v>463</v>
      </c>
      <c r="C54" s="128" t="s">
        <v>574</v>
      </c>
      <c r="D54" s="129" t="s">
        <v>422</v>
      </c>
      <c r="E54" s="130" t="s">
        <v>619</v>
      </c>
      <c r="F54" s="131" t="str">
        <f>IF(Evaluationsheet!E54="nicht bewertet", "n.b.", Evaluationsheet!E54)</f>
        <v>n.e.</v>
      </c>
      <c r="G54" s="332"/>
      <c r="H54" s="175" t="s">
        <v>534</v>
      </c>
      <c r="I54" s="133"/>
    </row>
    <row r="55" spans="1:10" ht="36" x14ac:dyDescent="0.4">
      <c r="A55" s="140"/>
      <c r="B55" s="127" t="s">
        <v>464</v>
      </c>
      <c r="C55" s="267" t="s">
        <v>888</v>
      </c>
      <c r="D55" s="129"/>
      <c r="E55" s="130" t="s">
        <v>465</v>
      </c>
      <c r="F55" s="131" t="str">
        <f>IF(Evaluationsheet!E55="nicht bewertet", "n.b.", Evaluationsheet!E55)</f>
        <v>n.e.</v>
      </c>
      <c r="G55" s="332"/>
      <c r="H55" s="175" t="s">
        <v>534</v>
      </c>
      <c r="I55" s="133"/>
    </row>
    <row r="56" spans="1:10" ht="36" x14ac:dyDescent="0.4">
      <c r="A56" s="140"/>
      <c r="B56" s="127" t="s">
        <v>466</v>
      </c>
      <c r="C56" s="128" t="s">
        <v>575</v>
      </c>
      <c r="D56" s="129" t="s">
        <v>422</v>
      </c>
      <c r="E56" s="130" t="s">
        <v>865</v>
      </c>
      <c r="F56" s="131" t="str">
        <f>IF(Evaluationsheet!E56="nicht bewertet", "n.b.", Evaluationsheet!E56)</f>
        <v>n.e.</v>
      </c>
      <c r="G56" s="332"/>
      <c r="H56" s="175" t="s">
        <v>534</v>
      </c>
      <c r="I56" s="133"/>
    </row>
    <row r="57" spans="1:10" x14ac:dyDescent="0.4">
      <c r="A57" s="145"/>
      <c r="B57" s="114"/>
      <c r="C57" s="141"/>
      <c r="D57" s="114"/>
      <c r="E57" s="142"/>
      <c r="F57" s="114"/>
      <c r="G57" s="114"/>
      <c r="H57" s="143"/>
      <c r="I57" s="144"/>
      <c r="J57" s="140"/>
    </row>
  </sheetData>
  <mergeCells count="11">
    <mergeCell ref="G3:H3"/>
    <mergeCell ref="B4:H4"/>
    <mergeCell ref="B52:H52"/>
    <mergeCell ref="A1:I2"/>
    <mergeCell ref="B10:H10"/>
    <mergeCell ref="B17:H17"/>
    <mergeCell ref="B25:H25"/>
    <mergeCell ref="D12:D14"/>
    <mergeCell ref="D26:D28"/>
    <mergeCell ref="D38:D41"/>
    <mergeCell ref="B32:H32"/>
  </mergeCells>
  <phoneticPr fontId="8" type="noConversion"/>
  <conditionalFormatting sqref="F3 F57:F1048576">
    <cfRule type="containsText" dxfId="24" priority="55" operator="containsText" text="n.b.">
      <formula>NOT(ISERROR(SEARCH("n.b.",F3)))</formula>
    </cfRule>
  </conditionalFormatting>
  <conditionalFormatting sqref="F11 F15:F16 F33:F37 F5:F9 F18:F24 F39:F51">
    <cfRule type="cellIs" dxfId="23" priority="54" operator="equal">
      <formula>10</formula>
    </cfRule>
  </conditionalFormatting>
  <conditionalFormatting sqref="F11 F15:F16 F33:F37 F5:F9 F18:F24 F39:F51">
    <cfRule type="cellIs" dxfId="22" priority="49" operator="equal">
      <formula>0</formula>
    </cfRule>
    <cfRule type="cellIs" dxfId="21" priority="51" operator="equal">
      <formula>4</formula>
    </cfRule>
  </conditionalFormatting>
  <conditionalFormatting sqref="F11 F15:F16 F33:F37 F5:F9 F18:F24 F39:F51">
    <cfRule type="cellIs" dxfId="20" priority="50" operator="equal">
      <formula>2</formula>
    </cfRule>
    <cfRule type="cellIs" dxfId="19" priority="53" operator="equal">
      <formula>8</formula>
    </cfRule>
  </conditionalFormatting>
  <conditionalFormatting sqref="F11 F15:F16 F33:F37 F5:F9 F18:F24 F39:F51">
    <cfRule type="cellIs" dxfId="18" priority="52" operator="equal">
      <formula>6</formula>
    </cfRule>
  </conditionalFormatting>
  <conditionalFormatting sqref="F27:F31">
    <cfRule type="cellIs" dxfId="17" priority="30" operator="equal">
      <formula>10</formula>
    </cfRule>
  </conditionalFormatting>
  <conditionalFormatting sqref="F27:F31">
    <cfRule type="cellIs" dxfId="16" priority="25" operator="equal">
      <formula>0</formula>
    </cfRule>
    <cfRule type="cellIs" dxfId="15" priority="27" operator="equal">
      <formula>4</formula>
    </cfRule>
  </conditionalFormatting>
  <conditionalFormatting sqref="F27:F31">
    <cfRule type="cellIs" dxfId="14" priority="26" operator="equal">
      <formula>2</formula>
    </cfRule>
    <cfRule type="cellIs" dxfId="13" priority="29" operator="equal">
      <formula>8</formula>
    </cfRule>
  </conditionalFormatting>
  <conditionalFormatting sqref="F27:F31">
    <cfRule type="cellIs" dxfId="12" priority="28" operator="equal">
      <formula>6</formula>
    </cfRule>
  </conditionalFormatting>
  <conditionalFormatting sqref="F53:F56">
    <cfRule type="cellIs" dxfId="11" priority="18" operator="equal">
      <formula>10</formula>
    </cfRule>
  </conditionalFormatting>
  <conditionalFormatting sqref="F53:F56">
    <cfRule type="cellIs" dxfId="10" priority="13" operator="equal">
      <formula>0</formula>
    </cfRule>
    <cfRule type="cellIs" dxfId="9" priority="15" operator="equal">
      <formula>4</formula>
    </cfRule>
  </conditionalFormatting>
  <conditionalFormatting sqref="F53:F56">
    <cfRule type="cellIs" dxfId="8" priority="14" operator="equal">
      <formula>2</formula>
    </cfRule>
    <cfRule type="cellIs" dxfId="7" priority="17" operator="equal">
      <formula>8</formula>
    </cfRule>
  </conditionalFormatting>
  <conditionalFormatting sqref="F53:F56">
    <cfRule type="cellIs" dxfId="6" priority="16" operator="equal">
      <formula>6</formula>
    </cfRule>
  </conditionalFormatting>
  <conditionalFormatting sqref="H5:I5">
    <cfRule type="containsText" dxfId="5" priority="12" operator="containsText" text="🔙">
      <formula>NOT(ISERROR(SEARCH("🔙",H5)))</formula>
    </cfRule>
  </conditionalFormatting>
  <conditionalFormatting sqref="F13:F14">
    <cfRule type="cellIs" dxfId="4" priority="5" operator="equal">
      <formula>10</formula>
    </cfRule>
  </conditionalFormatting>
  <conditionalFormatting sqref="F13:F14">
    <cfRule type="cellIs" dxfId="3" priority="2" operator="equal">
      <formula>4</formula>
    </cfRule>
  </conditionalFormatting>
  <conditionalFormatting sqref="F13:F14">
    <cfRule type="cellIs" dxfId="2" priority="1" operator="equal">
      <formula>2</formula>
    </cfRule>
    <cfRule type="cellIs" dxfId="1" priority="4" operator="equal">
      <formula>8</formula>
    </cfRule>
  </conditionalFormatting>
  <conditionalFormatting sqref="F13:F14">
    <cfRule type="cellIs" dxfId="0" priority="3" operator="equal">
      <formula>6</formula>
    </cfRule>
  </conditionalFormatting>
  <hyperlinks>
    <hyperlink ref="H5" location="'L1 - Project management'!F8" display="🔙" xr:uid="{F69EE7FC-40F3-49A7-A2E3-CAA46BE77C32}"/>
    <hyperlink ref="H6" location="'L1 - Project management'!F11" display="🔙" xr:uid="{2643DEE1-D3FF-4147-8809-6152B430474C}"/>
    <hyperlink ref="H7" location="'L1 - Project management'!F14" display="🔙" xr:uid="{57C0B915-20DB-4EE0-B20A-73DADF073CD6}"/>
    <hyperlink ref="H8" location="'L1 - Project management'!F17" display="🔙" xr:uid="{A318D7B1-FF26-46C6-9CCD-72ACBF97D99E}"/>
    <hyperlink ref="H9" location="'L1 - Project management'!F20" display="🔙" xr:uid="{0588CDDD-C505-495A-B3A6-88A5E1E7470A}"/>
    <hyperlink ref="H11" location="'L2 - Planning'!F8" display="🔙" xr:uid="{3D5E6C0F-BA99-4073-8460-F59401F4DB3A}"/>
    <hyperlink ref="H15" location="'L2 - Planning'!F17" display="🔙" xr:uid="{F74FE2BE-CE29-4032-AE49-BFA5D8752498}"/>
    <hyperlink ref="H16" location="'L2 - Planning'!F20" display="🔙" xr:uid="{0D50820C-A06C-4B29-B357-C8B5DEF4D6FF}"/>
    <hyperlink ref="H18:H24" location="'L4 - Beschaffungslogisitk'!F9" display="🔙" xr:uid="{FBFF7219-1D79-4AA6-8919-D8232F4DF072}"/>
    <hyperlink ref="H18" location="'L4 - Procurement logistics'!F8" display="🔙" xr:uid="{2AEB1E89-68A1-49EA-B3DE-8B157C1EC2DD}"/>
    <hyperlink ref="H19" location="'L4 - Procurement logistics'!F11" display="🔙" xr:uid="{154336F2-B220-4955-A0DE-A6C442297715}"/>
    <hyperlink ref="H20" location="'L4 - Procurement logistics'!F14" display="🔙" xr:uid="{A066D52D-3FB0-49A9-96DB-4F9B3C553BE1}"/>
    <hyperlink ref="H21" location="'L4 - Procurement logistics'!F17" display="🔙" xr:uid="{806F4774-45D3-4642-A590-0369ECD58036}"/>
    <hyperlink ref="H22" location="'L4 - Procurement logistics'!F20" display="🔙" xr:uid="{A0147E1B-2BB6-45E5-B89C-4FE5304566DA}"/>
    <hyperlink ref="H23" location="'L4 - Procurement logistics'!F23" display="🔙" xr:uid="{D20D4741-A12A-4BB7-BD7C-1616E0E0B265}"/>
    <hyperlink ref="H24" location="'L4 - Procurement logistics'!F26" display="🔙" xr:uid="{C0932AA5-1E45-4AA1-9E18-02FD828ECE59}"/>
    <hyperlink ref="H29" location="'L5 - Transport logistics'!F14" display="🔙" xr:uid="{65196097-0818-41B5-ABEA-DC911CBD286E}"/>
    <hyperlink ref="H33" location="'L6 -  In-house logistics'!F8" display="🔙" xr:uid="{2B2EF013-A492-417F-8A11-56DDA928CE8B}"/>
    <hyperlink ref="H31" location="'L5 - Transport logistics'!F20" display="🔙" xr:uid="{4B1AB4B7-4F98-48D9-A831-6C790AE459C3}"/>
    <hyperlink ref="H34" location="'L6 -  In-house logistics'!F11" display="🔙" xr:uid="{C37E3F14-5706-486F-B32A-19B218715F3F}"/>
    <hyperlink ref="H35" location="'L6 -  In-house logistics'!F14" display="🔙" xr:uid="{B5C5C737-95C7-43C8-B192-EDBE76645A89}"/>
    <hyperlink ref="H36" location="'L6 -  In-house logistics'!F17" display="🔙" xr:uid="{D9317DBD-CC99-4098-B42F-1CBC06929428}"/>
    <hyperlink ref="H37" location="'L6 -  In-house logistics'!F20" display="🔙" xr:uid="{726139B3-B4F7-4890-B2E0-8F5C7CD8C07D}"/>
    <hyperlink ref="H42" location="'L6 -  In-house logistics'!F32" display="🔙" xr:uid="{AFE03EC3-4360-40A6-A839-43B5421EEA83}"/>
    <hyperlink ref="H43" location="'L6 -  In-house logistics'!F35" display="🔙" xr:uid="{89223333-5C6B-4791-B336-30D9FBEA3119}"/>
    <hyperlink ref="H44" location="'L6 -  In-house logistics'!F38" display="🔙" xr:uid="{E985CD2B-5316-4114-9CE4-7CCB6A12F0C6}"/>
    <hyperlink ref="H45" location="'L6 -  In-house logistics'!F41" display="🔙" xr:uid="{2AFB9FB5-0B66-47D6-BAFA-3D8BD8E1F133}"/>
    <hyperlink ref="H46" location="'L6 -  In-house logistics'!F44" display="🔙" xr:uid="{E5F02851-62A9-4603-83B5-DCEF1992865B}"/>
    <hyperlink ref="H47" location="'L6 -  In-house logistics'!F47" display="🔙" xr:uid="{BCFC3BE6-75B0-4C90-9A1A-F84123F46BE7}"/>
    <hyperlink ref="H48" location="'L6 -  In-house logistics'!F50" display="🔙" xr:uid="{60E61BB3-85A4-41A7-913D-CB375F81BB3E}"/>
    <hyperlink ref="H49" location="'L6 -  In-house logistics'!F53" display="🔙" xr:uid="{0BF4EE6D-122B-4546-988F-32F207B7697E}"/>
    <hyperlink ref="H50" location="'L6 -  In-house logistics'!F56" display="🔙" xr:uid="{C62D1803-E794-4F8A-9DF6-7EA478874433}"/>
    <hyperlink ref="H51" location="'L6 -  In-house logistics'!F60" display="🔙" xr:uid="{1479BBAD-9F02-4835-80B0-CBCAAF30B419}"/>
    <hyperlink ref="H53" location="'L7 - Customer management'!F8" display="🔙" xr:uid="{448F1E8D-7AF8-4CF1-860A-25DDBA48A0FB}"/>
    <hyperlink ref="H54" location="'L7 - Customer management'!F11" display="🔙" xr:uid="{86343C90-066F-4903-A7C2-BD763739680D}"/>
    <hyperlink ref="H55" location="'L7 - Customer management'!F14" display="🔙" xr:uid="{B4C1882D-90A0-42FE-A4F2-AF81F67C3674}"/>
    <hyperlink ref="H56" location="'L7 - Customer management'!F17" display="🔙" xr:uid="{A9300C92-62BA-41EC-811F-622F17B09FAB}"/>
    <hyperlink ref="H13" location="'L2 - Planning'!F11" display="🔙" xr:uid="{7827965A-0344-44EC-8DF2-82A9388851FD}"/>
    <hyperlink ref="H14" location="'L2 - Planning'!F14" display="🔙" xr:uid="{98196BA1-8B4A-4CCB-B3E1-EAE3616E5AEC}"/>
    <hyperlink ref="H30" location="'L5 - Transport logistics'!F17" display="🔙" xr:uid="{E27B3577-B329-4288-86D1-9C3E0DAF6C1E}"/>
    <hyperlink ref="H27" location="'L5 - Transport logistics'!F8" display="🔙" xr:uid="{594AECDD-D4DB-4375-9795-113ACFC08DA3}"/>
    <hyperlink ref="H28" location="'L5 - Transport logistics'!F11" display="🔙" xr:uid="{C7F629C0-6894-44AA-B686-F057EA3706CA}"/>
    <hyperlink ref="H41" location="'L6 -  In-house logistics'!F29" display="🔙" xr:uid="{CA673546-7048-4498-8CBD-883757FE68CB}"/>
    <hyperlink ref="H40" location="'L6 -  In-house logistics'!F26" display="🔙" xr:uid="{5BB41662-DEF0-4E8F-9D00-676C74908F34}"/>
    <hyperlink ref="H39" location="'L6 -  In-house logistics'!F23" display="🔙" xr:uid="{D1E1753A-BFBD-469D-B80C-A81801407050}"/>
  </hyperlinks>
  <pageMargins left="0.7" right="0.7" top="0.78740157499999996" bottom="0.78740157499999996" header="0.3" footer="0.3"/>
  <pageSetup paperSize="9" scale="54" fitToHeight="0" orientation="portrait" r:id="rId1"/>
  <rowBreaks count="1" manualBreakCount="1">
    <brk id="19" max="8" man="1"/>
  </rowBreaks>
  <ignoredErrors>
    <ignoredError sqref="C31 C42:C44 C53:C54 C11 C5:C8 C15:C16 C18:C21 C27:C30 C33:C38 C45:C51 C12:C14 C39:C41 C56 C9 C22:C24 B48:B51" twoDigitTextYear="1"/>
  </ignoredError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6E6A4-8F23-40FE-A0C7-B8DC45DACEF5}">
  <sheetPr codeName="Tabelle12">
    <pageSetUpPr fitToPage="1"/>
  </sheetPr>
  <dimension ref="A1:K46"/>
  <sheetViews>
    <sheetView zoomScaleNormal="100" workbookViewId="0">
      <selection activeCell="D7" sqref="D7"/>
    </sheetView>
  </sheetViews>
  <sheetFormatPr baseColWidth="10" defaultColWidth="11.5546875" defaultRowHeight="18" x14ac:dyDescent="0.4"/>
  <cols>
    <col min="1" max="1" width="1.88671875" style="45" customWidth="1"/>
    <col min="2" max="2" width="3.88671875" style="45" customWidth="1"/>
    <col min="3" max="3" width="9.44140625" style="45" customWidth="1"/>
    <col min="4" max="4" width="68.33203125" style="45" customWidth="1"/>
    <col min="5" max="5" width="38" style="45" customWidth="1"/>
    <col min="6" max="6" width="12.33203125" style="45" customWidth="1"/>
    <col min="7" max="7" width="8.109375" style="45" customWidth="1"/>
    <col min="8" max="8" width="5.5546875" style="45" customWidth="1"/>
    <col min="9" max="9" width="13.88671875" style="45" customWidth="1"/>
    <col min="10" max="10" width="2" style="45" customWidth="1"/>
    <col min="11" max="11" width="11.5546875" style="45"/>
    <col min="12" max="12" width="12" style="45" customWidth="1"/>
    <col min="13" max="16384" width="11.5546875" style="45"/>
  </cols>
  <sheetData>
    <row r="1" spans="1:11" ht="57.75" customHeight="1" thickBot="1" x14ac:dyDescent="0.45">
      <c r="A1" s="513" t="s">
        <v>634</v>
      </c>
      <c r="B1" s="514"/>
      <c r="C1" s="514"/>
      <c r="D1" s="514"/>
      <c r="E1" s="514"/>
      <c r="F1" s="514"/>
      <c r="G1" s="514"/>
      <c r="H1" s="514"/>
      <c r="I1" s="514"/>
      <c r="J1" s="515"/>
    </row>
    <row r="2" spans="1:11" ht="32.25" thickBot="1" x14ac:dyDescent="0.75">
      <c r="A2" s="60"/>
      <c r="B2" s="61"/>
      <c r="C2" s="61" t="str">
        <f>CONCATENATE(Datasheet!C8," of ",TEXT(Datasheet!C6,"TT. MM JJJJ"))</f>
        <v>Supply Chain Audit of 01. 01 2026</v>
      </c>
      <c r="D2" s="61"/>
      <c r="E2" s="61"/>
      <c r="F2" s="61"/>
      <c r="G2" s="61"/>
      <c r="H2" s="61"/>
      <c r="I2" s="61"/>
      <c r="J2" s="62"/>
      <c r="K2" s="261"/>
    </row>
    <row r="3" spans="1:11" x14ac:dyDescent="0.4">
      <c r="A3" s="63"/>
      <c r="B3" s="64"/>
      <c r="C3" s="64"/>
      <c r="D3" s="65"/>
      <c r="E3" s="66"/>
      <c r="F3" s="65"/>
      <c r="G3" s="65"/>
      <c r="H3" s="65"/>
      <c r="I3" s="65"/>
      <c r="J3" s="67"/>
      <c r="K3" s="261"/>
    </row>
    <row r="4" spans="1:11" x14ac:dyDescent="0.4">
      <c r="A4" s="68"/>
      <c r="B4" s="69" t="s">
        <v>416</v>
      </c>
      <c r="C4" s="69" t="s">
        <v>530</v>
      </c>
      <c r="D4" s="69" t="s">
        <v>576</v>
      </c>
      <c r="E4" s="69" t="s">
        <v>577</v>
      </c>
      <c r="F4" s="69" t="s">
        <v>578</v>
      </c>
      <c r="G4" s="69" t="s">
        <v>579</v>
      </c>
      <c r="H4" s="69" t="s">
        <v>580</v>
      </c>
      <c r="I4" s="69" t="s">
        <v>581</v>
      </c>
      <c r="J4" s="70"/>
      <c r="K4" s="261"/>
    </row>
    <row r="5" spans="1:11" ht="45.6" customHeight="1" x14ac:dyDescent="0.4">
      <c r="A5" s="71"/>
      <c r="B5" s="72"/>
      <c r="C5" s="72" t="s">
        <v>886</v>
      </c>
      <c r="D5" s="72" t="s">
        <v>582</v>
      </c>
      <c r="E5" s="72" t="s">
        <v>583</v>
      </c>
      <c r="F5" s="72" t="s">
        <v>584</v>
      </c>
      <c r="G5" s="72" t="s">
        <v>585</v>
      </c>
      <c r="H5" s="72"/>
      <c r="I5" s="72" t="s">
        <v>621</v>
      </c>
      <c r="J5" s="73"/>
      <c r="K5" s="261"/>
    </row>
    <row r="6" spans="1:11" ht="5.25" customHeight="1" thickBot="1" x14ac:dyDescent="0.45">
      <c r="A6" s="74"/>
      <c r="B6" s="75"/>
      <c r="C6" s="75"/>
      <c r="D6" s="76"/>
      <c r="E6" s="75"/>
      <c r="F6" s="75"/>
      <c r="G6" s="75"/>
      <c r="H6" s="75"/>
      <c r="I6" s="75"/>
      <c r="J6" s="77"/>
      <c r="K6" s="261"/>
    </row>
    <row r="7" spans="1:11" x14ac:dyDescent="0.4">
      <c r="A7" s="68"/>
      <c r="B7" s="78">
        <v>1</v>
      </c>
      <c r="C7" s="79"/>
      <c r="D7" s="354"/>
      <c r="E7" s="80"/>
      <c r="F7" s="81"/>
      <c r="G7" s="82"/>
      <c r="H7" s="81"/>
      <c r="I7" s="81"/>
      <c r="J7" s="70"/>
      <c r="K7" s="261"/>
    </row>
    <row r="8" spans="1:11" x14ac:dyDescent="0.4">
      <c r="A8" s="68"/>
      <c r="B8" s="83">
        <v>2</v>
      </c>
      <c r="C8" s="84"/>
      <c r="D8" s="355"/>
      <c r="E8" s="86"/>
      <c r="F8" s="87"/>
      <c r="G8" s="88"/>
      <c r="H8" s="87"/>
      <c r="I8" s="87"/>
      <c r="J8" s="70"/>
      <c r="K8" s="261"/>
    </row>
    <row r="9" spans="1:11" x14ac:dyDescent="0.4">
      <c r="A9" s="68"/>
      <c r="B9" s="83">
        <v>3</v>
      </c>
      <c r="C9" s="83"/>
      <c r="D9" s="355"/>
      <c r="E9" s="86"/>
      <c r="F9" s="87"/>
      <c r="G9" s="88"/>
      <c r="H9" s="87"/>
      <c r="I9" s="87"/>
      <c r="J9" s="70"/>
    </row>
    <row r="10" spans="1:11" x14ac:dyDescent="0.4">
      <c r="A10" s="68"/>
      <c r="B10" s="83">
        <v>4</v>
      </c>
      <c r="C10" s="83"/>
      <c r="D10" s="355"/>
      <c r="E10" s="86"/>
      <c r="F10" s="87"/>
      <c r="G10" s="88"/>
      <c r="H10" s="87"/>
      <c r="I10" s="87"/>
      <c r="J10" s="70"/>
    </row>
    <row r="11" spans="1:11" x14ac:dyDescent="0.4">
      <c r="A11" s="68"/>
      <c r="B11" s="83">
        <v>5</v>
      </c>
      <c r="C11" s="83"/>
      <c r="D11" s="355"/>
      <c r="E11" s="86"/>
      <c r="F11" s="87"/>
      <c r="G11" s="88"/>
      <c r="H11" s="87"/>
      <c r="I11" s="87"/>
      <c r="J11" s="70"/>
    </row>
    <row r="12" spans="1:11" x14ac:dyDescent="0.4">
      <c r="A12" s="68"/>
      <c r="B12" s="83">
        <v>6</v>
      </c>
      <c r="C12" s="83"/>
      <c r="D12" s="355"/>
      <c r="E12" s="86"/>
      <c r="F12" s="87"/>
      <c r="G12" s="88"/>
      <c r="H12" s="87"/>
      <c r="I12" s="87"/>
      <c r="J12" s="70"/>
    </row>
    <row r="13" spans="1:11" x14ac:dyDescent="0.4">
      <c r="A13" s="68"/>
      <c r="B13" s="83">
        <v>7</v>
      </c>
      <c r="C13" s="83"/>
      <c r="D13" s="85"/>
      <c r="E13" s="86"/>
      <c r="F13" s="87"/>
      <c r="G13" s="88"/>
      <c r="H13" s="87"/>
      <c r="I13" s="87"/>
      <c r="J13" s="70"/>
    </row>
    <row r="14" spans="1:11" x14ac:dyDescent="0.4">
      <c r="A14" s="68"/>
      <c r="B14" s="83">
        <v>8</v>
      </c>
      <c r="C14" s="83"/>
      <c r="D14" s="85"/>
      <c r="E14" s="86"/>
      <c r="F14" s="87"/>
      <c r="G14" s="88"/>
      <c r="H14" s="87"/>
      <c r="I14" s="87"/>
      <c r="J14" s="70"/>
    </row>
    <row r="15" spans="1:11" x14ac:dyDescent="0.4">
      <c r="A15" s="68"/>
      <c r="B15" s="83">
        <v>9</v>
      </c>
      <c r="C15" s="83"/>
      <c r="D15" s="85"/>
      <c r="E15" s="86"/>
      <c r="F15" s="87"/>
      <c r="G15" s="88"/>
      <c r="H15" s="87"/>
      <c r="I15" s="87"/>
      <c r="J15" s="70"/>
    </row>
    <row r="16" spans="1:11" x14ac:dyDescent="0.4">
      <c r="A16" s="68"/>
      <c r="B16" s="83">
        <v>10</v>
      </c>
      <c r="C16" s="83"/>
      <c r="D16" s="85"/>
      <c r="E16" s="86"/>
      <c r="F16" s="87"/>
      <c r="G16" s="88"/>
      <c r="H16" s="87"/>
      <c r="I16" s="87"/>
      <c r="J16" s="70"/>
    </row>
    <row r="17" spans="1:10" x14ac:dyDescent="0.4">
      <c r="A17" s="68"/>
      <c r="B17" s="83">
        <v>11</v>
      </c>
      <c r="C17" s="83"/>
      <c r="D17" s="85"/>
      <c r="E17" s="86"/>
      <c r="F17" s="87"/>
      <c r="G17" s="88"/>
      <c r="H17" s="87"/>
      <c r="I17" s="87"/>
      <c r="J17" s="70"/>
    </row>
    <row r="18" spans="1:10" x14ac:dyDescent="0.4">
      <c r="A18" s="68"/>
      <c r="B18" s="83">
        <v>12</v>
      </c>
      <c r="C18" s="83"/>
      <c r="D18" s="85"/>
      <c r="E18" s="86"/>
      <c r="F18" s="87"/>
      <c r="G18" s="88"/>
      <c r="H18" s="87"/>
      <c r="I18" s="87"/>
      <c r="J18" s="70"/>
    </row>
    <row r="19" spans="1:10" x14ac:dyDescent="0.4">
      <c r="A19" s="68"/>
      <c r="B19" s="83">
        <v>13</v>
      </c>
      <c r="C19" s="83"/>
      <c r="D19" s="85"/>
      <c r="E19" s="86"/>
      <c r="F19" s="87"/>
      <c r="G19" s="88"/>
      <c r="H19" s="87"/>
      <c r="I19" s="87"/>
      <c r="J19" s="70"/>
    </row>
    <row r="20" spans="1:10" x14ac:dyDescent="0.4">
      <c r="A20" s="68"/>
      <c r="B20" s="83">
        <v>14</v>
      </c>
      <c r="C20" s="83"/>
      <c r="D20" s="85"/>
      <c r="E20" s="86"/>
      <c r="F20" s="87"/>
      <c r="G20" s="88"/>
      <c r="H20" s="87"/>
      <c r="I20" s="87"/>
      <c r="J20" s="70"/>
    </row>
    <row r="21" spans="1:10" x14ac:dyDescent="0.4">
      <c r="A21" s="68"/>
      <c r="B21" s="83">
        <v>15</v>
      </c>
      <c r="C21" s="83"/>
      <c r="D21" s="85"/>
      <c r="E21" s="86"/>
      <c r="F21" s="87"/>
      <c r="G21" s="88"/>
      <c r="H21" s="87"/>
      <c r="I21" s="87"/>
      <c r="J21" s="70"/>
    </row>
    <row r="22" spans="1:10" x14ac:dyDescent="0.4">
      <c r="A22" s="68"/>
      <c r="B22" s="83">
        <v>16</v>
      </c>
      <c r="C22" s="83"/>
      <c r="D22" s="85"/>
      <c r="E22" s="86"/>
      <c r="F22" s="87"/>
      <c r="G22" s="88"/>
      <c r="H22" s="87"/>
      <c r="I22" s="87"/>
      <c r="J22" s="70"/>
    </row>
    <row r="23" spans="1:10" x14ac:dyDescent="0.4">
      <c r="A23" s="68"/>
      <c r="B23" s="83">
        <v>17</v>
      </c>
      <c r="C23" s="83"/>
      <c r="D23" s="85"/>
      <c r="E23" s="86"/>
      <c r="F23" s="87"/>
      <c r="G23" s="88"/>
      <c r="H23" s="87"/>
      <c r="I23" s="87"/>
      <c r="J23" s="70"/>
    </row>
    <row r="24" spans="1:10" x14ac:dyDescent="0.4">
      <c r="A24" s="68"/>
      <c r="B24" s="83">
        <v>18</v>
      </c>
      <c r="C24" s="83"/>
      <c r="D24" s="85"/>
      <c r="E24" s="86"/>
      <c r="F24" s="87"/>
      <c r="G24" s="88"/>
      <c r="H24" s="87"/>
      <c r="I24" s="87"/>
      <c r="J24" s="70"/>
    </row>
    <row r="25" spans="1:10" x14ac:dyDescent="0.4">
      <c r="A25" s="68"/>
      <c r="B25" s="83">
        <v>20</v>
      </c>
      <c r="C25" s="83"/>
      <c r="D25" s="85"/>
      <c r="E25" s="86"/>
      <c r="F25" s="87"/>
      <c r="G25" s="88"/>
      <c r="H25" s="87"/>
      <c r="I25" s="87"/>
      <c r="J25" s="70"/>
    </row>
    <row r="26" spans="1:10" ht="18.75" thickBot="1" x14ac:dyDescent="0.45">
      <c r="A26" s="74"/>
      <c r="B26" s="89"/>
      <c r="C26" s="89"/>
      <c r="D26" s="89"/>
      <c r="E26" s="89"/>
      <c r="F26" s="89"/>
      <c r="G26" s="89"/>
      <c r="H26" s="89"/>
      <c r="I26" s="89"/>
      <c r="J26" s="90"/>
    </row>
    <row r="27" spans="1:10" ht="60" thickBot="1" x14ac:dyDescent="1.3">
      <c r="A27" s="91"/>
      <c r="B27" s="512" t="s">
        <v>586</v>
      </c>
      <c r="C27" s="512"/>
      <c r="D27" s="512"/>
      <c r="E27" s="512"/>
      <c r="F27" s="512"/>
      <c r="G27" s="512"/>
      <c r="H27" s="512"/>
      <c r="I27" s="512"/>
      <c r="J27" s="92"/>
    </row>
    <row r="28" spans="1:10" x14ac:dyDescent="0.4">
      <c r="A28" s="97"/>
    </row>
    <row r="29" spans="1:10" x14ac:dyDescent="0.4">
      <c r="A29" s="97"/>
    </row>
    <row r="30" spans="1:10" x14ac:dyDescent="0.4">
      <c r="A30" s="97"/>
    </row>
    <row r="31" spans="1:10" x14ac:dyDescent="0.4">
      <c r="A31" s="97"/>
    </row>
    <row r="32" spans="1:10" x14ac:dyDescent="0.4">
      <c r="A32" s="97"/>
    </row>
    <row r="33" spans="1:1" x14ac:dyDescent="0.4">
      <c r="A33" s="97"/>
    </row>
    <row r="34" spans="1:1" x14ac:dyDescent="0.4">
      <c r="A34" s="97"/>
    </row>
    <row r="35" spans="1:1" x14ac:dyDescent="0.4">
      <c r="A35" s="97"/>
    </row>
    <row r="36" spans="1:1" x14ac:dyDescent="0.4">
      <c r="A36" s="97"/>
    </row>
    <row r="37" spans="1:1" x14ac:dyDescent="0.4">
      <c r="A37" s="97"/>
    </row>
    <row r="38" spans="1:1" x14ac:dyDescent="0.4">
      <c r="A38" s="97"/>
    </row>
    <row r="39" spans="1:1" x14ac:dyDescent="0.4">
      <c r="A39" s="97"/>
    </row>
    <row r="40" spans="1:1" x14ac:dyDescent="0.4">
      <c r="A40" s="97"/>
    </row>
    <row r="41" spans="1:1" x14ac:dyDescent="0.4">
      <c r="A41" s="97"/>
    </row>
    <row r="42" spans="1:1" x14ac:dyDescent="0.4">
      <c r="A42" s="97"/>
    </row>
    <row r="43" spans="1:1" x14ac:dyDescent="0.4">
      <c r="A43" s="97"/>
    </row>
    <row r="44" spans="1:1" x14ac:dyDescent="0.4">
      <c r="A44" s="97"/>
    </row>
    <row r="45" spans="1:1" x14ac:dyDescent="0.4">
      <c r="A45" s="97"/>
    </row>
    <row r="46" spans="1:1" x14ac:dyDescent="0.4">
      <c r="A46" s="97"/>
    </row>
  </sheetData>
  <mergeCells count="2">
    <mergeCell ref="B27:I27"/>
    <mergeCell ref="A1:J1"/>
  </mergeCells>
  <pageMargins left="0.7" right="0.7" top="0.78740157499999996" bottom="0.78740157499999996" header="0.3" footer="0.3"/>
  <pageSetup paperSize="9" scale="6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erstelle_LOP">
                <anchor moveWithCells="1" sizeWithCells="1">
                  <from>
                    <xdr:col>11</xdr:col>
                    <xdr:colOff>152400</xdr:colOff>
                    <xdr:row>3</xdr:row>
                    <xdr:rowOff>180975</xdr:rowOff>
                  </from>
                  <to>
                    <xdr:col>12</xdr:col>
                    <xdr:colOff>952500</xdr:colOff>
                    <xdr:row>6</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RevIMDocumentOwner xmlns="36ba344b-9c59-4657-ae59-6253ca81451a">
      <UserInfo>
        <DisplayName/>
        <AccountId xsi:nil="true"/>
        <AccountType/>
      </UserInfo>
    </RevIMDocumentOwner>
    <TaxCatchAll xmlns="36ba344b-9c59-4657-ae59-6253ca81451a">
      <Value>1</Value>
    </TaxCatchAll>
    <i0f84bba906045b4af568ee102a52dcb xmlns="36ba344b-9c59-4657-ae59-6253ca81451a">
      <Terms xmlns="http://schemas.microsoft.com/office/infopath/2007/PartnerControls">
        <TermInfo xmlns="http://schemas.microsoft.com/office/infopath/2007/PartnerControls">
          <TermName xmlns="http://schemas.microsoft.com/office/infopath/2007/PartnerControls">0.1 Initial category</TermName>
          <TermId xmlns="http://schemas.microsoft.com/office/infopath/2007/PartnerControls">0239cc7a-0c96-48a8-9e0e-a383e362571c</TermId>
        </TermInfo>
      </Terms>
    </i0f84bba906045b4af568ee102a52dcb>
    <RevIMComments xmlns="36ba344b-9c59-4657-ae59-6253ca81451a" xsi:nil="true"/>
    <RevIMDeletionDate xmlns="36ba344b-9c59-4657-ae59-6253ca81451a">2027-10-15T09:21:47+00:00</RevIMDeletionDate>
    <RevIMExtends xmlns="36ba344b-9c59-4657-ae59-6253ca81451a">{"Locked":null,"LockedBy":null,"UnLocked":null,"UnLockedBy":null,"Classified":"2025-10-15T09:23:15.226Z","KSUClass":"0239cc7a-0c96-48a8-9e0e-a383e362571c","Reclassified":null,"ReclassifiedBy":null,"EDReclassified":null,"EDReclassifiedBy":null,"EventCreated":null,"EventModified":null,"EventDeleted":null,"EventCreatedBy":null,"EventModifiedBy":null,"EventDeletedBy":null,"Moved":null,"MovedBy":null,"MovedFrom":null}</RevIMExtends>
    <RevIMEventDate xmlns="36ba344b-9c59-4657-ae59-6253ca81451a" xsi:nil="true"/>
    <af7ffa74e6c441a6bcc16f31e3c9174f xmlns="36ba344b-9c59-4657-ae59-6253ca81451a">
      <Terms xmlns="http://schemas.microsoft.com/office/infopath/2007/PartnerControls"/>
    </af7ffa74e6c441a6bcc16f31e3c9174f>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65E0E72855791B44A6CD2AB3EFF14137" ma:contentTypeVersion="18" ma:contentTypeDescription="Ein neues Dokument erstellen." ma:contentTypeScope="" ma:versionID="42ab8da00b74d6c55932bbaf1e05a525">
  <xsd:schema xmlns:xsd="http://www.w3.org/2001/XMLSchema" xmlns:xs="http://www.w3.org/2001/XMLSchema" xmlns:p="http://schemas.microsoft.com/office/2006/metadata/properties" xmlns:ns2="36ba344b-9c59-4657-ae59-6253ca81451a" xmlns:ns3="96e3e34f-99d5-4d01-86b6-9b152a586365" targetNamespace="http://schemas.microsoft.com/office/2006/metadata/properties" ma:root="true" ma:fieldsID="7b12dab6fc1ad1e4cc6db221e2b7c659" ns2:_="" ns3:_="">
    <xsd:import namespace="36ba344b-9c59-4657-ae59-6253ca81451a"/>
    <xsd:import namespace="96e3e34f-99d5-4d01-86b6-9b152a586365"/>
    <xsd:element name="properties">
      <xsd:complexType>
        <xsd:sequence>
          <xsd:element name="documentManagement">
            <xsd:complexType>
              <xsd:all>
                <xsd:element ref="ns2:af7ffa74e6c441a6bcc16f31e3c9174f" minOccurs="0"/>
                <xsd:element ref="ns2:TaxCatchAll" minOccurs="0"/>
                <xsd:element ref="ns2:TaxCatchAllLabel" minOccurs="0"/>
                <xsd:element ref="ns2:i0f84bba906045b4af568ee102a52dcb" minOccurs="0"/>
                <xsd:element ref="ns2:RevIMDeletionDate" minOccurs="0"/>
                <xsd:element ref="ns2:RevIMEventDate" minOccurs="0"/>
                <xsd:element ref="ns2:RevIMComments" minOccurs="0"/>
                <xsd:element ref="ns2:RevIMDocumentOwner" minOccurs="0"/>
                <xsd:element ref="ns2:RevIMExtends" minOccurs="0"/>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OCR" minOccurs="0"/>
                <xsd:element ref="ns3:MediaServiceGenerationTime" minOccurs="0"/>
                <xsd:element ref="ns3:MediaServiceEventHashCode" minOccurs="0"/>
                <xsd:element ref="ns2:RevIMDateOfModified2Cre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ba344b-9c59-4657-ae59-6253ca81451a" elementFormDefault="qualified">
    <xsd:import namespace="http://schemas.microsoft.com/office/2006/documentManagement/types"/>
    <xsd:import namespace="http://schemas.microsoft.com/office/infopath/2007/PartnerControls"/>
    <xsd:element name="af7ffa74e6c441a6bcc16f31e3c9174f" ma:index="8" nillable="true" ma:taxonomy="true" ma:internalName="af7ffa74e6c441a6bcc16f31e3c9174f" ma:taxonomyFieldName="LegalHoldTag" ma:displayName="LegalHold" ma:fieldId="{af7ffa74-e6c4-41a6-bcc1-6f31e3c9174f}" ma:taxonomyMulti="true" ma:sspId="d35d9ec1-ff0e-4daf-94ff-594c76aa1822" ma:termSetId="1d36a6df-4193-45ed-b3bc-3ba9643c5e0d"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a68ba2f7-4639-4bf8-91d6-9c41a3b5d44a}" ma:internalName="TaxCatchAll" ma:showField="CatchAllData" ma:web="36ba344b-9c59-4657-ae59-6253ca81451a">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a68ba2f7-4639-4bf8-91d6-9c41a3b5d44a}" ma:internalName="TaxCatchAllLabel" ma:readOnly="true" ma:showField="CatchAllDataLabel" ma:web="36ba344b-9c59-4657-ae59-6253ca81451a">
      <xsd:complexType>
        <xsd:complexContent>
          <xsd:extension base="dms:MultiChoiceLookup">
            <xsd:sequence>
              <xsd:element name="Value" type="dms:Lookup" maxOccurs="unbounded" minOccurs="0" nillable="true"/>
            </xsd:sequence>
          </xsd:extension>
        </xsd:complexContent>
      </xsd:complexType>
    </xsd:element>
    <xsd:element name="i0f84bba906045b4af568ee102a52dcb" ma:index="13" nillable="true" ma:taxonomy="true" ma:internalName="i0f84bba906045b4af568ee102a52dcb" ma:taxonomyFieldName="RevIMBCS" ma:displayName="KSU Klasse" ma:readOnly="true" ma:default="1;#0.1 Initialklasse|0239cc7a-0c96-48a8-9e0e-a383e362571c" ma:fieldId="{20f84bba-9060-45b4-af56-8ee102a52dcb}" ma:sspId="d35d9ec1-ff0e-4daf-94ff-594c76aa1822" ma:termSetId="83f400d6-6f53-40a3-8fd2-b80b61df545c" ma:anchorId="00000000-0000-0000-0000-000000000000" ma:open="false" ma:isKeyword="false">
      <xsd:complexType>
        <xsd:sequence>
          <xsd:element ref="pc:Terms" minOccurs="0" maxOccurs="1"/>
        </xsd:sequence>
      </xsd:complexType>
    </xsd:element>
    <xsd:element name="RevIMDeletionDate" ma:index="14" nillable="true" ma:displayName="Löschdatum" ma:description="Deletion Date" ma:format="DateOnly" ma:internalName="RevIMDeletionDate" ma:readOnly="true">
      <xsd:simpleType>
        <xsd:restriction base="dms:DateTime"/>
      </xsd:simpleType>
    </xsd:element>
    <xsd:element name="RevIMEventDate" ma:index="15" nillable="true" ma:displayName="Ereignisdatum" ma:description="Event Date" ma:format="DateOnly" ma:internalName="RevIMEventDate" ma:readOnly="true">
      <xsd:simpleType>
        <xsd:restriction base="dms:DateTime"/>
      </xsd:simpleType>
    </xsd:element>
    <xsd:element name="RevIMComments" ma:index="16" nillable="true" ma:displayName="Ereigniskommentar" ma:internalName="RevIMComments" ma:readOnly="true">
      <xsd:simpleType>
        <xsd:restriction base="dms:Note">
          <xsd:maxLength value="255"/>
        </xsd:restriction>
      </xsd:simpleType>
    </xsd:element>
    <xsd:element name="RevIMDocumentOwner" ma:index="17" nillable="true" ma:displayName="Unterlagenverantwortlicher" ma:list="UserInfo" ma:internalName="RevIMDocumen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MExtends" ma:index="18" nillable="true" ma:displayName="RevIMExtends" ma:hidden="true" ma:internalName="RevIMExtends" ma:readOnly="true">
      <xsd:simpleType>
        <xsd:restriction base="dms:Note"/>
      </xsd:simpleType>
    </xsd:element>
    <xsd:element name="SharedWithUsers" ma:index="1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Freigegeben für - Details" ma:internalName="SharedWithDetails" ma:readOnly="true">
      <xsd:simpleType>
        <xsd:restriction base="dms:Note">
          <xsd:maxLength value="255"/>
        </xsd:restriction>
      </xsd:simpleType>
    </xsd:element>
    <xsd:element name="RevIMDateOfModified2Creation" ma:index="29" nillable="true" ma:displayName="Umklassifizierungsdatum von Änderungs- auf Erstellungsbasierte-Klasse" ma:description="Reclassification Date from Modified to Creation Class" ma:format="DateOnly" ma:indexed="true" ma:internalName="RevIMDateOfModified2Creation"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96e3e34f-99d5-4d01-86b6-9b152a586365" elementFormDefault="qualified">
    <xsd:import namespace="http://schemas.microsoft.com/office/2006/documentManagement/types"/>
    <xsd:import namespace="http://schemas.microsoft.com/office/infopath/2007/PartnerControls"/>
    <xsd:element name="MediaServiceMetadata" ma:index="21" nillable="true" ma:displayName="MediaServiceMetadata" ma:hidden="true" ma:internalName="MediaServiceMetadata" ma:readOnly="true">
      <xsd:simpleType>
        <xsd:restriction base="dms:Note"/>
      </xsd:simpleType>
    </xsd:element>
    <xsd:element name="MediaServiceFastMetadata" ma:index="22" nillable="true" ma:displayName="MediaServiceFastMetadata" ma:hidden="true" ma:internalName="MediaServiceFastMetadata" ma:readOnly="true">
      <xsd:simpleType>
        <xsd:restriction base="dms:Note"/>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DateTaken" ma:index="25" nillable="true" ma:displayName="MediaServiceDateTaken" ma:hidden="true" ma:indexed="true" ma:internalName="MediaServiceDateTaken" ma:readOnly="true">
      <xsd:simpleType>
        <xsd:restriction base="dms:Text"/>
      </xsd:simpleType>
    </xsd:element>
    <xsd:element name="MediaServiceOCR" ma:index="26" nillable="true" ma:displayName="Extracted Text" ma:internalName="MediaServiceOCR" ma:readOnly="true">
      <xsd:simpleType>
        <xsd:restriction base="dms:Note">
          <xsd:maxLength value="255"/>
        </xsd:restriction>
      </xsd:simpleType>
    </xsd:element>
    <xsd:element name="MediaServiceGenerationTime" ma:index="27" nillable="true" ma:displayName="MediaServiceGenerationTime" ma:hidden="true" ma:internalName="MediaServiceGenerationTime" ma:readOnly="true">
      <xsd:simpleType>
        <xsd:restriction base="dms:Text"/>
      </xsd:simpleType>
    </xsd:element>
    <xsd:element name="MediaServiceEventHashCode" ma:index="2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6A6EB5A-6474-4DFF-BCCC-15F60B8BE32E}">
  <ds:schemaRefs>
    <ds:schemaRef ds:uri="http://purl.org/dc/terms/"/>
    <ds:schemaRef ds:uri="96e3e34f-99d5-4d01-86b6-9b152a586365"/>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36ba344b-9c59-4657-ae59-6253ca81451a"/>
    <ds:schemaRef ds:uri="http://www.w3.org/XML/1998/namespace"/>
    <ds:schemaRef ds:uri="http://purl.org/dc/dcmitype/"/>
  </ds:schemaRefs>
</ds:datastoreItem>
</file>

<file path=customXml/itemProps2.xml><?xml version="1.0" encoding="utf-8"?>
<ds:datastoreItem xmlns:ds="http://schemas.openxmlformats.org/officeDocument/2006/customXml" ds:itemID="{12F16C9D-B4AA-486C-A250-1AF1473AE92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ba344b-9c59-4657-ae59-6253ca81451a"/>
    <ds:schemaRef ds:uri="96e3e34f-99d5-4d01-86b6-9b152a5863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608E4BA-BD1B-4528-8497-D8D26C4DADF4}">
  <ds:schemaRefs>
    <ds:schemaRef ds:uri="http://schemas.microsoft.com/sharepoint/v3/contenttype/forms"/>
  </ds:schemaRefs>
</ds:datastoreItem>
</file>

<file path=docMetadata/LabelInfo.xml><?xml version="1.0" encoding="utf-8"?>
<clbl:labelList xmlns:clbl="http://schemas.microsoft.com/office/2020/mipLabelMetadata">
  <clbl:label id="{b1c9b508-7c6e-42bd-bedf-808292653d6c}" enabled="1" method="Standard" siteId="{2882be50-2012-4d88-ac86-544124e120c8}"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11</vt:i4>
      </vt:variant>
    </vt:vector>
  </HeadingPairs>
  <TitlesOfParts>
    <vt:vector size="22" baseType="lpstr">
      <vt:lpstr>Source</vt:lpstr>
      <vt:lpstr>Datasheet</vt:lpstr>
      <vt:lpstr>Evaluationsheet</vt:lpstr>
      <vt:lpstr>L1 - Project management</vt:lpstr>
      <vt:lpstr>L2 - Planning</vt:lpstr>
      <vt:lpstr>L4 - Procurement logistics</vt:lpstr>
      <vt:lpstr>L5 - Transport logistics</vt:lpstr>
      <vt:lpstr>L6 -  In-house logistics</vt:lpstr>
      <vt:lpstr>L7 - Customer management</vt:lpstr>
      <vt:lpstr>Remarks</vt:lpstr>
      <vt:lpstr>LOP</vt:lpstr>
      <vt:lpstr>BewertungsListe</vt:lpstr>
      <vt:lpstr>Datasheet!Druckbereich</vt:lpstr>
      <vt:lpstr>Evaluationsheet!Druckbereich</vt:lpstr>
      <vt:lpstr>'L1 - Project management'!Druckbereich</vt:lpstr>
      <vt:lpstr>'L2 - Planning'!Druckbereich</vt:lpstr>
      <vt:lpstr>'L4 - Procurement logistics'!Druckbereich</vt:lpstr>
      <vt:lpstr>'L5 - Transport logistics'!Druckbereich</vt:lpstr>
      <vt:lpstr>'L6 -  In-house logistics'!Druckbereich</vt:lpstr>
      <vt:lpstr>'L7 - Customer management'!Druckbereich</vt:lpstr>
      <vt:lpstr>LOP!Druckbereich</vt:lpstr>
      <vt:lpstr>Remarks!Druckbereich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Vassiliou, Efstratios (PLR4)</dc:creator>
  <cp:keywords/>
  <dc:description/>
  <cp:lastModifiedBy>Pitteroff, Florian (I/BS-R)</cp:lastModifiedBy>
  <cp:revision/>
  <cp:lastPrinted>2025-11-10T10:18:11Z</cp:lastPrinted>
  <dcterms:created xsi:type="dcterms:W3CDTF">2024-07-09T11:00:55Z</dcterms:created>
  <dcterms:modified xsi:type="dcterms:W3CDTF">2026-03-06T14:36:55Z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0x01010065E0E72855791B44A6CD2AB3EFF14137</vt:lpwstr>
  </property>
  <property fmtid="{D5CDD505-2E9C-101B-9397-08002B2CF9AE}" pid="3" name="RevIMBCS">
    <vt:lpwstr>1;#0.1 Initial category|0239cc7a-0c96-48a8-9e0e-a383e362571c</vt:lpwstr>
  </property>
  <property fmtid="{D5CDD505-2E9C-101B-9397-08002B2CF9AE}" pid="4" name="LegalHoldTag">
    <vt:lpwstr/>
  </property>
</Properties>
</file>