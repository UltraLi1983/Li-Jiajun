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9.xml" ContentType="application/vnd.openxmlformats-officedocument.drawing+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10.xml" ContentType="application/vnd.openxmlformats-officedocument.drawing+xml"/>
  <Override PartName="/xl/drawings/drawing1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activeX/activeX4.xml" ContentType="application/vnd.ms-office.activeX+xml"/>
  <Override PartName="/xl/activeX/activeX3.xml" ContentType="application/vnd.ms-office.activeX+xml"/>
  <Override PartName="/xl/activeX/activeX2.xml" ContentType="application/vnd.ms-office.activeX+xml"/>
  <Override PartName="/xl/activeX/activeX5.xml" ContentType="application/vnd.ms-office.activeX+xml"/>
  <Override PartName="/xl/activeX/activeX6.xml" ContentType="application/vnd.ms-office.activeX+xml"/>
  <Override PartName="/xl/activeX/activeX1.xml" ContentType="application/vnd.ms-office.activeX+xml"/>
  <Override PartName="/xl/activeX/activeX7.xml" ContentType="application/vnd.ms-office.activeX+xml"/>
  <Override PartName="/xl/activeX/activeX4.bin" ContentType="application/vnd.ms-office.activeX"/>
  <Override PartName="/xl/activeX/activeX3.bin" ContentType="application/vnd.ms-office.activeX"/>
  <Override PartName="/xl/activeX/activeX2.bin" ContentType="application/vnd.ms-office.activeX"/>
  <Override PartName="/xl/activeX/activeX5.bin" ContentType="application/vnd.ms-office.activeX"/>
  <Override PartName="/xl/activeX/activeX6.bin" ContentType="application/vnd.ms-office.activeX"/>
  <Override PartName="/xl/activeX/activeX1.bin" ContentType="application/vnd.ms-office.activeX"/>
  <Override PartName="/xl/activeX/activeX7.bin" ContentType="application/vnd.ms-office.activeX"/>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09" codeName="{00000000-0000-0000-0000-000000000000}"/>
  <workbookPr codeName="DieseArbeitsmappe"/>
  <mc:AlternateContent xmlns:mc="http://schemas.openxmlformats.org/markup-compatibility/2006">
    <mc:Choice Requires="x15">
      <x15ac:absPath xmlns:x15ac="http://schemas.microsoft.com/office/spreadsheetml/2010/11/ac" url="https://volkswagengroup-my.sharepoint.com/personal/tilo_schwaderer_audi_de/Documents/Eigene Dateien/TS AUDI/BN-L4 TS/Kapatool und Checklisten/2 - log PA/Standard log PA/englisch/aktuelle AIDA Version/"/>
    </mc:Choice>
  </mc:AlternateContent>
  <xr:revisionPtr revIDLastSave="54" documentId="8_{1681E2C6-764C-43AB-A228-8364846E64DD}" xr6:coauthVersionLast="47" xr6:coauthVersionMax="47" xr10:uidLastSave="{A19234A2-486A-4D87-ABC7-5D2DF8B26F7A}"/>
  <bookViews>
    <workbookView xWindow="-120" yWindow="-120" windowWidth="29040" windowHeight="17640" tabRatio="855" xr2:uid="{00000000-000D-0000-FFFF-FFFF00000000}"/>
  </bookViews>
  <sheets>
    <sheet name="Datasheet" sheetId="1" r:id="rId1"/>
    <sheet name="Evaluationsheet" sheetId="3" r:id="rId2"/>
    <sheet name="Datenquelle" sheetId="2" state="hidden" r:id="rId3"/>
    <sheet name="(1) Projectmanagement" sheetId="4" r:id="rId4"/>
    <sheet name="(2) Order admin &amp; planning" sheetId="19" r:id="rId5"/>
    <sheet name="(3) Basic mat., supplier, capa." sheetId="5" r:id="rId6"/>
    <sheet name="(4) Goods receipt, warehouse" sheetId="7" r:id="rId7"/>
    <sheet name="(5) Production" sheetId="8" r:id="rId8"/>
    <sheet name="(6) Shipment" sheetId="12" r:id="rId9"/>
    <sheet name="(7) Logistic setup" sheetId="6" r:id="rId10"/>
    <sheet name="Remarks" sheetId="9" r:id="rId11"/>
    <sheet name="LOP" sheetId="10" r:id="rId12"/>
    <sheet name="Text" sheetId="11" r:id="rId13"/>
  </sheets>
  <definedNames>
    <definedName name="_xlnm._FilterDatabase" localSheetId="0" hidden="1">Datasheet!$B$1:$F$36</definedName>
    <definedName name="A_min" comment="&quot;A&quot;-Rating ab (%)">Evaluationsheet!$C$21</definedName>
    <definedName name="B_min" comment="&quot;B&quot;-Rating ab (%)">Evaluationsheet!$C$22</definedName>
    <definedName name="bedingterfuellt">Datenquelle!$AM$25</definedName>
    <definedName name="_xlnm.Print_Area" localSheetId="3">'(1) Projectmanagement'!$A$1:$G$30</definedName>
    <definedName name="_xlnm.Print_Area" localSheetId="4">'(2) Order admin &amp; planning'!$A$1:$G$24</definedName>
    <definedName name="_xlnm.Print_Area" localSheetId="5">'(3) Basic mat., supplier, capa.'!$A$1:$G$27</definedName>
    <definedName name="_xlnm.Print_Area" localSheetId="6">'(4) Goods receipt, warehouse'!$A$1:$G$30</definedName>
    <definedName name="_xlnm.Print_Area" localSheetId="7">'(5) Production'!$A$1:$G$27</definedName>
    <definedName name="_xlnm.Print_Area" localSheetId="8">'(6) Shipment'!$A$1:$G$24</definedName>
    <definedName name="_xlnm.Print_Area" localSheetId="9">'(7) Logistic setup'!$A$1:$G$27</definedName>
    <definedName name="_xlnm.Print_Area" localSheetId="0">Datasheet!$A$1:$F$46</definedName>
    <definedName name="_xlnm.Print_Area" localSheetId="1">Evaluationsheet!$A$1:$E$24</definedName>
    <definedName name="_xlnm.Print_Area" localSheetId="11">LOP!$A$1:$J$27</definedName>
    <definedName name="_xlnm.Print_Area" localSheetId="10">Remarks!$A$1:$G$60</definedName>
    <definedName name="_xlnm.Print_Area" localSheetId="12">Text!$A$1:$C$56</definedName>
    <definedName name="_xlnm.Print_Titles" localSheetId="4">'(2) Order admin &amp; planning'!$1:$5</definedName>
    <definedName name="_xlnm.Print_Titles" localSheetId="8">'(6) Shipment'!$1:$5</definedName>
    <definedName name="_xlnm.Print_Titles" localSheetId="11">LOP!$1:$5</definedName>
    <definedName name="_xlnm.Print_Titles" localSheetId="10">Remarks!$1:$4</definedName>
    <definedName name="_xlnm.Print_Titles" localSheetId="12">Text!$1:$2</definedName>
    <definedName name="erfuellt">Datenquelle!$AM$24</definedName>
    <definedName name="Ergebnis" comment="Ergebnis log. PA in %">Evaluationsheet!$C$14</definedName>
    <definedName name="Max_Nichtantworten" comment="Anzahl maximal nicht beantworteter Fragen pro Modul">Datasheet!$L$7</definedName>
    <definedName name="nichterfuellt">Datenquelle!$AM$26</definedName>
    <definedName name="Schrittweite" comment="Gibt an, um wie viel % sich die Bewertung einer Frage pro Bewertungsschritt verschlechtert">Datasheet!$L$13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0" l="1"/>
  <c r="B2" i="11"/>
  <c r="K5" i="2" l="1"/>
  <c r="P5" i="2"/>
  <c r="U5" i="2"/>
  <c r="Z5" i="2"/>
  <c r="AE5" i="2"/>
  <c r="AJ5" i="2"/>
  <c r="V10" i="2"/>
  <c r="V13" i="2"/>
  <c r="G4" i="6" l="1"/>
  <c r="G3" i="6"/>
  <c r="G2" i="6"/>
  <c r="G4" i="12"/>
  <c r="G3" i="12"/>
  <c r="G2" i="12"/>
  <c r="G4" i="8"/>
  <c r="G3" i="8"/>
  <c r="G2" i="8"/>
  <c r="G4" i="7"/>
  <c r="G3" i="7"/>
  <c r="G2" i="7"/>
  <c r="G4" i="5"/>
  <c r="G3" i="5"/>
  <c r="G2" i="5"/>
  <c r="G4" i="19"/>
  <c r="G3" i="19"/>
  <c r="G2" i="19"/>
  <c r="G4" i="4"/>
  <c r="G3" i="4"/>
  <c r="G2" i="4"/>
  <c r="C26" i="6" l="1"/>
  <c r="C23" i="12"/>
  <c r="C26" i="8"/>
  <c r="C29" i="7"/>
  <c r="C26" i="5"/>
  <c r="C23" i="19"/>
  <c r="C29" i="4"/>
  <c r="A24" i="6"/>
  <c r="A21" i="12"/>
  <c r="A24" i="8"/>
  <c r="A27" i="7"/>
  <c r="A24" i="5"/>
  <c r="A21" i="19"/>
  <c r="A27" i="4"/>
  <c r="C51" i="9" l="1"/>
  <c r="C49" i="9"/>
  <c r="C48" i="9"/>
  <c r="C47" i="9"/>
  <c r="C50" i="9"/>
  <c r="C44" i="9"/>
  <c r="C43" i="9"/>
  <c r="C42" i="9"/>
  <c r="C41" i="9"/>
  <c r="C39" i="9"/>
  <c r="C33" i="9"/>
  <c r="C36" i="9"/>
  <c r="C35" i="9"/>
  <c r="C34" i="9"/>
  <c r="C32" i="9"/>
  <c r="C31" i="9"/>
  <c r="C27" i="9"/>
  <c r="C19" i="9"/>
  <c r="C18" i="9"/>
  <c r="C17" i="9"/>
  <c r="C16" i="9"/>
  <c r="C15" i="9"/>
  <c r="F20" i="12" l="1"/>
  <c r="F17" i="12"/>
  <c r="F14" i="12"/>
  <c r="F11" i="12"/>
  <c r="F8" i="12"/>
  <c r="F18" i="12"/>
  <c r="F15" i="12"/>
  <c r="F12" i="12"/>
  <c r="F9" i="12"/>
  <c r="F6" i="12"/>
  <c r="F23" i="8"/>
  <c r="F20" i="8"/>
  <c r="F17" i="8"/>
  <c r="F14" i="8"/>
  <c r="D41" i="9" s="1"/>
  <c r="F11" i="8"/>
  <c r="F8" i="8"/>
  <c r="F21" i="8"/>
  <c r="F18" i="8"/>
  <c r="F15" i="8"/>
  <c r="F12" i="8"/>
  <c r="F9" i="8"/>
  <c r="F6" i="8"/>
  <c r="F26" i="7"/>
  <c r="D36" i="9" s="1"/>
  <c r="F23" i="7"/>
  <c r="D35" i="9" s="1"/>
  <c r="F20" i="7"/>
  <c r="D34" i="9" s="1"/>
  <c r="F17" i="7"/>
  <c r="D33" i="9" s="1"/>
  <c r="F14" i="7"/>
  <c r="D32" i="9" s="1"/>
  <c r="F11" i="7"/>
  <c r="D31" i="9" s="1"/>
  <c r="F8" i="7"/>
  <c r="F24" i="7"/>
  <c r="F21" i="7"/>
  <c r="F18" i="7"/>
  <c r="F15" i="7"/>
  <c r="F12" i="7"/>
  <c r="F9" i="7"/>
  <c r="F6" i="7"/>
  <c r="F23" i="5"/>
  <c r="D27" i="9" s="1"/>
  <c r="F20" i="5"/>
  <c r="F17" i="5"/>
  <c r="F14" i="5"/>
  <c r="F11" i="5"/>
  <c r="F8" i="5"/>
  <c r="F21" i="5"/>
  <c r="F18" i="5"/>
  <c r="F15" i="5"/>
  <c r="F12" i="5"/>
  <c r="F9" i="5"/>
  <c r="F6" i="5"/>
  <c r="F20" i="19"/>
  <c r="D19" i="9" s="1"/>
  <c r="F17" i="19"/>
  <c r="D18" i="9" s="1"/>
  <c r="F14" i="19"/>
  <c r="D17" i="9" s="1"/>
  <c r="F11" i="19"/>
  <c r="D16" i="9" s="1"/>
  <c r="F9" i="19"/>
  <c r="F18" i="19"/>
  <c r="F15" i="19"/>
  <c r="F12" i="19"/>
  <c r="F8" i="19"/>
  <c r="D15" i="9" s="1"/>
  <c r="F6" i="19"/>
  <c r="F25" i="7"/>
  <c r="G13" i="2"/>
  <c r="AK12" i="2"/>
  <c r="AA12" i="2"/>
  <c r="F22" i="8" s="1"/>
  <c r="V12" i="2"/>
  <c r="F22" i="7" s="1"/>
  <c r="Q12" i="2"/>
  <c r="F22" i="5" s="1"/>
  <c r="G12" i="2"/>
  <c r="G5" i="2" s="1"/>
  <c r="AK11" i="2"/>
  <c r="AF11" i="2"/>
  <c r="F19" i="12" s="1"/>
  <c r="AA11" i="2"/>
  <c r="F19" i="8" s="1"/>
  <c r="V11" i="2"/>
  <c r="Q11" i="2"/>
  <c r="F19" i="5" s="1"/>
  <c r="L11" i="2"/>
  <c r="F19" i="19" s="1"/>
  <c r="G11" i="2"/>
  <c r="AK10" i="2"/>
  <c r="AK5" i="2" s="1"/>
  <c r="AF10" i="2"/>
  <c r="AA10" i="2"/>
  <c r="F16" i="7"/>
  <c r="Q10" i="2"/>
  <c r="L10" i="2"/>
  <c r="F16" i="19" s="1"/>
  <c r="G10" i="2"/>
  <c r="AK9" i="2"/>
  <c r="AF9" i="2"/>
  <c r="F13" i="12" s="1"/>
  <c r="AA9" i="2"/>
  <c r="F13" i="8" s="1"/>
  <c r="V9" i="2"/>
  <c r="F13" i="7" s="1"/>
  <c r="Q9" i="2"/>
  <c r="F13" i="5" s="1"/>
  <c r="L9" i="2"/>
  <c r="G9" i="2"/>
  <c r="AK8" i="2"/>
  <c r="AF8" i="2"/>
  <c r="F10" i="12" s="1"/>
  <c r="AA8" i="2"/>
  <c r="F10" i="8" s="1"/>
  <c r="V8" i="2"/>
  <c r="F10" i="7" s="1"/>
  <c r="Q8" i="2"/>
  <c r="F10" i="5" s="1"/>
  <c r="L8" i="2"/>
  <c r="F10" i="19" s="1"/>
  <c r="G8" i="2"/>
  <c r="AK7" i="2"/>
  <c r="AF7" i="2"/>
  <c r="F7" i="12" s="1"/>
  <c r="AA7" i="2"/>
  <c r="F7" i="8" s="1"/>
  <c r="V7" i="2"/>
  <c r="F7" i="7" s="1"/>
  <c r="Q7" i="2"/>
  <c r="F7" i="5" s="1"/>
  <c r="L7" i="2"/>
  <c r="F7" i="19" s="1"/>
  <c r="G7" i="2"/>
  <c r="F5" i="2"/>
  <c r="E19" i="2"/>
  <c r="AF5" i="2" l="1"/>
  <c r="F22" i="12" s="1"/>
  <c r="D10" i="3" s="1"/>
  <c r="F16" i="8"/>
  <c r="AA5" i="2"/>
  <c r="F25" i="8" s="1"/>
  <c r="D9" i="3" s="1"/>
  <c r="F19" i="7"/>
  <c r="V5" i="2"/>
  <c r="F28" i="7" s="1"/>
  <c r="D8" i="3" s="1"/>
  <c r="F16" i="5"/>
  <c r="Q5" i="2"/>
  <c r="F25" i="5" s="1"/>
  <c r="D7" i="3" s="1"/>
  <c r="F13" i="19"/>
  <c r="L5" i="2"/>
  <c r="F22" i="19" s="1"/>
  <c r="D6" i="3" s="1"/>
  <c r="F16" i="12"/>
  <c r="A1" i="10"/>
  <c r="D42" i="9" l="1"/>
  <c r="C11" i="3" l="1"/>
  <c r="C10" i="3"/>
  <c r="C5" i="3"/>
  <c r="C59" i="9" l="1"/>
  <c r="C58" i="9"/>
  <c r="C57" i="9"/>
  <c r="C56" i="9"/>
  <c r="C55" i="9"/>
  <c r="C54" i="9"/>
  <c r="B53" i="9"/>
  <c r="B14" i="9"/>
  <c r="B46" i="9"/>
  <c r="C40" i="9"/>
  <c r="B38" i="9"/>
  <c r="B29" i="9"/>
  <c r="C30" i="9"/>
  <c r="C26" i="9"/>
  <c r="C25" i="9"/>
  <c r="C24" i="9"/>
  <c r="C12" i="9"/>
  <c r="C11" i="9"/>
  <c r="F23" i="6" l="1"/>
  <c r="D59" i="9" s="1"/>
  <c r="F20" i="6"/>
  <c r="D58" i="9" s="1"/>
  <c r="F17" i="6"/>
  <c r="D57" i="9" s="1"/>
  <c r="F14" i="6"/>
  <c r="D56" i="9" s="1"/>
  <c r="F11" i="6"/>
  <c r="D55" i="9" s="1"/>
  <c r="F8" i="6"/>
  <c r="D54" i="9" s="1"/>
  <c r="D51" i="9"/>
  <c r="D50" i="9"/>
  <c r="D49" i="9"/>
  <c r="D48" i="9"/>
  <c r="D47" i="9"/>
  <c r="D44" i="9"/>
  <c r="D43" i="9"/>
  <c r="D40" i="9"/>
  <c r="D39" i="9"/>
  <c r="D30" i="9"/>
  <c r="D26" i="9"/>
  <c r="D25" i="9"/>
  <c r="D24" i="9"/>
  <c r="F26" i="4"/>
  <c r="D12" i="9" s="1"/>
  <c r="F23" i="4"/>
  <c r="D11" i="9" s="1"/>
  <c r="F20" i="4"/>
  <c r="F17" i="4"/>
  <c r="F14" i="4"/>
  <c r="F11" i="4"/>
  <c r="F8" i="4"/>
  <c r="AO6" i="2" l="1"/>
  <c r="AO7" i="2" s="1"/>
  <c r="AO8" i="2" s="1"/>
  <c r="F19" i="6" l="1"/>
  <c r="F18" i="6"/>
  <c r="F22" i="6"/>
  <c r="F21" i="6"/>
  <c r="F10" i="6"/>
  <c r="F9" i="6"/>
  <c r="F6" i="6"/>
  <c r="F13" i="6"/>
  <c r="F12" i="6"/>
  <c r="F16" i="6"/>
  <c r="F15" i="6"/>
  <c r="F22" i="4"/>
  <c r="F21" i="4"/>
  <c r="F25" i="4"/>
  <c r="F24" i="4"/>
  <c r="F7" i="6" l="1"/>
  <c r="F25" i="6"/>
  <c r="D11" i="3" s="1"/>
  <c r="F28" i="4"/>
  <c r="D5" i="3" s="1"/>
  <c r="A15" i="3"/>
  <c r="C14" i="3" l="1"/>
  <c r="F33" i="1"/>
  <c r="C22" i="9" l="1"/>
  <c r="C9" i="9"/>
  <c r="C23" i="9"/>
  <c r="C10" i="9"/>
  <c r="C8" i="9"/>
  <c r="C7" i="9"/>
  <c r="C6" i="9"/>
  <c r="B21" i="9"/>
  <c r="B5" i="9"/>
  <c r="D23" i="9"/>
  <c r="D22" i="9"/>
  <c r="D10" i="9" l="1"/>
  <c r="D9" i="9"/>
  <c r="D8" i="9"/>
  <c r="D7" i="9"/>
  <c r="D6" i="9"/>
  <c r="F7" i="4"/>
  <c r="F10" i="4"/>
  <c r="F19" i="4"/>
  <c r="F18" i="4"/>
  <c r="F15" i="4"/>
  <c r="F12" i="4"/>
  <c r="F9" i="4"/>
  <c r="F6" i="4"/>
  <c r="W18" i="3"/>
  <c r="W28" i="1"/>
  <c r="W30" i="1"/>
  <c r="W37" i="1"/>
  <c r="W39" i="1"/>
  <c r="W41" i="1"/>
  <c r="W43" i="1"/>
  <c r="W45" i="1"/>
  <c r="F13" i="4" l="1"/>
  <c r="F16" i="4"/>
  <c r="C33" i="1" l="1"/>
  <c r="C9" i="3" l="1"/>
  <c r="C6" i="3"/>
  <c r="C8" i="3"/>
  <c r="C7" i="3"/>
  <c r="B4" i="3" l="1"/>
  <c r="E33" i="1" l="1"/>
</calcChain>
</file>

<file path=xl/sharedStrings.xml><?xml version="1.0" encoding="utf-8"?>
<sst xmlns="http://schemas.openxmlformats.org/spreadsheetml/2006/main" count="1065" uniqueCount="798">
  <si>
    <t>Datasheet - Logistic Process Inspection</t>
  </si>
  <si>
    <t>General information</t>
  </si>
  <si>
    <t>For saving or printing please choose one of the following PDF export options *:</t>
  </si>
  <si>
    <t>Information and settings:</t>
  </si>
  <si>
    <t>Date of evaluation:</t>
  </si>
  <si>
    <t>Possible number of not assessed questions per module 
(according VDA: 2 questions):</t>
  </si>
  <si>
    <t>Supplier type</t>
  </si>
  <si>
    <t xml:space="preserve">Supplier to be evaluated: </t>
  </si>
  <si>
    <t>Increment (%-reduction per rating-step)
(according VDA: 20%):</t>
  </si>
  <si>
    <t>Part number:</t>
  </si>
  <si>
    <t>Parts description:</t>
  </si>
  <si>
    <t>Location</t>
  </si>
  <si>
    <t>Country:</t>
  </si>
  <si>
    <t>Address (zip, city, street, No.):</t>
  </si>
  <si>
    <t>Project manager:</t>
  </si>
  <si>
    <t>Supplier number:</t>
  </si>
  <si>
    <t>DUNS-No.:</t>
  </si>
  <si>
    <t>Name of assessor:</t>
  </si>
  <si>
    <t>Department:</t>
  </si>
  <si>
    <t>Information about the supplier inspection</t>
  </si>
  <si>
    <t>* filename + storage path max. 256 characters</t>
  </si>
  <si>
    <t>Date of visit:</t>
  </si>
  <si>
    <t>OEM participants:</t>
  </si>
  <si>
    <t>Supplier participants:</t>
  </si>
  <si>
    <t>Process inspection:</t>
  </si>
  <si>
    <t>Information about the supplier</t>
  </si>
  <si>
    <t>Employees:</t>
  </si>
  <si>
    <t>Parent company:</t>
  </si>
  <si>
    <t>Other locations:</t>
  </si>
  <si>
    <t>References/
current supply relationships:</t>
  </si>
  <si>
    <t>Imprint</t>
  </si>
  <si>
    <t>Author</t>
  </si>
  <si>
    <t>Tilo Schwaderer, N/BS-4</t>
  </si>
  <si>
    <t>Version</t>
  </si>
  <si>
    <t>Evaluation - summary</t>
  </si>
  <si>
    <t>Evaluation of individual modules</t>
  </si>
  <si>
    <t>Percent (max.)</t>
  </si>
  <si>
    <t>Percent (real)</t>
  </si>
  <si>
    <t>Assessment result for 'Modul 1 - Project management'</t>
  </si>
  <si>
    <t>Assessment result for 'Modul 2 - Order administration, production-
                                                               and shipment planning'</t>
  </si>
  <si>
    <t>Assessment result for 'Modul 3 - Basic material, supplier- and
                                                               capacity management'</t>
  </si>
  <si>
    <t>Assessment result for 'Modul 4 - Goods receipt and warehouse'</t>
  </si>
  <si>
    <t>Assessment result for 'Modul 5 - Production'</t>
  </si>
  <si>
    <t>Assessment result for 'Modul 6 - Shipment and transportation'</t>
  </si>
  <si>
    <t>Assessment result for 'Modul 7 - Logistic setup'</t>
  </si>
  <si>
    <t>Result logistic process inspection</t>
  </si>
  <si>
    <t>Notes/Remarks</t>
  </si>
  <si>
    <t xml:space="preserve">
</t>
  </si>
  <si>
    <t>Rating-classes</t>
  </si>
  <si>
    <t xml:space="preserve">A : </t>
  </si>
  <si>
    <t xml:space="preserve">B : </t>
  </si>
  <si>
    <t xml:space="preserve">C : </t>
  </si>
  <si>
    <t>Datenblatt</t>
  </si>
  <si>
    <t>Modul 1</t>
  </si>
  <si>
    <t>Modul 2</t>
  </si>
  <si>
    <t>Modul 3</t>
  </si>
  <si>
    <t>Modul 4</t>
  </si>
  <si>
    <t>Modul 5</t>
  </si>
  <si>
    <t>Modul 6</t>
  </si>
  <si>
    <t>Modul 7</t>
  </si>
  <si>
    <t>Bewertungsschritte</t>
  </si>
  <si>
    <t>Land</t>
  </si>
  <si>
    <t>LKZ</t>
  </si>
  <si>
    <t>Frage</t>
  </si>
  <si>
    <t>Max-Bew.</t>
  </si>
  <si>
    <t>Auswahl Dropd.</t>
  </si>
  <si>
    <t>akt. Bew.</t>
  </si>
  <si>
    <t>Bezeichnung</t>
  </si>
  <si>
    <t>Auswahl Dropdown</t>
  </si>
  <si>
    <t>Bewertung (VDA)</t>
  </si>
  <si>
    <t>Symbol</t>
  </si>
  <si>
    <t>Please select…</t>
  </si>
  <si>
    <t xml:space="preserve"> </t>
  </si>
  <si>
    <t>Summe</t>
  </si>
  <si>
    <t>fully met</t>
  </si>
  <si>
    <t>++</t>
  </si>
  <si>
    <t>Belgium</t>
  </si>
  <si>
    <t>BE</t>
  </si>
  <si>
    <t>Aktive Fragen</t>
  </si>
  <si>
    <t>mostly met</t>
  </si>
  <si>
    <t>+</t>
  </si>
  <si>
    <t>Germany</t>
  </si>
  <si>
    <t>DE</t>
  </si>
  <si>
    <t>1.1</t>
  </si>
  <si>
    <t>2.1</t>
  </si>
  <si>
    <t>3.1</t>
  </si>
  <si>
    <t>4.1</t>
  </si>
  <si>
    <t>5.1</t>
  </si>
  <si>
    <t>6.1</t>
  </si>
  <si>
    <t>7.1</t>
  </si>
  <si>
    <t>partially met</t>
  </si>
  <si>
    <t>○</t>
  </si>
  <si>
    <t>France</t>
  </si>
  <si>
    <t>FR</t>
  </si>
  <si>
    <t>1.2</t>
  </si>
  <si>
    <t>2.2</t>
  </si>
  <si>
    <t>3.2</t>
  </si>
  <si>
    <t>4.2</t>
  </si>
  <si>
    <t>5.2</t>
  </si>
  <si>
    <t>6.2</t>
  </si>
  <si>
    <t>7.2</t>
  </si>
  <si>
    <t>inadequately met</t>
  </si>
  <si>
    <t>-</t>
  </si>
  <si>
    <t>United Kingdom</t>
  </si>
  <si>
    <t>UK</t>
  </si>
  <si>
    <t>1.3</t>
  </si>
  <si>
    <t>2.3</t>
  </si>
  <si>
    <t>3.3</t>
  </si>
  <si>
    <t>4.3</t>
  </si>
  <si>
    <t>5.3</t>
  </si>
  <si>
    <t>6.3</t>
  </si>
  <si>
    <t>7.3</t>
  </si>
  <si>
    <t>not met</t>
  </si>
  <si>
    <t>--</t>
  </si>
  <si>
    <t>Italy</t>
  </si>
  <si>
    <t>IT</t>
  </si>
  <si>
    <t>1.4</t>
  </si>
  <si>
    <t>2.4</t>
  </si>
  <si>
    <t>3.4</t>
  </si>
  <si>
    <t>4.4</t>
  </si>
  <si>
    <t>5.4</t>
  </si>
  <si>
    <t>6.4</t>
  </si>
  <si>
    <t>7.4</t>
  </si>
  <si>
    <t>not assessed</t>
  </si>
  <si>
    <t>NB</t>
  </si>
  <si>
    <t>Netherlands</t>
  </si>
  <si>
    <t>NL</t>
  </si>
  <si>
    <t>1.5</t>
  </si>
  <si>
    <t>2.5</t>
  </si>
  <si>
    <t>3.5</t>
  </si>
  <si>
    <t>4.5</t>
  </si>
  <si>
    <t>5.5</t>
  </si>
  <si>
    <t>6.5</t>
  </si>
  <si>
    <t>7.5</t>
  </si>
  <si>
    <t>not relevant</t>
  </si>
  <si>
    <t>NR</t>
  </si>
  <si>
    <t>Austria</t>
  </si>
  <si>
    <t>AT</t>
  </si>
  <si>
    <t>1.6</t>
  </si>
  <si>
    <t>3.6</t>
  </si>
  <si>
    <t>4.6</t>
  </si>
  <si>
    <t>5.6</t>
  </si>
  <si>
    <t>7.6</t>
  </si>
  <si>
    <t>Poland</t>
  </si>
  <si>
    <t>PL</t>
  </si>
  <si>
    <t>1.7</t>
  </si>
  <si>
    <t>4.7</t>
  </si>
  <si>
    <t>Romania</t>
  </si>
  <si>
    <t>RO</t>
  </si>
  <si>
    <t>Slowakia</t>
  </si>
  <si>
    <t>SK</t>
  </si>
  <si>
    <t>Spain</t>
  </si>
  <si>
    <t>ES</t>
  </si>
  <si>
    <t>Czech Republic</t>
  </si>
  <si>
    <t>CZ</t>
  </si>
  <si>
    <t>Hungay</t>
  </si>
  <si>
    <t>HU</t>
  </si>
  <si>
    <t>Gesamt:</t>
  </si>
  <si>
    <t>Afghanistan</t>
  </si>
  <si>
    <t>AF</t>
  </si>
  <si>
    <t>Ägypten</t>
  </si>
  <si>
    <t>EG</t>
  </si>
  <si>
    <t>Albanien</t>
  </si>
  <si>
    <t>AL</t>
  </si>
  <si>
    <t>Algerien</t>
  </si>
  <si>
    <t>DZ</t>
  </si>
  <si>
    <t>Namen</t>
  </si>
  <si>
    <t>Andorra</t>
  </si>
  <si>
    <t>AD</t>
  </si>
  <si>
    <t>requirements met</t>
  </si>
  <si>
    <t>Angola</t>
  </si>
  <si>
    <t>AO</t>
  </si>
  <si>
    <t>requirements partially met</t>
  </si>
  <si>
    <t>Anguilla</t>
  </si>
  <si>
    <t>AI</t>
  </si>
  <si>
    <t>requirements not met</t>
  </si>
  <si>
    <t>Antarktis</t>
  </si>
  <si>
    <t>AQ</t>
  </si>
  <si>
    <t>Antigua und Barbuda</t>
  </si>
  <si>
    <t>AG</t>
  </si>
  <si>
    <t>Äquatorial Guinea</t>
  </si>
  <si>
    <t>GQ</t>
  </si>
  <si>
    <t>Argentinien</t>
  </si>
  <si>
    <t>AR</t>
  </si>
  <si>
    <t>Armenien</t>
  </si>
  <si>
    <t>AM</t>
  </si>
  <si>
    <t>Aruba</t>
  </si>
  <si>
    <t>AW</t>
  </si>
  <si>
    <t>Aserbaidschan</t>
  </si>
  <si>
    <t>AZ</t>
  </si>
  <si>
    <t>Äthiopien</t>
  </si>
  <si>
    <t>ET</t>
  </si>
  <si>
    <t>Australien</t>
  </si>
  <si>
    <t>AU</t>
  </si>
  <si>
    <t>Bahrain</t>
  </si>
  <si>
    <t>BH</t>
  </si>
  <si>
    <t>Bangladesh</t>
  </si>
  <si>
    <t>BD</t>
  </si>
  <si>
    <t>Barbados</t>
  </si>
  <si>
    <t>BB</t>
  </si>
  <si>
    <t>Belize</t>
  </si>
  <si>
    <t>BZ</t>
  </si>
  <si>
    <t>Benin</t>
  </si>
  <si>
    <t>BJ</t>
  </si>
  <si>
    <t>Bermudas</t>
  </si>
  <si>
    <t>BM</t>
  </si>
  <si>
    <t>Bhutan</t>
  </si>
  <si>
    <t>BT</t>
  </si>
  <si>
    <t>Birma</t>
  </si>
  <si>
    <t>BUR</t>
  </si>
  <si>
    <t>Bolivien</t>
  </si>
  <si>
    <t>BO</t>
  </si>
  <si>
    <t>Bosnien-Herzegowina</t>
  </si>
  <si>
    <t>BA</t>
  </si>
  <si>
    <t>Bouvet Inseln</t>
  </si>
  <si>
    <t>BV</t>
  </si>
  <si>
    <t>Brasilien</t>
  </si>
  <si>
    <t>BR</t>
  </si>
  <si>
    <t>Britisch-Indischer Ozean</t>
  </si>
  <si>
    <t>IO</t>
  </si>
  <si>
    <t>Brunei</t>
  </si>
  <si>
    <t>BN</t>
  </si>
  <si>
    <t>Bulgarien</t>
  </si>
  <si>
    <t>BG</t>
  </si>
  <si>
    <t>Burundi</t>
  </si>
  <si>
    <t>BI</t>
  </si>
  <si>
    <t>China</t>
  </si>
  <si>
    <t>CN</t>
  </si>
  <si>
    <t>Christmas Island</t>
  </si>
  <si>
    <t>CX</t>
  </si>
  <si>
    <t>Cook Inseln</t>
  </si>
  <si>
    <t>CK</t>
  </si>
  <si>
    <t>Costa Rica</t>
  </si>
  <si>
    <t>CR</t>
  </si>
  <si>
    <t>Dänemark</t>
  </si>
  <si>
    <t>DK</t>
  </si>
  <si>
    <t>Djibuti</t>
  </si>
  <si>
    <t>DJ</t>
  </si>
  <si>
    <t>Dominika</t>
  </si>
  <si>
    <t>DM</t>
  </si>
  <si>
    <t>Dominikanische Republik</t>
  </si>
  <si>
    <t>DO</t>
  </si>
  <si>
    <t>Ecuador</t>
  </si>
  <si>
    <t>EC</t>
  </si>
  <si>
    <t>El Salvador</t>
  </si>
  <si>
    <t>SV</t>
  </si>
  <si>
    <t>Elfenbeinküste</t>
  </si>
  <si>
    <t>CI</t>
  </si>
  <si>
    <t>Eritrea</t>
  </si>
  <si>
    <t>ER</t>
  </si>
  <si>
    <t>Estland</t>
  </si>
  <si>
    <t>EE</t>
  </si>
  <si>
    <t>Falkland Inseln</t>
  </si>
  <si>
    <t>FK</t>
  </si>
  <si>
    <t>Färöer Inseln</t>
  </si>
  <si>
    <t>FO</t>
  </si>
  <si>
    <t>Fidschi</t>
  </si>
  <si>
    <t>FJ</t>
  </si>
  <si>
    <t>Finnland</t>
  </si>
  <si>
    <t>FI</t>
  </si>
  <si>
    <t>französisch Guyana</t>
  </si>
  <si>
    <t>GF</t>
  </si>
  <si>
    <t>Französisch Polynesien</t>
  </si>
  <si>
    <t>PF</t>
  </si>
  <si>
    <t>Französisches Süd-Territorium</t>
  </si>
  <si>
    <t>TF</t>
  </si>
  <si>
    <t>Gabun</t>
  </si>
  <si>
    <t>GA</t>
  </si>
  <si>
    <t>Gambia</t>
  </si>
  <si>
    <t>GM</t>
  </si>
  <si>
    <t>Georgien</t>
  </si>
  <si>
    <t>GE</t>
  </si>
  <si>
    <t>Ghana</t>
  </si>
  <si>
    <t>GH</t>
  </si>
  <si>
    <t>Gibraltar</t>
  </si>
  <si>
    <t>GI</t>
  </si>
  <si>
    <t>Grenada</t>
  </si>
  <si>
    <t>GD</t>
  </si>
  <si>
    <t>Griechenland</t>
  </si>
  <si>
    <t>GR</t>
  </si>
  <si>
    <t>Grönland</t>
  </si>
  <si>
    <t>GL</t>
  </si>
  <si>
    <t>Großbritannien (UK)</t>
  </si>
  <si>
    <t>GB</t>
  </si>
  <si>
    <t>Guadeloupe</t>
  </si>
  <si>
    <t>GP</t>
  </si>
  <si>
    <t>Guam</t>
  </si>
  <si>
    <t>GU</t>
  </si>
  <si>
    <t>Guatemala</t>
  </si>
  <si>
    <t>GT</t>
  </si>
  <si>
    <t>Guinea</t>
  </si>
  <si>
    <t>GN</t>
  </si>
  <si>
    <t>Guinea Bissau</t>
  </si>
  <si>
    <t>GW</t>
  </si>
  <si>
    <t>Guyana</t>
  </si>
  <si>
    <t>GY</t>
  </si>
  <si>
    <t>Haiti</t>
  </si>
  <si>
    <t>HT</t>
  </si>
  <si>
    <t>Heard und McDonald Islands</t>
  </si>
  <si>
    <t>HM</t>
  </si>
  <si>
    <t>Honduras</t>
  </si>
  <si>
    <t>HN</t>
  </si>
  <si>
    <t>Hong Kong</t>
  </si>
  <si>
    <t>HK</t>
  </si>
  <si>
    <t>Indien</t>
  </si>
  <si>
    <t>IN</t>
  </si>
  <si>
    <t>Indonesien</t>
  </si>
  <si>
    <t>ID</t>
  </si>
  <si>
    <t>Irak</t>
  </si>
  <si>
    <t>IQ</t>
  </si>
  <si>
    <t>Iran</t>
  </si>
  <si>
    <t>IR</t>
  </si>
  <si>
    <t>Irland</t>
  </si>
  <si>
    <t>IE</t>
  </si>
  <si>
    <t>Island</t>
  </si>
  <si>
    <t>IS</t>
  </si>
  <si>
    <t>Israel</t>
  </si>
  <si>
    <t>IL</t>
  </si>
  <si>
    <t>Jamaika</t>
  </si>
  <si>
    <t>JM</t>
  </si>
  <si>
    <t>Japan</t>
  </si>
  <si>
    <t>JP</t>
  </si>
  <si>
    <t>Jemen</t>
  </si>
  <si>
    <t>YE</t>
  </si>
  <si>
    <t>Jordanien</t>
  </si>
  <si>
    <t>JO</t>
  </si>
  <si>
    <t>Jugoslawien</t>
  </si>
  <si>
    <t>YU</t>
  </si>
  <si>
    <t>Kaiman Inseln</t>
  </si>
  <si>
    <t>KY</t>
  </si>
  <si>
    <t>Kambodscha</t>
  </si>
  <si>
    <t>KH</t>
  </si>
  <si>
    <t>Kamerun</t>
  </si>
  <si>
    <t>CM</t>
  </si>
  <si>
    <t>Kanada</t>
  </si>
  <si>
    <t>CA</t>
  </si>
  <si>
    <t>Kap Verde</t>
  </si>
  <si>
    <t>CV</t>
  </si>
  <si>
    <t>Kasachstan</t>
  </si>
  <si>
    <t>KZ</t>
  </si>
  <si>
    <t>Kenia</t>
  </si>
  <si>
    <t>KE</t>
  </si>
  <si>
    <t>Kirgisistan</t>
  </si>
  <si>
    <t>KG</t>
  </si>
  <si>
    <t>Kiribati</t>
  </si>
  <si>
    <t>KI</t>
  </si>
  <si>
    <t>Kokosinseln</t>
  </si>
  <si>
    <t>CC</t>
  </si>
  <si>
    <t>Kolumbien</t>
  </si>
  <si>
    <t>CO</t>
  </si>
  <si>
    <t>Komoren</t>
  </si>
  <si>
    <t>KM</t>
  </si>
  <si>
    <t>Kongo</t>
  </si>
  <si>
    <t>CG</t>
  </si>
  <si>
    <t>Kongo, Demokratische Republik</t>
  </si>
  <si>
    <t>CD</t>
  </si>
  <si>
    <t>Kroatien</t>
  </si>
  <si>
    <t>HR</t>
  </si>
  <si>
    <t>Kuba</t>
  </si>
  <si>
    <t>CU</t>
  </si>
  <si>
    <t>Kuwait</t>
  </si>
  <si>
    <t>KW</t>
  </si>
  <si>
    <t>Laos</t>
  </si>
  <si>
    <t>LA</t>
  </si>
  <si>
    <t>Lesotho</t>
  </si>
  <si>
    <t>LS</t>
  </si>
  <si>
    <t>Lettland</t>
  </si>
  <si>
    <t>LV</t>
  </si>
  <si>
    <t>Libanon</t>
  </si>
  <si>
    <t>LB</t>
  </si>
  <si>
    <t>Liberia</t>
  </si>
  <si>
    <t>LR</t>
  </si>
  <si>
    <t>Libyen</t>
  </si>
  <si>
    <t>LY</t>
  </si>
  <si>
    <t>Liechtenstein</t>
  </si>
  <si>
    <t>LI</t>
  </si>
  <si>
    <t>Litauen</t>
  </si>
  <si>
    <t>LT</t>
  </si>
  <si>
    <t>Luxemburg</t>
  </si>
  <si>
    <t>LU</t>
  </si>
  <si>
    <t>Macao</t>
  </si>
  <si>
    <t>MO</t>
  </si>
  <si>
    <t>Madagaskar</t>
  </si>
  <si>
    <t>MG</t>
  </si>
  <si>
    <t>Malawi</t>
  </si>
  <si>
    <t>MW</t>
  </si>
  <si>
    <t>Malaysia</t>
  </si>
  <si>
    <t>MY</t>
  </si>
  <si>
    <t>Malediven</t>
  </si>
  <si>
    <t>MV</t>
  </si>
  <si>
    <t>Mali</t>
  </si>
  <si>
    <t>ML</t>
  </si>
  <si>
    <t>Malta</t>
  </si>
  <si>
    <t>MT</t>
  </si>
  <si>
    <t>Marianen</t>
  </si>
  <si>
    <t>MP</t>
  </si>
  <si>
    <t>Marokko</t>
  </si>
  <si>
    <t>MA</t>
  </si>
  <si>
    <t>Marshall Inseln</t>
  </si>
  <si>
    <t>MH</t>
  </si>
  <si>
    <t>Martinique</t>
  </si>
  <si>
    <t>MQ</t>
  </si>
  <si>
    <t>Mauretanien</t>
  </si>
  <si>
    <t>MR</t>
  </si>
  <si>
    <t>Mauritius</t>
  </si>
  <si>
    <t>MU</t>
  </si>
  <si>
    <t>Mayotte</t>
  </si>
  <si>
    <t>YT</t>
  </si>
  <si>
    <t>Mazedonien</t>
  </si>
  <si>
    <t>MK</t>
  </si>
  <si>
    <t>Mexiko</t>
  </si>
  <si>
    <t>MX</t>
  </si>
  <si>
    <t>Mikronesien</t>
  </si>
  <si>
    <t>FM</t>
  </si>
  <si>
    <t>Mocambique</t>
  </si>
  <si>
    <t>MZ</t>
  </si>
  <si>
    <t>Moldavien</t>
  </si>
  <si>
    <t>MD</t>
  </si>
  <si>
    <t>Monaco</t>
  </si>
  <si>
    <t>MC</t>
  </si>
  <si>
    <t>Mongolei</t>
  </si>
  <si>
    <t>MN</t>
  </si>
  <si>
    <t>Montserrat</t>
  </si>
  <si>
    <t>MS</t>
  </si>
  <si>
    <t>Namibia</t>
  </si>
  <si>
    <t>NA</t>
  </si>
  <si>
    <t>Nauru</t>
  </si>
  <si>
    <t>Nepal</t>
  </si>
  <si>
    <t>NP</t>
  </si>
  <si>
    <t>Neukaledonien</t>
  </si>
  <si>
    <t>NC</t>
  </si>
  <si>
    <t>Neuseeland</t>
  </si>
  <si>
    <t>NZ</t>
  </si>
  <si>
    <t>Nicaragua</t>
  </si>
  <si>
    <t>NI</t>
  </si>
  <si>
    <t>Niederländische Antillen</t>
  </si>
  <si>
    <t>AN</t>
  </si>
  <si>
    <t>Niger</t>
  </si>
  <si>
    <t>NE</t>
  </si>
  <si>
    <t>Nigeria</t>
  </si>
  <si>
    <t>NG</t>
  </si>
  <si>
    <t>Niue</t>
  </si>
  <si>
    <t>NU</t>
  </si>
  <si>
    <t>Nord Korea</t>
  </si>
  <si>
    <t>KP</t>
  </si>
  <si>
    <t>Norfolk Inseln</t>
  </si>
  <si>
    <t>NF</t>
  </si>
  <si>
    <t>Norwegen</t>
  </si>
  <si>
    <t>NO</t>
  </si>
  <si>
    <t>Oman</t>
  </si>
  <si>
    <t>OM</t>
  </si>
  <si>
    <t>Pakistan</t>
  </si>
  <si>
    <t>PK</t>
  </si>
  <si>
    <t>Palästina</t>
  </si>
  <si>
    <t>PS</t>
  </si>
  <si>
    <t>Palau</t>
  </si>
  <si>
    <t>PW</t>
  </si>
  <si>
    <t>Panama</t>
  </si>
  <si>
    <t>PA</t>
  </si>
  <si>
    <t>Papua Neuguinea</t>
  </si>
  <si>
    <t>PG</t>
  </si>
  <si>
    <t>Paraguay</t>
  </si>
  <si>
    <t>PY</t>
  </si>
  <si>
    <t>Peru</t>
  </si>
  <si>
    <t>PE</t>
  </si>
  <si>
    <t>Philippinen</t>
  </si>
  <si>
    <t>PH</t>
  </si>
  <si>
    <t>Pitcairn</t>
  </si>
  <si>
    <t>PN</t>
  </si>
  <si>
    <t>Portugal</t>
  </si>
  <si>
    <t>PT</t>
  </si>
  <si>
    <t>Puerto Rico</t>
  </si>
  <si>
    <t>PR</t>
  </si>
  <si>
    <t>Qatar</t>
  </si>
  <si>
    <t>QA</t>
  </si>
  <si>
    <t>Reunion</t>
  </si>
  <si>
    <t>RE</t>
  </si>
  <si>
    <t>Ruanda</t>
  </si>
  <si>
    <t>RW</t>
  </si>
  <si>
    <t>Rußland</t>
  </si>
  <si>
    <t>RU</t>
  </si>
  <si>
    <t>Saint Lucia</t>
  </si>
  <si>
    <t>LC</t>
  </si>
  <si>
    <t>Sambia</t>
  </si>
  <si>
    <t>ZM</t>
  </si>
  <si>
    <t>Samoa</t>
  </si>
  <si>
    <t>AS</t>
  </si>
  <si>
    <t>WS</t>
  </si>
  <si>
    <t>San Marino</t>
  </si>
  <si>
    <t>SM</t>
  </si>
  <si>
    <t>Sao Tome</t>
  </si>
  <si>
    <t>ST</t>
  </si>
  <si>
    <t>Saudi Arabien</t>
  </si>
  <si>
    <t>SA</t>
  </si>
  <si>
    <t>Schweden</t>
  </si>
  <si>
    <t>SE</t>
  </si>
  <si>
    <t>Schweiz</t>
  </si>
  <si>
    <t>CH</t>
  </si>
  <si>
    <t>Senegal</t>
  </si>
  <si>
    <t>SN</t>
  </si>
  <si>
    <t>Serbien</t>
  </si>
  <si>
    <t>SRB</t>
  </si>
  <si>
    <t>Seychellen</t>
  </si>
  <si>
    <t>SC</t>
  </si>
  <si>
    <t>Sierra Leone</t>
  </si>
  <si>
    <t>SL</t>
  </si>
  <si>
    <t>Singapur</t>
  </si>
  <si>
    <t>SG</t>
  </si>
  <si>
    <t>Slowenien</t>
  </si>
  <si>
    <t>SI</t>
  </si>
  <si>
    <t>Solomon Inseln</t>
  </si>
  <si>
    <t>SB</t>
  </si>
  <si>
    <t>Somalia</t>
  </si>
  <si>
    <t>SO</t>
  </si>
  <si>
    <t>South Georgia, South Sandwich Isl.</t>
  </si>
  <si>
    <t>GS</t>
  </si>
  <si>
    <t>Sri Lanka</t>
  </si>
  <si>
    <t>LK</t>
  </si>
  <si>
    <t>St. Helena</t>
  </si>
  <si>
    <t>SH</t>
  </si>
  <si>
    <t>St. Kitts Nevis Anguilla</t>
  </si>
  <si>
    <t>KN</t>
  </si>
  <si>
    <t>St. Pierre und Miquelon</t>
  </si>
  <si>
    <t>PM</t>
  </si>
  <si>
    <t>St. Vincent</t>
  </si>
  <si>
    <t>VC</t>
  </si>
  <si>
    <t>Süd Korea</t>
  </si>
  <si>
    <t>KR</t>
  </si>
  <si>
    <t>Südafrika</t>
  </si>
  <si>
    <t>ZA</t>
  </si>
  <si>
    <t>Sudan</t>
  </si>
  <si>
    <t>SD</t>
  </si>
  <si>
    <t>Surinam</t>
  </si>
  <si>
    <t>SR</t>
  </si>
  <si>
    <t>Svalbard und Jan Mayen Islands</t>
  </si>
  <si>
    <t>SJ</t>
  </si>
  <si>
    <t>Swasiland</t>
  </si>
  <si>
    <t>SZ</t>
  </si>
  <si>
    <t>Syrien</t>
  </si>
  <si>
    <t>SY</t>
  </si>
  <si>
    <t>Tadschikistan</t>
  </si>
  <si>
    <t>TJ</t>
  </si>
  <si>
    <t>Taiwan</t>
  </si>
  <si>
    <t>TW</t>
  </si>
  <si>
    <t>Tansania</t>
  </si>
  <si>
    <t>TZ</t>
  </si>
  <si>
    <t>Thailand</t>
  </si>
  <si>
    <t>TH</t>
  </si>
  <si>
    <t>Timor</t>
  </si>
  <si>
    <t>TP</t>
  </si>
  <si>
    <t>Togo</t>
  </si>
  <si>
    <t>TG</t>
  </si>
  <si>
    <t>Tokelau</t>
  </si>
  <si>
    <t>TK</t>
  </si>
  <si>
    <t>Tonga</t>
  </si>
  <si>
    <t>TO</t>
  </si>
  <si>
    <t>Trinidad Tobago</t>
  </si>
  <si>
    <t>TT</t>
  </si>
  <si>
    <t>Tschad</t>
  </si>
  <si>
    <t>TD</t>
  </si>
  <si>
    <t>Tunesien</t>
  </si>
  <si>
    <t>TN</t>
  </si>
  <si>
    <t>Türkei</t>
  </si>
  <si>
    <t>TR</t>
  </si>
  <si>
    <t>Turkmenistan</t>
  </si>
  <si>
    <t>TM</t>
  </si>
  <si>
    <t>Turks und Kaikos Inseln</t>
  </si>
  <si>
    <t>TC</t>
  </si>
  <si>
    <t>Tuvalu</t>
  </si>
  <si>
    <t>TV</t>
  </si>
  <si>
    <t>Uganda</t>
  </si>
  <si>
    <t>UG</t>
  </si>
  <si>
    <t>Ukraine</t>
  </si>
  <si>
    <t>UA</t>
  </si>
  <si>
    <t>Uruguay</t>
  </si>
  <si>
    <t>UY</t>
  </si>
  <si>
    <t>Usbekistan</t>
  </si>
  <si>
    <t>UZ</t>
  </si>
  <si>
    <t>Vanuatu</t>
  </si>
  <si>
    <t>VU</t>
  </si>
  <si>
    <t>Vatikan</t>
  </si>
  <si>
    <t>VA</t>
  </si>
  <si>
    <t>Venezuela</t>
  </si>
  <si>
    <t>VE</t>
  </si>
  <si>
    <t>Vereinigte Arabische Emirate</t>
  </si>
  <si>
    <t>AE</t>
  </si>
  <si>
    <t>Vereinigte Staaten von Amerika</t>
  </si>
  <si>
    <t>US</t>
  </si>
  <si>
    <t>Vietnam</t>
  </si>
  <si>
    <t>VN</t>
  </si>
  <si>
    <t>Virgin Island (Brit.)</t>
  </si>
  <si>
    <t>VG</t>
  </si>
  <si>
    <t>Virgin Island (USA)</t>
  </si>
  <si>
    <t>VI</t>
  </si>
  <si>
    <t>Wallis et Futuna</t>
  </si>
  <si>
    <t>WF</t>
  </si>
  <si>
    <t>Weißrußland</t>
  </si>
  <si>
    <t>BY</t>
  </si>
  <si>
    <t>Westsahara</t>
  </si>
  <si>
    <t>EH</t>
  </si>
  <si>
    <t>Zentralafrikanische Republik</t>
  </si>
  <si>
    <t>CF</t>
  </si>
  <si>
    <t>Zimbabwe</t>
  </si>
  <si>
    <t>ZW</t>
  </si>
  <si>
    <t>Zypern</t>
  </si>
  <si>
    <t>CY</t>
  </si>
  <si>
    <t>Module 1 - Project Management</t>
  </si>
  <si>
    <t>Maximum %</t>
  </si>
  <si>
    <t>No.</t>
  </si>
  <si>
    <t>Criteria</t>
  </si>
  <si>
    <t>Rating</t>
  </si>
  <si>
    <t>Reached %</t>
  </si>
  <si>
    <t>Resource planning in the project</t>
  </si>
  <si>
    <t>Organisational chart of the project team including representatives is available; capacity and allocation of the employees is transparent displayable; planned set up of (IT-) infrastructure, space and staff; critical path is known</t>
  </si>
  <si>
    <t>»</t>
  </si>
  <si>
    <t>Drop Down 14</t>
  </si>
  <si>
    <t xml:space="preserve">0=Resources in the project are not planned or monitored up to
10=Resources in the project are transparently planned and monitored </t>
  </si>
  <si>
    <t>Organised project management</t>
  </si>
  <si>
    <t>Regular project meetings; efficient project organisation (project leader); responsibilities and authorities are clearly defined; tracking of milestones; interface agreements known;  IT support; lessons learned;  handover process to serial production; structured process for relocations</t>
  </si>
  <si>
    <t>Drop Down 16</t>
  </si>
  <si>
    <t>0=project management lacking up to
10=project management capable and efficient</t>
  </si>
  <si>
    <t>Crisis management in projects</t>
  </si>
  <si>
    <t>Backup planning in response to project emergencies; documented procedures; escalation matrix available; clear responsibilities and authorities; information obligation to customer; willingness to solve problems in cooperation with the OEM.</t>
  </si>
  <si>
    <t>Drop Down 19</t>
  </si>
  <si>
    <t>0=lack of willingness to solve problems; no backup planning up to 
10=high degree of willingness to solve problems; backup planning in place</t>
  </si>
  <si>
    <t>Qualification level of employees</t>
  </si>
  <si>
    <t>Up-to-date qualification level; training &amp; further training; planning of training measures; headcount planning considers new projects.
Documents: e.g. qualification matrix, training schedule, etc.</t>
  </si>
  <si>
    <t>Drop Down 20</t>
  </si>
  <si>
    <t xml:space="preserve">0=Inadequate qualification level of staff up to
10=Good qualification level of staff
</t>
  </si>
  <si>
    <t>Technical change management</t>
  </si>
  <si>
    <t>Structured change management available; process is defined; checklist available; secured workflow (e.g.. by system); part history known; documentation and archiving; generation status is monitored</t>
  </si>
  <si>
    <t>Drop Down 21</t>
  </si>
  <si>
    <t>0=change management is not implemented up to
10=structured and transparent change management available</t>
  </si>
  <si>
    <t>Supplementary specifications for pre-series phase</t>
  </si>
  <si>
    <t>Supplementary specifications are known and practiced for supplies during the pre-series phase (generation status / part history, quality verification, unloading point, part labelling incl. generation status, yellow point)
Documents: e.g. product life report</t>
  </si>
  <si>
    <t>Drop Down 22</t>
  </si>
  <si>
    <t xml:space="preserve"> 0=Specifications are not known and are not practiced up to
10=Specifications are known to all employees and are consistently practiced</t>
  </si>
  <si>
    <t>Technical installed capacity (Nomination Letter)</t>
  </si>
  <si>
    <t>Nomination is known (eNA ist available); shift model and capacity planning according to nomination letter - nomination on weekly basis
(usually: capacity incl. 15% flex in 240 working days in 15 shifts).</t>
  </si>
  <si>
    <t>Drop Down 23</t>
  </si>
  <si>
    <t xml:space="preserve">0=Nomination is not known up to
10=Nomination is known and implemented
</t>
  </si>
  <si>
    <t>Assessment result for the module "project management"</t>
  </si>
  <si>
    <t>Module 2 - Order administration, production- and shipment planning</t>
  </si>
  <si>
    <t>Order administration</t>
  </si>
  <si>
    <t>Computerised; customer orders are administered systematically and transparently with regard to delivery dates and quantities (supplier is able to import delivery schedules into his own system); demand changes are detected and analysed
EDI-standards are considered in system planning of the supplier: 
Transfer LAB: VDA 4984, ASN: 4987, Feinabrufe: VDA 4984/4986</t>
  </si>
  <si>
    <t>Drop Down 43</t>
  </si>
  <si>
    <t>0=order administration not transparent and systematic up to 
10=order administration transparent, systematic and computerised</t>
  </si>
  <si>
    <t>Delivery status and backlogs</t>
  </si>
  <si>
    <t>Current delivery status identifiable at any time; delivery backlogs identified promptly; customer information and implementation of remedial actions ensured; tracking of cumulative delivered quantity, shortage management</t>
  </si>
  <si>
    <t>Drop Down 41</t>
  </si>
  <si>
    <t>0= delivery status not identifiable up to                                       
10= delivery status identifiable and backlogs reported</t>
  </si>
  <si>
    <t xml:space="preserve">Production programme planning </t>
  </si>
  <si>
    <t>Transparent and comprehensive production planning system considering customer orders, computerised; considers variables like capacity, scrap rate, setup time, lead time</t>
  </si>
  <si>
    <t>Drop Down 44</t>
  </si>
  <si>
    <t>0= non-methodical PPP up to
10= systematic, computerised PPP</t>
  </si>
  <si>
    <t>shipment planning</t>
  </si>
  <si>
    <t>transparent and complete planning of outgoing shipments, computerised, considering of transport and lead time; in time completion of the shipment/ production orders; information flow to the shipping office</t>
  </si>
  <si>
    <t>Drop Down 45</t>
  </si>
  <si>
    <t>0=no structured shipment planning up to
10=structured and transparent shipment planning</t>
  </si>
  <si>
    <t>Transport packaging planning</t>
  </si>
  <si>
    <t>Requirements regarding packaging planning and -material according "Logistik Standard Lastenheft" are known; backup concept with respect to alternative packaging; planning for providing packaging regarding date and quantity is available, responsibilities are defined and communicated, pre-shipment packaging /internal packaging ist necessary / available
1st tier: LISON-access available
n-tier:     own packaging planning and -tracking</t>
  </si>
  <si>
    <t>Drop Down 46</t>
  </si>
  <si>
    <t xml:space="preserve">0=Transport packaging not aligned up to 
10=Transport packaging is aligned and alternative packaging is defined to 
</t>
  </si>
  <si>
    <t>Assessment result for the module "order administration"</t>
  </si>
  <si>
    <t>Module 3 - Basic material, supplier and capacity management</t>
  </si>
  <si>
    <t xml:space="preserve">Input materials procurement and scheduling </t>
  </si>
  <si>
    <t>Structured, systematic and IT-based procurement and scheduling; demand determination; lead parameter (minimum stocking volume, buffer, re-procurement times, etc.); date tracking
Documents: e.g. understocking list; delivery date tracking; structured and continuous material procurement</t>
  </si>
  <si>
    <t>Drop Down 1</t>
  </si>
  <si>
    <t xml:space="preserve">0=Inadequately structured procurement and scheduling up to
10=Very well structured procurement and scheduling
</t>
  </si>
  <si>
    <t>Transmission of delivery call-offs to sub suppliers</t>
  </si>
  <si>
    <t>Automatic and regular forwarding of delivery call-offs to sub suppliers; prompt identification and forwarding of changes of delivery call-offs</t>
  </si>
  <si>
    <t>Drop Down 11</t>
  </si>
  <si>
    <t>0=Heavily delayed, irregular transmission of delivery call-offs from customer to supplier up to 10=Prompt, automated transmission of delivery call-offs from customer to supplier</t>
  </si>
  <si>
    <t>Material range for raw, semi-fabricated and finished products</t>
  </si>
  <si>
    <t>Range of current stocks; range monitoring and tracking; tools / analysis options used</t>
  </si>
  <si>
    <t>Drop Down 12</t>
  </si>
  <si>
    <t xml:space="preserve">0=Materials range is not known up to10=materials range is known and is taken into account
</t>
  </si>
  <si>
    <t>Emergency strategies in input material procurement</t>
  </si>
  <si>
    <t>emergency strategies in input material procurement; escalation plan in case of understocking; decoupling mechanisms (safety stocks); shortage management</t>
  </si>
  <si>
    <t>Drop Down 13</t>
  </si>
  <si>
    <t xml:space="preserve">0=Supply risks are not known up to
10=Supply risks are known and safety precautions are taken
</t>
  </si>
  <si>
    <t>Supplier management</t>
  </si>
  <si>
    <t>Input materials are correctly ordered; max. and necessary capacities and production concepts of suppliers are known and have been approved (Run @ Rate);  delivery packaging has been agreed upon; regular supplier evaluations with defined criterias (log. KPIs); process for bad ratings
Documents: e.g. overview of purchased parts (incl. nomination &amp; capacity inspection); sub supplier auditing; packaging data sheet</t>
  </si>
  <si>
    <t xml:space="preserve">0=no supplier management up to
10=well organized supplier management
</t>
  </si>
  <si>
    <t>Short-/middle- and long-term capacity analysis (identification of bottlenecks)</t>
  </si>
  <si>
    <t>Monitoring of capacity utilization; bottlenecks in production are systematically identified and eliminated; consideration of maintenance schedules; structured escalation process to customer</t>
  </si>
  <si>
    <t>Drop Down 15</t>
  </si>
  <si>
    <t xml:space="preserve">0=no identification of bottlenecks up to
10= bottlenecks are identified and action is taken to eliminate them
</t>
  </si>
  <si>
    <t>Assessment result for the module "supplier- and capacitymanagement"</t>
  </si>
  <si>
    <t>Module 4 - Goods receipt and warehouse</t>
  </si>
  <si>
    <t>Goods receipt</t>
  </si>
  <si>
    <t>Workflows; clearing areas; documented procedures;
stock-in-process; receiving time according production possible</t>
  </si>
  <si>
    <t>0=unsafe processes up to 10=assured processes</t>
  </si>
  <si>
    <t>Incoming goods inspection</t>
  </si>
  <si>
    <t>delivery note, quantity and identity; submission/provision/coordination for quality control; return of NOK goods</t>
  </si>
  <si>
    <t>0=no incoming goods inspection up to 10=detailed incoming goods inspection</t>
  </si>
  <si>
    <t>Warehouse infrastructure</t>
  </si>
  <si>
    <t>Transparency and hedging (regarding location, duration); storage locations and rack systems; labelling of the material and location; access to all storage locations possible; retrieval; layout; structure and organisation; usage of scanner</t>
  </si>
  <si>
    <t>Drop Down 8</t>
  </si>
  <si>
    <t xml:space="preserve">0=warehouse management lacking up to
10=efficient, computerised warehouse management </t>
  </si>
  <si>
    <t>Warehouse management*</t>
  </si>
  <si>
    <t>System-based stock management (computerised, inventory record keeping); stocks traceable at any time, transparent and correct; inventory control; booking procedure; storing process; inventory process; skilled staff for storing and retrieval processes according to production times available</t>
  </si>
  <si>
    <t>Drop Down 9</t>
  </si>
  <si>
    <t>0=stocks not verifiable; no inventory management up to 
10=stocks verifiable at any times; continuous inventory management</t>
  </si>
  <si>
    <t xml:space="preserve">Capacity situation at the warehouse </t>
  </si>
  <si>
    <t>Balancing of current stocks with warehouse capacities (future projects taken into account?); external warehouse capacity required?</t>
  </si>
  <si>
    <t>0=overcrowded warehouses up to
10=adequate warehouse capacity available</t>
  </si>
  <si>
    <t>Part handling respecting quality and part protection</t>
  </si>
  <si>
    <t>Avoidance of damages or impairments of the part quality by packaging, storing or moving the parts; protection against contamination; storage according requirements for temperature, ventilation, humidity, ESD (electrostatic discharge); tracking of expiry date; handling of dangerous goods</t>
  </si>
  <si>
    <t>Drop Down 10</t>
  </si>
  <si>
    <t>0=Quality can not be assured by processes up to 10=Quality is assured</t>
  </si>
  <si>
    <t>Handling of non-conforming production goods</t>
  </si>
  <si>
    <t>Unambiguous marking and separate storage (e.g. non-released purchased items or semi-finished goods) in warehouse area for blocked material; inventory management; marking directly on part itself or packaging; documented procedures; claim processing</t>
  </si>
  <si>
    <t>0=unsafe processes; no area for blocked material established up to
10=safe processes in handling non-conforming products</t>
  </si>
  <si>
    <t>Assessment result for the module "goods receipt and warehouse"</t>
  </si>
  <si>
    <t>Module 5 - Production</t>
  </si>
  <si>
    <t>Organization of production</t>
  </si>
  <si>
    <t>Transparency of workflows; visualization techniques; group working; separation of reject/rework and OK parts etc.; tracking of scrap parts; infrastructure (plant/machinery/facilities planning)</t>
  </si>
  <si>
    <t xml:space="preserve">0=inefficient production organization up to
10=very well organized production
</t>
  </si>
  <si>
    <t>Production control</t>
  </si>
  <si>
    <t>Transparent and comprehensive production control: how is the production program controlled and implemented in production? Organizing of the actual required resources; order release, sequencing, assignment to the workstations, plant data collection (production response); management of backlogs to the planning</t>
  </si>
  <si>
    <t>Drop Down 17</t>
  </si>
  <si>
    <t xml:space="preserve">0=untransparent production control up to 10=transparent and comprehensive production control
</t>
  </si>
  <si>
    <t>Occupational safety and ergonomics</t>
  </si>
  <si>
    <t>Responsible person for occupational safety is defined; compliance with existing regulations by employees; keeping clear of footpath and escape routes; ergonomic workplaces incl. part handling; sufficient lighting; air conditioning</t>
  </si>
  <si>
    <t>Drop Down 18</t>
  </si>
  <si>
    <t>0=Occupational safety is not taken into consideration up to
10=Occupational safety and ergonomics are ensured</t>
  </si>
  <si>
    <t>Maintenance</t>
  </si>
  <si>
    <t>Maintenance and inspection planning available; responsibilities are clearly defined; compliance with maintenance planning and regulations; critical spare parts available; service level agreement</t>
  </si>
  <si>
    <t>0=no maintenance and  monitoring up to
10=maintenance is well done and monitored</t>
  </si>
  <si>
    <t>Material feed/sequencing</t>
  </si>
  <si>
    <t>Material feed for production, e.g. pull control (KANBAN, push, pull); handling of partially-used quantities/returns to stock (FIFO!)</t>
  </si>
  <si>
    <t>0=process unsafe up to 10= process safe</t>
  </si>
  <si>
    <t>Emergency concepts for interruptions of operations</t>
  </si>
  <si>
    <t>Backup concepts for emergencies in operation (outage of facilities/tooling, material shortages); escalation channels; documents: call and information registers; instructions for action; notices, etc.</t>
  </si>
  <si>
    <t xml:space="preserve">0=no emergency concepts up to 10=detailed emergency concepts
</t>
  </si>
  <si>
    <t>Assessment result for the module "production"</t>
  </si>
  <si>
    <t>Module 6 - Shipment and transportation</t>
  </si>
  <si>
    <t>Coordination of shipments</t>
  </si>
  <si>
    <t>Transparent coordination and implementation of shipment plans; shipping documents and shipments correspond; allocation of time slots; truck coordination at supplier; ASN transfer after loading; special transport planning 24/7 incl. ASN possible</t>
  </si>
  <si>
    <t>Drop Down 31</t>
  </si>
  <si>
    <t>0=no coordination of shipments up to 10=transparent coordination of shipments available</t>
  </si>
  <si>
    <t>Notification</t>
  </si>
  <si>
    <t>As per agreement with production planning and scheduling: carriers informed in good time about exact shipping quantities and delivery locations</t>
  </si>
  <si>
    <t>Drop Down 33</t>
  </si>
  <si>
    <t xml:space="preserve">0=no timely, exact advance notice given up to
10=timely, exact advance notice given  </t>
  </si>
  <si>
    <t>Shipping preparation</t>
  </si>
  <si>
    <t>Preparation areas available; sequencing according time slots; labelling of shipments (excludes mix up) according to sequencing and loading scheme; IT support for error prevention (pick-by-X, cross-scan)</t>
  </si>
  <si>
    <t>Drop Down 83</t>
  </si>
  <si>
    <t>0=no shipment preparation up to
10=transparent and structured shipment preparation</t>
  </si>
  <si>
    <t>Container / packaging labelling</t>
  </si>
  <si>
    <t>Unambiguous labelling as per customer specification; machine-readable barcodes etc.   
1st tier: labelling according to Global Transport Label (GTL): VDA 4994
n-tier:    alligned with customer needs</t>
  </si>
  <si>
    <t xml:space="preserve">0=marking not possible to required standard up to
10=marking to required standard possible, machine-readable </t>
  </si>
  <si>
    <t>Empties management / handling</t>
  </si>
  <si>
    <t>Emergency concept in case of container shortage; roofed empties storage; container cleaning and repair
1st tier: monitoring and maintenance of empties stock in LISON</t>
  </si>
  <si>
    <t>Drop Down 80</t>
  </si>
  <si>
    <t xml:space="preserve">0=empties management not possible, poor condition of empties up to 
10=Functional empties management, orderly empties handling 
</t>
  </si>
  <si>
    <t>Assessment result for the module "shipment and transportation"</t>
  </si>
  <si>
    <t>Module 7 - Logistics setup</t>
  </si>
  <si>
    <t>Material flow from goods in to goods out</t>
  </si>
  <si>
    <t>Clear layout (paths, parking areas, etc. marked); transparency of work processes; visualization techniques; separation of waste / reworking and OK parts, etc.
Documents: e.g. layout plan of production (incl. material flow and planned duty cycles)</t>
  </si>
  <si>
    <t xml:space="preserve">0=Inadequately transparent work processes and inadequate visualization techniques up to 10=Very transparent work processes and very good visualization techniques
</t>
  </si>
  <si>
    <t>Traceability and dealing with generation statuses</t>
  </si>
  <si>
    <t>Incoming goods and semi-finished products are marked with respect to their generation status/batch etc.; traceable/findable in warehouse system (e.g. separate warehouse area and/or part number management); traceability; archiving of documents; duration: min 15 years.</t>
  </si>
  <si>
    <t xml:space="preserve"> 0=Traceability and special handling of different generation statuses not guaranteed up to 10=Different generation statuses stored and allocated separately; parts labelled</t>
  </si>
  <si>
    <t>FIFO principle</t>
  </si>
  <si>
    <t>"First in, first out" principle practiced in all areas</t>
  </si>
  <si>
    <t xml:space="preserve">0=FIFO not assured to be practiced up to
10=FIFO assured to be practiced
</t>
  </si>
  <si>
    <t>Tidiness, cleanliness</t>
  </si>
  <si>
    <t>Tidiness and cleanliness in all areas</t>
  </si>
  <si>
    <t xml:space="preserve">0=Inadequate tidiness and cleanliness; equipment in poor condition up to
10=Premises tidy and clean; equipment in excellent condition
</t>
  </si>
  <si>
    <t>Roofed material handling</t>
  </si>
  <si>
    <t>Roofed parts and material handling (loading/unloading, paths,…) docks, staging area, driveways etc.</t>
  </si>
  <si>
    <t xml:space="preserve">0=Inadequate condition of loading and transport equipment up to
10=Efficient loading and transport equipment in good condition
</t>
  </si>
  <si>
    <t>Internal container labeling</t>
  </si>
  <si>
    <t>Continuous and unambiguous labeling; clearly understandable labels (part no., incoming/production date), retractable by the system; adequately sticked label to the container</t>
  </si>
  <si>
    <t>Drop Down 24</t>
  </si>
  <si>
    <t xml:space="preserve">0=Inefficient container labeling up to 10=efficient and up to date container labeling
</t>
  </si>
  <si>
    <t>Assessment result for the module "logistics setup"</t>
  </si>
  <si>
    <t>Remarks and explanations</t>
  </si>
  <si>
    <t>Question</t>
  </si>
  <si>
    <t>Comment</t>
  </si>
  <si>
    <t>«</t>
  </si>
  <si>
    <t>The LOP can be filled automatically with all remarks of the previous sheet and questions rated less than "fully met" (old content will be deleted):</t>
  </si>
  <si>
    <t>Quest.</t>
  </si>
  <si>
    <t>Description/comment</t>
  </si>
  <si>
    <t>Action</t>
  </si>
  <si>
    <t>Responsible</t>
  </si>
  <si>
    <t>Date</t>
  </si>
  <si>
    <t>Status</t>
  </si>
  <si>
    <t>Verification</t>
  </si>
  <si>
    <t>Topic and deviation</t>
  </si>
  <si>
    <t>Precise wording of the action to correct the deviation</t>
  </si>
  <si>
    <t>Contact person at supplier</t>
  </si>
  <si>
    <t>Corrected until</t>
  </si>
  <si>
    <t>Proof of effectiveness (e.g. trainings certificate, working order,…)</t>
  </si>
  <si>
    <t>The supplier analyses the reasons for the deviations and defines countermeasures, immediate measures and corrective actions including responsibilities and planned dates of introduction. This information must be sent back to the assessor within 14 days.</t>
  </si>
  <si>
    <t>Internal remarks on the Logistic Process Inspection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</si>
</sst>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
    <numFmt numFmtId="165" formatCode="0%\ &quot; - &quot;"/>
    <numFmt numFmtId="166" formatCode="&quot;gültig bis: &quot;\ dd/mm/yyyy"/>
    <numFmt numFmtId="167" formatCode="0\ &quot;Questions/module&quot;"/>
    <numFmt numFmtId="168" formatCode="[$-409]mmmm\ d\,\ yyyy;@"/>
  </numFmts>
  <fonts count="62">
    <font>
      <sz val="11"/>
      <color theme="1"/>
      <name val="Arial"/>
      <family val="2"/>
      <scheme val="minor"/>
    </font>
    <font>
      <sz val="11"/>
      <color theme="1"/>
      <name val="Audi Type"/>
      <family val="2"/>
    </font>
    <font>
      <sz val="10"/>
      <color theme="1"/>
      <name val="Arial"/>
      <family val="2"/>
    </font>
    <font>
      <sz val="11"/>
      <color theme="1"/>
      <name val="Arial"/>
      <family val="2"/>
      <scheme val="minor"/>
    </font>
    <font>
      <sz val="10"/>
      <color theme="1"/>
      <name val="Audi Type"/>
      <family val="2"/>
    </font>
    <font>
      <b/>
      <sz val="10"/>
      <color theme="1"/>
      <name val="Audi Type"/>
      <family val="2"/>
    </font>
    <font>
      <b/>
      <sz val="11"/>
      <color theme="1"/>
      <name val="Audi Type"/>
      <family val="2"/>
    </font>
    <font>
      <b/>
      <sz val="14"/>
      <color theme="1"/>
      <name val="Audi Type"/>
      <family val="2"/>
    </font>
    <font>
      <b/>
      <sz val="16"/>
      <color theme="1"/>
      <name val="Audi Type"/>
      <family val="2"/>
    </font>
    <font>
      <sz val="10"/>
      <name val="Arial"/>
      <family val="2"/>
    </font>
    <font>
      <sz val="10"/>
      <name val="Audi Type"/>
      <family val="2"/>
    </font>
    <font>
      <b/>
      <sz val="10"/>
      <name val="Audi Type"/>
      <family val="2"/>
    </font>
    <font>
      <sz val="11"/>
      <color theme="1"/>
      <name val="Audi Type"/>
      <family val="2"/>
    </font>
    <font>
      <sz val="10"/>
      <color theme="0"/>
      <name val="Audi Type"/>
      <family val="2"/>
    </font>
    <font>
      <sz val="6"/>
      <color theme="1"/>
      <name val="Audi Type"/>
      <family val="2"/>
    </font>
    <font>
      <sz val="6"/>
      <color theme="0"/>
      <name val="Audi Type"/>
      <family val="2"/>
    </font>
    <font>
      <sz val="16"/>
      <color theme="1"/>
      <name val="Audi Type"/>
      <family val="2"/>
    </font>
    <font>
      <sz val="20"/>
      <color theme="1"/>
      <name val="Audi Type"/>
      <family val="2"/>
    </font>
    <font>
      <b/>
      <sz val="28"/>
      <color theme="1"/>
      <name val="Audi Type"/>
      <family val="2"/>
    </font>
    <font>
      <sz val="2"/>
      <color theme="1"/>
      <name val="Audi Type"/>
      <family val="2"/>
    </font>
    <font>
      <sz val="2"/>
      <color theme="0"/>
      <name val="Audi Type"/>
      <family val="2"/>
    </font>
    <font>
      <b/>
      <sz val="10"/>
      <color theme="0"/>
      <name val="Audi Type"/>
      <family val="2"/>
    </font>
    <font>
      <sz val="28"/>
      <color theme="1"/>
      <name val="Audi Type"/>
      <family val="2"/>
    </font>
    <font>
      <sz val="36"/>
      <color theme="1"/>
      <name val="Audi Type"/>
      <family val="2"/>
    </font>
    <font>
      <b/>
      <sz val="8"/>
      <color rgb="FFFF0000"/>
      <name val="Audi Type"/>
      <family val="2"/>
    </font>
    <font>
      <sz val="10"/>
      <color theme="1"/>
      <name val="Arial"/>
      <family val="2"/>
      <scheme val="minor"/>
    </font>
    <font>
      <b/>
      <sz val="12"/>
      <color theme="1"/>
      <name val="Audi Type"/>
      <family val="2"/>
    </font>
    <font>
      <sz val="18"/>
      <color theme="1"/>
      <name val="Audi Type"/>
      <family val="2"/>
    </font>
    <font>
      <sz val="22"/>
      <color theme="1"/>
      <name val="Audi Type"/>
      <family val="2"/>
    </font>
    <font>
      <i/>
      <sz val="8"/>
      <color theme="4"/>
      <name val="Audi Type"/>
      <family val="2"/>
    </font>
    <font>
      <b/>
      <sz val="6"/>
      <color theme="1"/>
      <name val="Audi Type"/>
      <family val="2"/>
    </font>
    <font>
      <b/>
      <sz val="12"/>
      <name val="Audi Type"/>
      <family val="2"/>
    </font>
    <font>
      <b/>
      <sz val="11"/>
      <color rgb="FFFF0000"/>
      <name val="Audi Type"/>
      <family val="2"/>
    </font>
    <font>
      <sz val="14"/>
      <color theme="1"/>
      <name val="Audi Type"/>
      <family val="2"/>
    </font>
    <font>
      <sz val="8"/>
      <color theme="1"/>
      <name val="Audi Type"/>
      <family val="2"/>
    </font>
    <font>
      <sz val="40"/>
      <color theme="1"/>
      <name val="Audi Type"/>
      <family val="2"/>
    </font>
    <font>
      <sz val="11"/>
      <color theme="0"/>
      <name val="Audi Type"/>
      <family val="2"/>
    </font>
    <font>
      <sz val="48"/>
      <color theme="1"/>
      <name val="Audi Type"/>
      <family val="2"/>
    </font>
    <font>
      <u/>
      <sz val="11"/>
      <color theme="10"/>
      <name val="Arial"/>
      <family val="2"/>
    </font>
    <font>
      <u/>
      <sz val="14"/>
      <color theme="10"/>
      <name val="Arial"/>
      <family val="2"/>
    </font>
    <font>
      <b/>
      <sz val="20"/>
      <color theme="1"/>
      <name val="Audi Type"/>
      <family val="2"/>
    </font>
    <font>
      <b/>
      <sz val="6"/>
      <color theme="0"/>
      <name val="Audi Type"/>
      <family val="2"/>
    </font>
    <font>
      <b/>
      <sz val="36"/>
      <color theme="0"/>
      <name val="Audi Type"/>
      <family val="2"/>
    </font>
    <font>
      <sz val="16"/>
      <color theme="0"/>
      <name val="Audi Type"/>
      <family val="2"/>
    </font>
    <font>
      <sz val="60"/>
      <color theme="1"/>
      <name val="Audi Type"/>
      <family val="2"/>
    </font>
    <font>
      <b/>
      <sz val="10"/>
      <color rgb="FFFF0000"/>
      <name val="Audi Type"/>
      <family val="2"/>
    </font>
    <font>
      <i/>
      <sz val="10"/>
      <color theme="1"/>
      <name val="Audi Type"/>
      <family val="2"/>
    </font>
    <font>
      <b/>
      <sz val="20"/>
      <name val="Audi Type"/>
      <family val="2"/>
    </font>
    <font>
      <i/>
      <sz val="10"/>
      <color theme="0" tint="-0.249977111117893"/>
      <name val="Audi Type"/>
      <family val="2"/>
    </font>
    <font>
      <sz val="1"/>
      <color theme="0"/>
      <name val="Audi Type"/>
      <family val="2"/>
    </font>
    <font>
      <sz val="1"/>
      <color theme="1"/>
      <name val="Audi Type"/>
      <family val="2"/>
    </font>
    <font>
      <sz val="1"/>
      <color rgb="FFFF0000"/>
      <name val="Audi Type"/>
      <family val="2"/>
    </font>
    <font>
      <sz val="9"/>
      <color theme="1"/>
      <name val="Audi Type"/>
      <family val="2"/>
    </font>
    <font>
      <b/>
      <sz val="9"/>
      <color theme="1"/>
      <name val="Audi Type"/>
      <family val="2"/>
    </font>
    <font>
      <sz val="9"/>
      <color theme="0"/>
      <name val="Audi Type"/>
      <family val="2"/>
    </font>
    <font>
      <sz val="3"/>
      <color theme="1"/>
      <name val="Audi Type"/>
      <family val="2"/>
    </font>
    <font>
      <sz val="3"/>
      <color theme="0"/>
      <name val="Audi Type"/>
      <family val="2"/>
    </font>
    <font>
      <sz val="72"/>
      <color theme="1"/>
      <name val="Audi Type"/>
      <family val="2"/>
    </font>
    <font>
      <b/>
      <sz val="16"/>
      <name val="Audi Type"/>
      <family val="2"/>
    </font>
    <font>
      <b/>
      <sz val="11"/>
      <name val="Audi Type"/>
      <family val="2"/>
    </font>
    <font>
      <sz val="90"/>
      <color theme="1"/>
      <name val="Audi Type"/>
      <family val="2"/>
    </font>
    <font>
      <sz val="10"/>
      <color rgb="FFFF0000"/>
      <name val="Audi Type"/>
      <family val="2"/>
    </font>
  </fonts>
  <fills count="9">
    <fill>
      <patternFill patternType="none"/>
    </fill>
    <fill>
      <patternFill patternType="gray125"/>
    </fill>
    <fill>
      <patternFill patternType="solid">
        <fgColor theme="0" tint="-0.14999847407452621"/>
        <bgColor indexed="64"/>
      </patternFill>
    </fill>
    <fill>
      <patternFill patternType="solid">
        <fgColor rgb="FFFF0000"/>
        <bgColor indexed="64"/>
      </patternFill>
    </fill>
    <fill>
      <patternFill patternType="solid">
        <fgColor theme="0"/>
        <bgColor indexed="64"/>
      </patternFill>
    </fill>
    <fill>
      <patternFill patternType="solid">
        <fgColor theme="8" tint="0.79998168889431442"/>
        <bgColor indexed="64"/>
      </patternFill>
    </fill>
    <fill>
      <patternFill patternType="solid">
        <fgColor theme="2"/>
        <bgColor indexed="64"/>
      </patternFill>
    </fill>
    <fill>
      <patternFill patternType="solid">
        <fgColor theme="4"/>
        <bgColor indexed="64"/>
      </patternFill>
    </fill>
    <fill>
      <patternFill patternType="solid">
        <fgColor rgb="FFFFFF00"/>
        <bgColor indexed="64"/>
      </patternFill>
    </fill>
  </fills>
  <borders count="56">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style="hair">
        <color auto="1"/>
      </top>
      <bottom style="hair">
        <color auto="1"/>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auto="1"/>
      </left>
      <right style="thin">
        <color auto="1"/>
      </right>
      <top/>
      <bottom style="hair">
        <color auto="1"/>
      </bottom>
      <diagonal/>
    </border>
    <border>
      <left style="thin">
        <color auto="1"/>
      </left>
      <right style="thin">
        <color auto="1"/>
      </right>
      <top style="hair">
        <color auto="1"/>
      </top>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right/>
      <top style="thin">
        <color indexed="64"/>
      </top>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right style="hair">
        <color auto="1"/>
      </right>
      <top/>
      <bottom style="hair">
        <color auto="1"/>
      </bottom>
      <diagonal/>
    </border>
    <border>
      <left/>
      <right style="hair">
        <color auto="1"/>
      </right>
      <top style="hair">
        <color auto="1"/>
      </top>
      <bottom style="hair">
        <color auto="1"/>
      </bottom>
      <diagonal/>
    </border>
    <border>
      <left/>
      <right/>
      <top style="medium">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top/>
      <bottom style="medium">
        <color theme="0"/>
      </bottom>
      <diagonal/>
    </border>
    <border>
      <left/>
      <right/>
      <top/>
      <bottom style="medium">
        <color theme="0"/>
      </bottom>
      <diagonal/>
    </border>
    <border>
      <left/>
      <right style="medium">
        <color indexed="64"/>
      </right>
      <top/>
      <bottom style="medium">
        <color theme="0"/>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style="medium">
        <color indexed="64"/>
      </right>
      <top style="medium">
        <color indexed="64"/>
      </top>
      <bottom/>
      <diagonal/>
    </border>
    <border>
      <left style="thin">
        <color indexed="64"/>
      </left>
      <right style="medium">
        <color indexed="64"/>
      </right>
      <top/>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diagonal/>
    </border>
    <border>
      <left style="medium">
        <color indexed="64"/>
      </left>
      <right/>
      <top style="medium">
        <color theme="0"/>
      </top>
      <bottom/>
      <diagonal/>
    </border>
    <border>
      <left/>
      <right/>
      <top style="medium">
        <color theme="0"/>
      </top>
      <bottom/>
      <diagonal/>
    </border>
    <border>
      <left/>
      <right style="medium">
        <color indexed="64"/>
      </right>
      <top style="medium">
        <color theme="0"/>
      </top>
      <bottom/>
      <diagonal/>
    </border>
  </borders>
  <cellStyleXfs count="4">
    <xf numFmtId="0" fontId="0" fillId="0" borderId="0"/>
    <xf numFmtId="9" fontId="3" fillId="0" borderId="0" applyFont="0" applyFill="0" applyBorder="0" applyAlignment="0" applyProtection="0"/>
    <xf numFmtId="0" fontId="9" fillId="0" borderId="0"/>
    <xf numFmtId="0" fontId="38" fillId="0" borderId="0" applyNumberFormat="0" applyFill="0" applyBorder="0" applyAlignment="0" applyProtection="0">
      <alignment vertical="top"/>
      <protection locked="0"/>
    </xf>
  </cellStyleXfs>
  <cellXfs count="377">
    <xf numFmtId="0" fontId="0" fillId="0" borderId="0" xfId="0"/>
    <xf numFmtId="0" fontId="4" fillId="0" borderId="0" xfId="0" applyFont="1"/>
    <xf numFmtId="0" fontId="4" fillId="4" borderId="0" xfId="0" applyFont="1" applyFill="1"/>
    <xf numFmtId="0" fontId="4" fillId="4" borderId="4" xfId="0" applyFont="1" applyFill="1" applyBorder="1"/>
    <xf numFmtId="0" fontId="7" fillId="4" borderId="5" xfId="0" applyFont="1" applyFill="1" applyBorder="1"/>
    <xf numFmtId="0" fontId="4" fillId="4" borderId="5" xfId="0" applyFont="1" applyFill="1" applyBorder="1"/>
    <xf numFmtId="0" fontId="4" fillId="4" borderId="6" xfId="0" applyFont="1" applyFill="1" applyBorder="1"/>
    <xf numFmtId="0" fontId="4" fillId="4" borderId="7" xfId="0" applyFont="1" applyFill="1" applyBorder="1"/>
    <xf numFmtId="0" fontId="4" fillId="4" borderId="8" xfId="0" applyFont="1" applyFill="1" applyBorder="1"/>
    <xf numFmtId="0" fontId="7" fillId="4" borderId="0" xfId="0" applyFont="1" applyFill="1"/>
    <xf numFmtId="49" fontId="11" fillId="0" borderId="0" xfId="2" applyNumberFormat="1" applyFont="1" applyProtection="1">
      <protection hidden="1"/>
    </xf>
    <xf numFmtId="49" fontId="10" fillId="0" borderId="0" xfId="2" applyNumberFormat="1" applyFont="1" applyProtection="1">
      <protection hidden="1"/>
    </xf>
    <xf numFmtId="49" fontId="10" fillId="0" borderId="0" xfId="2" applyNumberFormat="1" applyFont="1" applyAlignment="1">
      <alignment wrapText="1"/>
    </xf>
    <xf numFmtId="0" fontId="4" fillId="4" borderId="0" xfId="0" applyFont="1" applyFill="1" applyAlignment="1">
      <alignment horizontal="left" vertical="center"/>
    </xf>
    <xf numFmtId="0" fontId="4" fillId="4" borderId="0" xfId="0" applyFont="1" applyFill="1" applyAlignment="1">
      <alignment vertical="top"/>
    </xf>
    <xf numFmtId="0" fontId="4" fillId="4" borderId="0" xfId="0" applyFont="1" applyFill="1" applyAlignment="1">
      <alignment vertical="center"/>
    </xf>
    <xf numFmtId="0" fontId="4" fillId="4" borderId="0" xfId="0" applyFont="1" applyFill="1" applyAlignment="1">
      <alignment vertical="top" wrapText="1"/>
    </xf>
    <xf numFmtId="49" fontId="13" fillId="4" borderId="0" xfId="0" applyNumberFormat="1" applyFont="1" applyFill="1"/>
    <xf numFmtId="49" fontId="13" fillId="4" borderId="0" xfId="0" applyNumberFormat="1" applyFont="1" applyFill="1" applyAlignment="1">
      <alignment wrapText="1"/>
    </xf>
    <xf numFmtId="0" fontId="8" fillId="4" borderId="0" xfId="0" applyFont="1" applyFill="1" applyAlignment="1">
      <alignment horizontal="center" vertical="center"/>
    </xf>
    <xf numFmtId="0" fontId="4" fillId="2" borderId="1" xfId="0" applyFont="1" applyFill="1" applyBorder="1" applyAlignment="1" applyProtection="1">
      <alignment horizontal="left" vertical="center"/>
      <protection locked="0"/>
    </xf>
    <xf numFmtId="0" fontId="14" fillId="4" borderId="7" xfId="0" applyFont="1" applyFill="1" applyBorder="1"/>
    <xf numFmtId="0" fontId="14" fillId="4" borderId="0" xfId="0" applyFont="1" applyFill="1"/>
    <xf numFmtId="0" fontId="14" fillId="4" borderId="8" xfId="0" applyFont="1" applyFill="1" applyBorder="1"/>
    <xf numFmtId="49" fontId="15" fillId="4" borderId="0" xfId="0" applyNumberFormat="1" applyFont="1" applyFill="1"/>
    <xf numFmtId="0" fontId="14" fillId="4" borderId="0" xfId="0" applyFont="1" applyFill="1" applyAlignment="1">
      <alignment vertical="top"/>
    </xf>
    <xf numFmtId="0" fontId="14" fillId="4" borderId="0" xfId="0" applyFont="1" applyFill="1" applyAlignment="1">
      <alignment horizontal="left" vertical="center"/>
    </xf>
    <xf numFmtId="49" fontId="15" fillId="4" borderId="0" xfId="0" applyNumberFormat="1" applyFont="1" applyFill="1" applyAlignment="1">
      <alignment wrapText="1"/>
    </xf>
    <xf numFmtId="0" fontId="14" fillId="4" borderId="9" xfId="0" applyFont="1" applyFill="1" applyBorder="1"/>
    <xf numFmtId="0" fontId="14" fillId="4" borderId="10" xfId="0" applyFont="1" applyFill="1" applyBorder="1"/>
    <xf numFmtId="0" fontId="14" fillId="4" borderId="10" xfId="0" applyFont="1" applyFill="1" applyBorder="1" applyAlignment="1">
      <alignment horizontal="left" vertical="center"/>
    </xf>
    <xf numFmtId="0" fontId="14" fillId="4" borderId="11" xfId="0" applyFont="1" applyFill="1" applyBorder="1"/>
    <xf numFmtId="0" fontId="14" fillId="4" borderId="0" xfId="0" applyFont="1" applyFill="1" applyAlignment="1">
      <alignment vertical="center"/>
    </xf>
    <xf numFmtId="0" fontId="17" fillId="4" borderId="5" xfId="0" applyFont="1" applyFill="1" applyBorder="1"/>
    <xf numFmtId="0" fontId="17" fillId="4" borderId="0" xfId="0" applyFont="1" applyFill="1" applyAlignment="1">
      <alignment horizontal="left" vertical="center"/>
    </xf>
    <xf numFmtId="0" fontId="18" fillId="4" borderId="0" xfId="0" applyFont="1" applyFill="1" applyAlignment="1">
      <alignment horizontal="center" vertical="center"/>
    </xf>
    <xf numFmtId="0" fontId="16" fillId="4" borderId="8" xfId="0" applyFont="1" applyFill="1" applyBorder="1"/>
    <xf numFmtId="0" fontId="17" fillId="4" borderId="8" xfId="0" applyFont="1" applyFill="1" applyBorder="1"/>
    <xf numFmtId="0" fontId="5" fillId="4" borderId="0" xfId="0" applyFont="1" applyFill="1" applyAlignment="1">
      <alignment vertical="top"/>
    </xf>
    <xf numFmtId="0" fontId="19" fillId="4" borderId="7" xfId="0" applyFont="1" applyFill="1" applyBorder="1"/>
    <xf numFmtId="0" fontId="19" fillId="4" borderId="8" xfId="0" applyFont="1" applyFill="1" applyBorder="1"/>
    <xf numFmtId="0" fontId="19" fillId="4" borderId="0" xfId="0" applyFont="1" applyFill="1"/>
    <xf numFmtId="49" fontId="20" fillId="4" borderId="0" xfId="0" applyNumberFormat="1" applyFont="1" applyFill="1"/>
    <xf numFmtId="0" fontId="22" fillId="4" borderId="0" xfId="0" applyFont="1" applyFill="1"/>
    <xf numFmtId="0" fontId="4" fillId="4" borderId="0" xfId="0" applyFont="1" applyFill="1" applyAlignment="1">
      <alignment wrapText="1"/>
    </xf>
    <xf numFmtId="165" fontId="4" fillId="4" borderId="0" xfId="1" applyNumberFormat="1" applyFont="1" applyFill="1" applyBorder="1"/>
    <xf numFmtId="9" fontId="4" fillId="4" borderId="0" xfId="1" applyFont="1" applyFill="1" applyBorder="1" applyAlignment="1">
      <alignment horizontal="left"/>
    </xf>
    <xf numFmtId="164" fontId="4" fillId="4" borderId="0" xfId="1" applyNumberFormat="1" applyFont="1" applyFill="1" applyBorder="1" applyAlignment="1">
      <alignment horizontal="left"/>
    </xf>
    <xf numFmtId="0" fontId="14" fillId="4" borderId="4" xfId="0" applyFont="1" applyFill="1" applyBorder="1"/>
    <xf numFmtId="0" fontId="14" fillId="4" borderId="5" xfId="0" applyFont="1" applyFill="1" applyBorder="1"/>
    <xf numFmtId="0" fontId="14" fillId="4" borderId="6" xfId="0" applyFont="1" applyFill="1" applyBorder="1"/>
    <xf numFmtId="0" fontId="14" fillId="4" borderId="10" xfId="0" applyFont="1" applyFill="1" applyBorder="1" applyAlignment="1">
      <alignment horizontal="left" vertical="top"/>
    </xf>
    <xf numFmtId="0" fontId="17" fillId="4" borderId="6" xfId="0" applyFont="1" applyFill="1" applyBorder="1"/>
    <xf numFmtId="0" fontId="24" fillId="4" borderId="10" xfId="0" applyFont="1" applyFill="1" applyBorder="1" applyAlignment="1">
      <alignment horizontal="center"/>
    </xf>
    <xf numFmtId="0" fontId="5" fillId="0" borderId="0" xfId="0" applyFont="1" applyAlignment="1">
      <alignment wrapText="1"/>
    </xf>
    <xf numFmtId="49" fontId="25" fillId="0" borderId="0" xfId="0" applyNumberFormat="1" applyFont="1" applyAlignment="1">
      <alignment vertical="top"/>
    </xf>
    <xf numFmtId="0" fontId="5" fillId="0" borderId="0" xfId="0" applyFont="1"/>
    <xf numFmtId="0" fontId="4" fillId="0" borderId="0" xfId="0" applyFont="1" applyAlignment="1">
      <alignment horizontal="right"/>
    </xf>
    <xf numFmtId="0" fontId="5" fillId="4" borderId="0" xfId="0" applyFont="1" applyFill="1" applyAlignment="1">
      <alignment horizontal="right"/>
    </xf>
    <xf numFmtId="0" fontId="4" fillId="4" borderId="0" xfId="0" applyFont="1" applyFill="1" applyAlignment="1">
      <alignment horizontal="left" vertical="center" indent="1"/>
    </xf>
    <xf numFmtId="0" fontId="25" fillId="0" borderId="0" xfId="0" applyFont="1" applyAlignment="1">
      <alignment vertical="top"/>
    </xf>
    <xf numFmtId="10" fontId="25" fillId="0" borderId="0" xfId="1" applyNumberFormat="1" applyFont="1" applyAlignment="1">
      <alignment vertical="top"/>
    </xf>
    <xf numFmtId="10" fontId="4" fillId="0" borderId="0" xfId="1" applyNumberFormat="1" applyFont="1" applyBorder="1" applyAlignment="1">
      <alignment horizontal="right"/>
    </xf>
    <xf numFmtId="0" fontId="17" fillId="4" borderId="0" xfId="0" applyFont="1" applyFill="1"/>
    <xf numFmtId="0" fontId="27" fillId="4" borderId="0" xfId="0" applyFont="1" applyFill="1"/>
    <xf numFmtId="0" fontId="30" fillId="4" borderId="4" xfId="0" applyFont="1" applyFill="1" applyBorder="1" applyAlignment="1">
      <alignment horizontal="center" vertical="center"/>
    </xf>
    <xf numFmtId="0" fontId="30" fillId="4" borderId="5" xfId="0" applyFont="1" applyFill="1" applyBorder="1" applyAlignment="1">
      <alignment horizontal="center" vertical="center"/>
    </xf>
    <xf numFmtId="49" fontId="4" fillId="4" borderId="0" xfId="0" applyNumberFormat="1" applyFont="1" applyFill="1" applyAlignment="1">
      <alignment vertical="center"/>
    </xf>
    <xf numFmtId="0" fontId="28" fillId="4" borderId="0" xfId="0" applyFont="1" applyFill="1"/>
    <xf numFmtId="0" fontId="4" fillId="2" borderId="7" xfId="0" applyFont="1" applyFill="1" applyBorder="1"/>
    <xf numFmtId="0" fontId="4" fillId="2" borderId="0" xfId="0" applyFont="1" applyFill="1"/>
    <xf numFmtId="10" fontId="7" fillId="2" borderId="0" xfId="1" applyNumberFormat="1" applyFont="1" applyFill="1" applyBorder="1" applyAlignment="1">
      <alignment wrapText="1"/>
    </xf>
    <xf numFmtId="0" fontId="4" fillId="2" borderId="8" xfId="0" applyFont="1" applyFill="1" applyBorder="1"/>
    <xf numFmtId="0" fontId="6" fillId="2" borderId="0" xfId="0" applyFont="1" applyFill="1" applyAlignment="1">
      <alignment wrapText="1"/>
    </xf>
    <xf numFmtId="0" fontId="4" fillId="2" borderId="9" xfId="0" applyFont="1" applyFill="1" applyBorder="1"/>
    <xf numFmtId="0" fontId="4" fillId="2" borderId="10" xfId="0" applyFont="1" applyFill="1" applyBorder="1"/>
    <xf numFmtId="0" fontId="4" fillId="2" borderId="10" xfId="0" applyFont="1" applyFill="1" applyBorder="1" applyAlignment="1">
      <alignment wrapText="1"/>
    </xf>
    <xf numFmtId="0" fontId="4" fillId="2" borderId="11" xfId="0" applyFont="1" applyFill="1" applyBorder="1"/>
    <xf numFmtId="49" fontId="4" fillId="4" borderId="28" xfId="0" applyNumberFormat="1" applyFont="1" applyFill="1" applyBorder="1"/>
    <xf numFmtId="0" fontId="26" fillId="4" borderId="28" xfId="0" applyFont="1" applyFill="1" applyBorder="1" applyAlignment="1">
      <alignment wrapText="1"/>
    </xf>
    <xf numFmtId="0" fontId="4" fillId="4" borderId="28" xfId="0" applyFont="1" applyFill="1" applyBorder="1" applyAlignment="1">
      <alignment vertical="center"/>
    </xf>
    <xf numFmtId="49" fontId="4" fillId="4" borderId="12" xfId="0" applyNumberFormat="1" applyFont="1" applyFill="1" applyBorder="1" applyAlignment="1">
      <alignment vertical="center"/>
    </xf>
    <xf numFmtId="0" fontId="29" fillId="4" borderId="12" xfId="0" applyFont="1" applyFill="1" applyBorder="1" applyAlignment="1">
      <alignment vertical="top" wrapText="1"/>
    </xf>
    <xf numFmtId="0" fontId="4" fillId="4" borderId="12" xfId="0" applyFont="1" applyFill="1" applyBorder="1" applyAlignment="1">
      <alignment vertical="center"/>
    </xf>
    <xf numFmtId="0" fontId="4" fillId="4" borderId="29" xfId="0" applyFont="1" applyFill="1" applyBorder="1"/>
    <xf numFmtId="0" fontId="4" fillId="4" borderId="30" xfId="0" applyFont="1" applyFill="1" applyBorder="1"/>
    <xf numFmtId="0" fontId="4" fillId="4" borderId="31" xfId="0" applyFont="1" applyFill="1" applyBorder="1"/>
    <xf numFmtId="0" fontId="4" fillId="4" borderId="32" xfId="0" applyFont="1" applyFill="1" applyBorder="1"/>
    <xf numFmtId="49" fontId="4" fillId="4" borderId="5" xfId="0" applyNumberFormat="1" applyFont="1" applyFill="1" applyBorder="1"/>
    <xf numFmtId="0" fontId="4" fillId="4" borderId="5" xfId="0" applyFont="1" applyFill="1" applyBorder="1" applyAlignment="1">
      <alignment vertical="center"/>
    </xf>
    <xf numFmtId="0" fontId="4" fillId="0" borderId="0" xfId="0" quotePrefix="1" applyFont="1"/>
    <xf numFmtId="10" fontId="10" fillId="4" borderId="33" xfId="0" applyNumberFormat="1" applyFont="1" applyFill="1" applyBorder="1" applyAlignment="1">
      <alignment horizontal="center"/>
    </xf>
    <xf numFmtId="10" fontId="10" fillId="4" borderId="34" xfId="0" applyNumberFormat="1" applyFont="1" applyFill="1" applyBorder="1" applyAlignment="1">
      <alignment horizontal="center"/>
    </xf>
    <xf numFmtId="10" fontId="31" fillId="4" borderId="25" xfId="0" applyNumberFormat="1" applyFont="1" applyFill="1" applyBorder="1" applyAlignment="1">
      <alignment horizontal="center" vertical="center"/>
    </xf>
    <xf numFmtId="10" fontId="26" fillId="4" borderId="25" xfId="0" applyNumberFormat="1" applyFont="1" applyFill="1" applyBorder="1" applyAlignment="1">
      <alignment horizontal="center" vertical="center"/>
    </xf>
    <xf numFmtId="49" fontId="4" fillId="4" borderId="0" xfId="0" applyNumberFormat="1" applyFont="1" applyFill="1" applyAlignment="1">
      <alignment horizontal="left" vertical="top" wrapText="1"/>
    </xf>
    <xf numFmtId="10" fontId="31" fillId="4" borderId="25" xfId="1" applyNumberFormat="1" applyFont="1" applyFill="1" applyBorder="1" applyAlignment="1">
      <alignment horizontal="center" vertical="center"/>
    </xf>
    <xf numFmtId="0" fontId="12" fillId="4" borderId="0" xfId="0" applyFont="1" applyFill="1"/>
    <xf numFmtId="0" fontId="33" fillId="4" borderId="0" xfId="0" applyFont="1" applyFill="1"/>
    <xf numFmtId="0" fontId="6" fillId="4" borderId="0" xfId="0" applyFont="1" applyFill="1"/>
    <xf numFmtId="0" fontId="34" fillId="4" borderId="0" xfId="0" applyFont="1" applyFill="1" applyAlignment="1">
      <alignment vertical="top"/>
    </xf>
    <xf numFmtId="0" fontId="6" fillId="2" borderId="5" xfId="0" applyFont="1" applyFill="1" applyBorder="1"/>
    <xf numFmtId="0" fontId="6" fillId="2" borderId="28" xfId="0" applyFont="1" applyFill="1" applyBorder="1"/>
    <xf numFmtId="0" fontId="35" fillId="4" borderId="3" xfId="0" applyFont="1" applyFill="1" applyBorder="1"/>
    <xf numFmtId="0" fontId="14" fillId="4" borderId="31" xfId="0" applyFont="1" applyFill="1" applyBorder="1"/>
    <xf numFmtId="0" fontId="14" fillId="4" borderId="12" xfId="0" applyFont="1" applyFill="1" applyBorder="1"/>
    <xf numFmtId="0" fontId="14" fillId="4" borderId="32" xfId="0" applyFont="1" applyFill="1" applyBorder="1"/>
    <xf numFmtId="10" fontId="14" fillId="4" borderId="12" xfId="0" applyNumberFormat="1" applyFont="1" applyFill="1" applyBorder="1"/>
    <xf numFmtId="14" fontId="14" fillId="4" borderId="5" xfId="0" applyNumberFormat="1" applyFont="1" applyFill="1" applyBorder="1"/>
    <xf numFmtId="14" fontId="14" fillId="4" borderId="5" xfId="0" applyNumberFormat="1" applyFont="1" applyFill="1" applyBorder="1" applyAlignment="1">
      <alignment horizontal="left"/>
    </xf>
    <xf numFmtId="0" fontId="7" fillId="4" borderId="27" xfId="0" applyFont="1" applyFill="1" applyBorder="1"/>
    <xf numFmtId="0" fontId="17" fillId="4" borderId="3" xfId="0" applyFont="1" applyFill="1" applyBorder="1"/>
    <xf numFmtId="0" fontId="4" fillId="6" borderId="0" xfId="0" applyFont="1" applyFill="1"/>
    <xf numFmtId="0" fontId="23" fillId="4" borderId="8" xfId="0" applyFont="1" applyFill="1" applyBorder="1"/>
    <xf numFmtId="0" fontId="13" fillId="7" borderId="7" xfId="0" applyFont="1" applyFill="1" applyBorder="1"/>
    <xf numFmtId="0" fontId="13" fillId="7" borderId="8" xfId="0" applyFont="1" applyFill="1" applyBorder="1"/>
    <xf numFmtId="0" fontId="15" fillId="7" borderId="7" xfId="0" applyFont="1" applyFill="1" applyBorder="1"/>
    <xf numFmtId="0" fontId="15" fillId="7" borderId="8" xfId="0" applyFont="1" applyFill="1" applyBorder="1"/>
    <xf numFmtId="0" fontId="4" fillId="4" borderId="22" xfId="0" applyFont="1" applyFill="1" applyBorder="1" applyAlignment="1">
      <alignment horizontal="center" vertical="center" wrapText="1"/>
    </xf>
    <xf numFmtId="0" fontId="4" fillId="4" borderId="23" xfId="0" applyFont="1" applyFill="1" applyBorder="1" applyAlignment="1">
      <alignment horizontal="center" vertical="center" wrapText="1"/>
    </xf>
    <xf numFmtId="0" fontId="4" fillId="4" borderId="39" xfId="0" applyFont="1" applyFill="1" applyBorder="1" applyAlignment="1">
      <alignment vertical="center"/>
    </xf>
    <xf numFmtId="0" fontId="4" fillId="4" borderId="40" xfId="0" applyFont="1" applyFill="1" applyBorder="1" applyAlignment="1">
      <alignment vertical="center"/>
    </xf>
    <xf numFmtId="0" fontId="33" fillId="4" borderId="8" xfId="0" applyFont="1" applyFill="1" applyBorder="1"/>
    <xf numFmtId="0" fontId="39" fillId="4" borderId="15" xfId="3" applyFont="1" applyFill="1" applyBorder="1" applyAlignment="1" applyProtection="1">
      <alignment horizontal="center" vertical="top"/>
    </xf>
    <xf numFmtId="0" fontId="39" fillId="4" borderId="17" xfId="3" applyFont="1" applyFill="1" applyBorder="1" applyAlignment="1" applyProtection="1">
      <alignment horizontal="center" vertical="top"/>
    </xf>
    <xf numFmtId="0" fontId="39" fillId="4" borderId="0" xfId="3" applyFont="1" applyFill="1" applyBorder="1" applyAlignment="1" applyProtection="1">
      <alignment horizontal="left" vertical="center"/>
    </xf>
    <xf numFmtId="9" fontId="4" fillId="0" borderId="0" xfId="0" applyNumberFormat="1" applyFont="1" applyAlignment="1">
      <alignment horizontal="left"/>
    </xf>
    <xf numFmtId="0" fontId="40" fillId="4" borderId="0" xfId="0" applyFont="1" applyFill="1" applyAlignment="1">
      <alignment horizontal="center" vertical="center"/>
    </xf>
    <xf numFmtId="0" fontId="5" fillId="4" borderId="0" xfId="0" applyFont="1" applyFill="1" applyAlignment="1">
      <alignment horizontal="center" vertical="center"/>
    </xf>
    <xf numFmtId="0" fontId="30" fillId="4" borderId="0" xfId="0" applyFont="1" applyFill="1" applyAlignment="1">
      <alignment horizontal="center" vertical="center"/>
    </xf>
    <xf numFmtId="0" fontId="30" fillId="4" borderId="7" xfId="0" applyFont="1" applyFill="1" applyBorder="1" applyAlignment="1">
      <alignment horizontal="center" vertical="center"/>
    </xf>
    <xf numFmtId="0" fontId="30" fillId="4" borderId="8" xfId="0" applyFont="1" applyFill="1" applyBorder="1" applyAlignment="1">
      <alignment horizontal="center" vertical="center"/>
    </xf>
    <xf numFmtId="0" fontId="5" fillId="4" borderId="7" xfId="0" applyFont="1" applyFill="1" applyBorder="1" applyAlignment="1">
      <alignment horizontal="center" vertical="center"/>
    </xf>
    <xf numFmtId="0" fontId="5" fillId="4" borderId="8" xfId="0" applyFont="1" applyFill="1" applyBorder="1" applyAlignment="1">
      <alignment horizontal="center" vertical="center"/>
    </xf>
    <xf numFmtId="0" fontId="4" fillId="4" borderId="44" xfId="0" applyFont="1" applyFill="1" applyBorder="1"/>
    <xf numFmtId="0" fontId="4" fillId="4" borderId="44" xfId="0" applyFont="1" applyFill="1" applyBorder="1" applyAlignment="1">
      <alignment horizontal="left" vertical="center"/>
    </xf>
    <xf numFmtId="0" fontId="13" fillId="4" borderId="0" xfId="0" applyFont="1" applyFill="1" applyAlignment="1">
      <alignment horizontal="left" vertical="top" wrapText="1"/>
    </xf>
    <xf numFmtId="0" fontId="13" fillId="4" borderId="0" xfId="0" applyFont="1" applyFill="1"/>
    <xf numFmtId="0" fontId="15" fillId="4" borderId="0" xfId="0" applyFont="1" applyFill="1"/>
    <xf numFmtId="0" fontId="15" fillId="4" borderId="0" xfId="0" applyFont="1" applyFill="1" applyAlignment="1">
      <alignment horizontal="left" vertical="top" wrapText="1"/>
    </xf>
    <xf numFmtId="0" fontId="14" fillId="4" borderId="0" xfId="0" applyFont="1" applyFill="1" applyAlignment="1" applyProtection="1">
      <alignment horizontal="left" vertical="center" wrapText="1"/>
      <protection locked="0"/>
    </xf>
    <xf numFmtId="10" fontId="41" fillId="4" borderId="0" xfId="1" applyNumberFormat="1" applyFont="1" applyFill="1" applyBorder="1" applyAlignment="1">
      <alignment horizontal="center" vertical="center"/>
    </xf>
    <xf numFmtId="10" fontId="4" fillId="0" borderId="0" xfId="1" applyNumberFormat="1" applyFont="1" applyBorder="1"/>
    <xf numFmtId="0" fontId="5" fillId="0" borderId="0" xfId="0" applyFont="1" applyAlignment="1">
      <alignment horizontal="left"/>
    </xf>
    <xf numFmtId="0" fontId="43" fillId="4" borderId="8" xfId="0" applyFont="1" applyFill="1" applyBorder="1"/>
    <xf numFmtId="0" fontId="34" fillId="0" borderId="0" xfId="0" applyFont="1" applyAlignment="1">
      <alignment horizontal="center" vertical="center"/>
    </xf>
    <xf numFmtId="0" fontId="34" fillId="0" borderId="0" xfId="0" applyFont="1" applyAlignment="1">
      <alignment horizontal="center"/>
    </xf>
    <xf numFmtId="0" fontId="13" fillId="4" borderId="7" xfId="0" applyFont="1" applyFill="1" applyBorder="1"/>
    <xf numFmtId="0" fontId="10" fillId="0" borderId="0" xfId="0" applyFont="1"/>
    <xf numFmtId="0" fontId="28" fillId="4" borderId="30" xfId="0" applyFont="1" applyFill="1" applyBorder="1"/>
    <xf numFmtId="0" fontId="26" fillId="4" borderId="28" xfId="0" applyFont="1" applyFill="1" applyBorder="1" applyAlignment="1">
      <alignment vertical="center" wrapText="1"/>
    </xf>
    <xf numFmtId="0" fontId="37" fillId="4" borderId="8" xfId="0" applyFont="1" applyFill="1" applyBorder="1"/>
    <xf numFmtId="0" fontId="26" fillId="4" borderId="5" xfId="0" applyFont="1" applyFill="1" applyBorder="1" applyAlignment="1">
      <alignment vertical="center" wrapText="1"/>
    </xf>
    <xf numFmtId="0" fontId="44" fillId="4" borderId="8" xfId="0" applyFont="1" applyFill="1" applyBorder="1"/>
    <xf numFmtId="0" fontId="23" fillId="2" borderId="8" xfId="0" applyFont="1" applyFill="1" applyBorder="1"/>
    <xf numFmtId="0" fontId="41" fillId="4" borderId="46" xfId="0" applyFont="1" applyFill="1" applyBorder="1" applyAlignment="1">
      <alignment horizontal="center" vertical="center"/>
    </xf>
    <xf numFmtId="0" fontId="41" fillId="4" borderId="47" xfId="0" applyFont="1" applyFill="1" applyBorder="1" applyAlignment="1">
      <alignment horizontal="center" vertical="center"/>
    </xf>
    <xf numFmtId="0" fontId="26" fillId="4" borderId="26" xfId="0" applyFont="1" applyFill="1" applyBorder="1" applyAlignment="1">
      <alignment horizontal="center" vertical="center"/>
    </xf>
    <xf numFmtId="10" fontId="10" fillId="0" borderId="0" xfId="0" applyNumberFormat="1" applyFont="1"/>
    <xf numFmtId="0" fontId="13" fillId="4" borderId="0" xfId="0" applyFont="1" applyFill="1" applyAlignment="1">
      <alignment wrapText="1"/>
    </xf>
    <xf numFmtId="0" fontId="14" fillId="4" borderId="12" xfId="0" applyFont="1" applyFill="1" applyBorder="1" applyAlignment="1">
      <alignment horizontal="left" vertical="top"/>
    </xf>
    <xf numFmtId="0" fontId="6" fillId="2" borderId="28" xfId="0" applyFont="1" applyFill="1" applyBorder="1" applyAlignment="1">
      <alignment horizontal="left" vertical="top"/>
    </xf>
    <xf numFmtId="10" fontId="5" fillId="2" borderId="0" xfId="1" applyNumberFormat="1" applyFont="1" applyFill="1" applyBorder="1"/>
    <xf numFmtId="0" fontId="10" fillId="2" borderId="0" xfId="0" applyFont="1" applyFill="1"/>
    <xf numFmtId="0" fontId="4" fillId="7" borderId="7" xfId="0" applyFont="1" applyFill="1" applyBorder="1"/>
    <xf numFmtId="0" fontId="4" fillId="7" borderId="8" xfId="0" applyFont="1" applyFill="1" applyBorder="1"/>
    <xf numFmtId="0" fontId="20" fillId="7" borderId="7" xfId="0" applyFont="1" applyFill="1" applyBorder="1"/>
    <xf numFmtId="0" fontId="20" fillId="7" borderId="8" xfId="0" applyFont="1" applyFill="1" applyBorder="1"/>
    <xf numFmtId="0" fontId="39" fillId="4" borderId="0" xfId="3" applyFont="1" applyFill="1" applyAlignment="1" applyProtection="1"/>
    <xf numFmtId="0" fontId="4" fillId="4" borderId="30" xfId="0" applyFont="1" applyFill="1" applyBorder="1" applyAlignment="1">
      <alignment vertical="center"/>
    </xf>
    <xf numFmtId="0" fontId="4" fillId="4" borderId="48" xfId="0" applyFont="1" applyFill="1" applyBorder="1" applyAlignment="1">
      <alignment vertical="center"/>
    </xf>
    <xf numFmtId="0" fontId="2" fillId="0" borderId="0" xfId="0" applyFont="1" applyAlignment="1">
      <alignment horizontal="left"/>
    </xf>
    <xf numFmtId="0" fontId="5" fillId="0" borderId="0" xfId="0" applyFont="1" applyAlignment="1">
      <alignment horizontal="center" textRotation="90" wrapText="1"/>
    </xf>
    <xf numFmtId="0" fontId="4" fillId="0" borderId="0" xfId="0" applyFont="1" applyAlignment="1">
      <alignment horizontal="center" textRotation="90"/>
    </xf>
    <xf numFmtId="10" fontId="25" fillId="0" borderId="0" xfId="1" applyNumberFormat="1" applyFont="1" applyFill="1" applyAlignment="1">
      <alignment vertical="top"/>
    </xf>
    <xf numFmtId="10" fontId="4" fillId="0" borderId="0" xfId="1" applyNumberFormat="1" applyFont="1" applyFill="1" applyBorder="1" applyAlignment="1">
      <alignment horizontal="right"/>
    </xf>
    <xf numFmtId="0" fontId="46" fillId="0" borderId="0" xfId="0" applyFont="1"/>
    <xf numFmtId="0" fontId="48" fillId="0" borderId="0" xfId="0" applyFont="1"/>
    <xf numFmtId="49" fontId="14" fillId="4" borderId="5" xfId="0" applyNumberFormat="1" applyFont="1" applyFill="1" applyBorder="1"/>
    <xf numFmtId="49" fontId="6" fillId="4" borderId="0" xfId="0" applyNumberFormat="1" applyFont="1" applyFill="1"/>
    <xf numFmtId="49" fontId="14" fillId="4" borderId="10" xfId="0" applyNumberFormat="1" applyFont="1" applyFill="1" applyBorder="1"/>
    <xf numFmtId="49" fontId="14" fillId="4" borderId="12" xfId="0" applyNumberFormat="1" applyFont="1" applyFill="1" applyBorder="1"/>
    <xf numFmtId="49" fontId="12" fillId="4" borderId="0" xfId="0" applyNumberFormat="1" applyFont="1" applyFill="1"/>
    <xf numFmtId="0" fontId="6" fillId="2" borderId="0" xfId="0" applyFont="1" applyFill="1"/>
    <xf numFmtId="0" fontId="6" fillId="2" borderId="0" xfId="0" applyFont="1" applyFill="1" applyAlignment="1">
      <alignment horizontal="left" vertical="top"/>
    </xf>
    <xf numFmtId="0" fontId="45" fillId="4" borderId="0" xfId="0" applyFont="1" applyFill="1" applyAlignment="1">
      <alignment horizontal="center" vertical="center"/>
    </xf>
    <xf numFmtId="0" fontId="23" fillId="4" borderId="7" xfId="0" applyFont="1" applyFill="1" applyBorder="1"/>
    <xf numFmtId="0" fontId="49" fillId="7" borderId="0" xfId="0" applyFont="1" applyFill="1"/>
    <xf numFmtId="0" fontId="50" fillId="7" borderId="0" xfId="0" applyFont="1" applyFill="1"/>
    <xf numFmtId="0" fontId="51" fillId="7" borderId="0" xfId="0" applyFont="1" applyFill="1"/>
    <xf numFmtId="0" fontId="15" fillId="7" borderId="0" xfId="0" applyFont="1" applyFill="1"/>
    <xf numFmtId="0" fontId="33" fillId="2" borderId="8" xfId="0" applyFont="1" applyFill="1" applyBorder="1"/>
    <xf numFmtId="0" fontId="41" fillId="4" borderId="0" xfId="0" applyFont="1" applyFill="1" applyAlignment="1">
      <alignment vertical="center"/>
    </xf>
    <xf numFmtId="0" fontId="6" fillId="4" borderId="0" xfId="0" applyFont="1" applyFill="1" applyAlignment="1">
      <alignment vertical="top"/>
    </xf>
    <xf numFmtId="0" fontId="46" fillId="4" borderId="7" xfId="0" applyFont="1" applyFill="1" applyBorder="1" applyAlignment="1">
      <alignment wrapText="1"/>
    </xf>
    <xf numFmtId="0" fontId="46" fillId="4" borderId="0" xfId="0" applyFont="1" applyFill="1" applyAlignment="1">
      <alignment vertical="top" wrapText="1"/>
    </xf>
    <xf numFmtId="0" fontId="46" fillId="4" borderId="8" xfId="0" applyFont="1" applyFill="1" applyBorder="1" applyAlignment="1">
      <alignment wrapText="1"/>
    </xf>
    <xf numFmtId="0" fontId="14" fillId="4" borderId="10" xfId="0" applyFont="1" applyFill="1" applyBorder="1" applyAlignment="1">
      <alignment wrapText="1"/>
    </xf>
    <xf numFmtId="0" fontId="13" fillId="7" borderId="53" xfId="0" applyFont="1" applyFill="1" applyBorder="1"/>
    <xf numFmtId="0" fontId="49" fillId="7" borderId="54" xfId="0" applyFont="1" applyFill="1" applyBorder="1"/>
    <xf numFmtId="0" fontId="13" fillId="7" borderId="55" xfId="0" applyFont="1" applyFill="1" applyBorder="1"/>
    <xf numFmtId="0" fontId="49" fillId="4" borderId="0" xfId="0" applyFont="1" applyFill="1"/>
    <xf numFmtId="0" fontId="15" fillId="7" borderId="9" xfId="0" applyFont="1" applyFill="1" applyBorder="1"/>
    <xf numFmtId="0" fontId="49" fillId="7" borderId="10" xfId="0" applyFont="1" applyFill="1" applyBorder="1"/>
    <xf numFmtId="0" fontId="15" fillId="7" borderId="11" xfId="0" applyFont="1" applyFill="1" applyBorder="1"/>
    <xf numFmtId="0" fontId="52" fillId="4" borderId="7" xfId="0" applyFont="1" applyFill="1" applyBorder="1"/>
    <xf numFmtId="0" fontId="53" fillId="4" borderId="12" xfId="0" applyFont="1" applyFill="1" applyBorder="1"/>
    <xf numFmtId="0" fontId="52" fillId="4" borderId="12" xfId="0" applyFont="1" applyFill="1" applyBorder="1"/>
    <xf numFmtId="0" fontId="52" fillId="4" borderId="8" xfId="0" applyFont="1" applyFill="1" applyBorder="1"/>
    <xf numFmtId="0" fontId="52" fillId="4" borderId="0" xfId="0" applyFont="1" applyFill="1"/>
    <xf numFmtId="49" fontId="54" fillId="4" borderId="0" xfId="0" applyNumberFormat="1" applyFont="1" applyFill="1"/>
    <xf numFmtId="0" fontId="55" fillId="4" borderId="7" xfId="0" applyFont="1" applyFill="1" applyBorder="1"/>
    <xf numFmtId="0" fontId="55" fillId="4" borderId="0" xfId="0" applyFont="1" applyFill="1"/>
    <xf numFmtId="0" fontId="55" fillId="4" borderId="8" xfId="0" applyFont="1" applyFill="1" applyBorder="1"/>
    <xf numFmtId="49" fontId="56" fillId="4" borderId="0" xfId="0" applyNumberFormat="1" applyFont="1" applyFill="1"/>
    <xf numFmtId="0" fontId="26" fillId="4" borderId="0" xfId="0" applyFont="1" applyFill="1" applyAlignment="1">
      <alignment vertical="center" wrapText="1"/>
    </xf>
    <xf numFmtId="0" fontId="5" fillId="0" borderId="0" xfId="0" applyFont="1" applyAlignment="1">
      <alignment horizontal="center"/>
    </xf>
    <xf numFmtId="0" fontId="5" fillId="2" borderId="0" xfId="0" applyFont="1" applyFill="1" applyAlignment="1">
      <alignment horizontal="left"/>
    </xf>
    <xf numFmtId="49" fontId="4" fillId="4" borderId="28" xfId="0" applyNumberFormat="1" applyFont="1" applyFill="1" applyBorder="1" applyAlignment="1">
      <alignment vertical="center"/>
    </xf>
    <xf numFmtId="0" fontId="57" fillId="4" borderId="8" xfId="0" applyFont="1" applyFill="1" applyBorder="1"/>
    <xf numFmtId="49" fontId="4" fillId="4" borderId="5" xfId="0" applyNumberFormat="1" applyFont="1" applyFill="1" applyBorder="1" applyAlignment="1">
      <alignment vertical="center"/>
    </xf>
    <xf numFmtId="0" fontId="17" fillId="4" borderId="29" xfId="0" applyFont="1" applyFill="1" applyBorder="1" applyAlignment="1">
      <alignment vertical="center"/>
    </xf>
    <xf numFmtId="0" fontId="17" fillId="4" borderId="28" xfId="0" applyFont="1" applyFill="1" applyBorder="1" applyAlignment="1">
      <alignment vertical="center"/>
    </xf>
    <xf numFmtId="0" fontId="17" fillId="4" borderId="7" xfId="0" applyFont="1" applyFill="1" applyBorder="1" applyAlignment="1">
      <alignment vertical="center"/>
    </xf>
    <xf numFmtId="0" fontId="17" fillId="4" borderId="8" xfId="0" applyFont="1" applyFill="1" applyBorder="1" applyAlignment="1">
      <alignment vertical="center"/>
    </xf>
    <xf numFmtId="0" fontId="4" fillId="4" borderId="40" xfId="0" applyFont="1" applyFill="1" applyBorder="1" applyAlignment="1">
      <alignment vertical="center" wrapText="1"/>
    </xf>
    <xf numFmtId="0" fontId="28" fillId="4" borderId="8" xfId="0" applyFont="1" applyFill="1" applyBorder="1"/>
    <xf numFmtId="9" fontId="4" fillId="4" borderId="18" xfId="1" applyFont="1" applyFill="1" applyBorder="1" applyAlignment="1">
      <alignment horizontal="right" vertical="center"/>
    </xf>
    <xf numFmtId="9" fontId="4" fillId="4" borderId="19" xfId="1" applyFont="1" applyFill="1" applyBorder="1" applyAlignment="1">
      <alignment horizontal="right" vertical="center"/>
    </xf>
    <xf numFmtId="9" fontId="4" fillId="4" borderId="20" xfId="1" applyFont="1" applyFill="1" applyBorder="1" applyAlignment="1">
      <alignment horizontal="right" vertical="center"/>
    </xf>
    <xf numFmtId="9" fontId="4" fillId="4" borderId="21" xfId="1" applyFont="1" applyFill="1" applyBorder="1" applyAlignment="1">
      <alignment horizontal="right" vertical="center"/>
    </xf>
    <xf numFmtId="9" fontId="4" fillId="4" borderId="49" xfId="1" applyFont="1" applyFill="1" applyBorder="1" applyAlignment="1">
      <alignment horizontal="right" vertical="center"/>
    </xf>
    <xf numFmtId="9" fontId="4" fillId="4" borderId="50" xfId="1" applyFont="1" applyFill="1" applyBorder="1" applyAlignment="1">
      <alignment horizontal="right" vertical="center"/>
    </xf>
    <xf numFmtId="0" fontId="39" fillId="4" borderId="16" xfId="3" applyFont="1" applyFill="1" applyBorder="1" applyAlignment="1" applyProtection="1">
      <alignment horizontal="center" vertical="top"/>
    </xf>
    <xf numFmtId="0" fontId="4" fillId="0" borderId="0" xfId="0" applyFont="1" applyAlignment="1">
      <alignment horizontal="left"/>
    </xf>
    <xf numFmtId="0" fontId="4" fillId="4" borderId="44" xfId="0" applyFont="1" applyFill="1" applyBorder="1" applyAlignment="1">
      <alignment vertical="top"/>
    </xf>
    <xf numFmtId="168" fontId="4" fillId="2" borderId="0" xfId="0" applyNumberFormat="1" applyFont="1" applyFill="1" applyAlignment="1" applyProtection="1">
      <alignment horizontal="left" vertical="top"/>
      <protection locked="0"/>
    </xf>
    <xf numFmtId="0" fontId="60" fillId="4" borderId="8" xfId="0" applyFont="1" applyFill="1" applyBorder="1"/>
    <xf numFmtId="0" fontId="22" fillId="4" borderId="28" xfId="0" applyFont="1" applyFill="1" applyBorder="1" applyAlignment="1">
      <alignment vertical="center"/>
    </xf>
    <xf numFmtId="0" fontId="61" fillId="4" borderId="0" xfId="0" applyFont="1" applyFill="1"/>
    <xf numFmtId="166" fontId="4" fillId="4" borderId="0" xfId="0" applyNumberFormat="1" applyFont="1" applyFill="1" applyAlignment="1">
      <alignment horizontal="left" vertical="top" wrapText="1"/>
    </xf>
    <xf numFmtId="0" fontId="4" fillId="4" borderId="0" xfId="0" applyFont="1" applyFill="1" applyAlignment="1">
      <alignment horizontal="left" vertical="top" wrapText="1"/>
    </xf>
    <xf numFmtId="0" fontId="26" fillId="4" borderId="0" xfId="0" applyFont="1" applyFill="1" applyAlignment="1">
      <alignment wrapText="1"/>
    </xf>
    <xf numFmtId="14" fontId="14" fillId="4" borderId="5" xfId="0" applyNumberFormat="1" applyFont="1" applyFill="1" applyBorder="1" applyAlignment="1">
      <alignment horizontal="center"/>
    </xf>
    <xf numFmtId="0" fontId="6" fillId="4" borderId="0" xfId="0" applyFont="1" applyFill="1" applyAlignment="1">
      <alignment horizontal="center" vertical="top"/>
    </xf>
    <xf numFmtId="0" fontId="46" fillId="4" borderId="0" xfId="0" applyFont="1" applyFill="1" applyAlignment="1">
      <alignment horizontal="center" vertical="top" wrapText="1"/>
    </xf>
    <xf numFmtId="0" fontId="14" fillId="4" borderId="10" xfId="0" applyFont="1" applyFill="1" applyBorder="1" applyAlignment="1">
      <alignment horizontal="center"/>
    </xf>
    <xf numFmtId="0" fontId="14" fillId="4" borderId="0" xfId="0" applyFont="1" applyFill="1" applyAlignment="1">
      <alignment horizontal="center"/>
    </xf>
    <xf numFmtId="0" fontId="12" fillId="4" borderId="0" xfId="0" applyFont="1" applyFill="1" applyAlignment="1">
      <alignment horizontal="center"/>
    </xf>
    <xf numFmtId="168" fontId="5" fillId="2" borderId="0" xfId="0" applyNumberFormat="1" applyFont="1" applyFill="1" applyAlignment="1" applyProtection="1">
      <alignment horizontal="left" vertical="top"/>
      <protection locked="0"/>
    </xf>
    <xf numFmtId="0" fontId="10" fillId="4" borderId="0" xfId="0" applyFont="1" applyFill="1"/>
    <xf numFmtId="14" fontId="52" fillId="4" borderId="0" xfId="0" applyNumberFormat="1" applyFont="1" applyFill="1" applyAlignment="1">
      <alignment horizontal="left"/>
    </xf>
    <xf numFmtId="49" fontId="1" fillId="4" borderId="16" xfId="0" applyNumberFormat="1" applyFont="1" applyFill="1" applyBorder="1" applyAlignment="1">
      <alignment vertical="top"/>
    </xf>
    <xf numFmtId="49" fontId="1" fillId="4" borderId="16" xfId="0" applyNumberFormat="1" applyFont="1" applyFill="1" applyBorder="1" applyAlignment="1">
      <alignment vertical="top" wrapText="1"/>
    </xf>
    <xf numFmtId="0" fontId="8" fillId="5" borderId="10" xfId="0" applyFont="1" applyFill="1" applyBorder="1" applyAlignment="1">
      <alignment horizontal="center" vertical="center"/>
    </xf>
    <xf numFmtId="0" fontId="4" fillId="2" borderId="15" xfId="0" applyFont="1" applyFill="1" applyBorder="1" applyAlignment="1" applyProtection="1">
      <alignment horizontal="left" vertical="top" wrapText="1"/>
      <protection locked="0"/>
    </xf>
    <xf numFmtId="0" fontId="4" fillId="2" borderId="15" xfId="0" applyFont="1" applyFill="1" applyBorder="1" applyAlignment="1" applyProtection="1">
      <alignment horizontal="left" vertical="top"/>
      <protection locked="0"/>
    </xf>
    <xf numFmtId="0" fontId="42" fillId="3" borderId="13" xfId="0" applyFont="1" applyFill="1" applyBorder="1" applyAlignment="1">
      <alignment horizontal="center" vertical="center"/>
    </xf>
    <xf numFmtId="0" fontId="42" fillId="3" borderId="45" xfId="0" applyFont="1" applyFill="1" applyBorder="1" applyAlignment="1">
      <alignment horizontal="center" vertical="center"/>
    </xf>
    <xf numFmtId="0" fontId="42" fillId="3" borderId="14" xfId="0" applyFont="1" applyFill="1" applyBorder="1" applyAlignment="1">
      <alignment horizontal="center" vertical="center"/>
    </xf>
    <xf numFmtId="0" fontId="4" fillId="2" borderId="0" xfId="0" applyFont="1" applyFill="1" applyAlignment="1" applyProtection="1">
      <alignment horizontal="left" vertical="top" wrapText="1"/>
      <protection locked="0"/>
    </xf>
    <xf numFmtId="0" fontId="4" fillId="2" borderId="16" xfId="0" applyFont="1" applyFill="1" applyBorder="1" applyAlignment="1" applyProtection="1">
      <alignment horizontal="left" vertical="top"/>
      <protection locked="0"/>
    </xf>
    <xf numFmtId="0" fontId="4" fillId="2" borderId="17" xfId="0" applyFont="1" applyFill="1" applyBorder="1" applyAlignment="1" applyProtection="1">
      <alignment horizontal="left" vertical="top"/>
      <protection locked="0"/>
    </xf>
    <xf numFmtId="0" fontId="6" fillId="2" borderId="0" xfId="0" applyFont="1" applyFill="1" applyAlignment="1" applyProtection="1">
      <alignment horizontal="left" vertical="center"/>
      <protection locked="0"/>
    </xf>
    <xf numFmtId="0" fontId="4" fillId="2" borderId="16" xfId="0" applyFont="1" applyFill="1" applyBorder="1" applyAlignment="1" applyProtection="1">
      <alignment horizontal="left" vertical="top" wrapText="1"/>
      <protection locked="0"/>
    </xf>
    <xf numFmtId="9" fontId="21" fillId="7" borderId="9" xfId="1" applyFont="1" applyFill="1" applyBorder="1" applyAlignment="1" applyProtection="1">
      <alignment horizontal="left" vertical="top"/>
      <protection locked="0"/>
    </xf>
    <xf numFmtId="9" fontId="21" fillId="7" borderId="10" xfId="1" applyFont="1" applyFill="1" applyBorder="1" applyAlignment="1" applyProtection="1">
      <alignment horizontal="left" vertical="top"/>
      <protection locked="0"/>
    </xf>
    <xf numFmtId="9" fontId="21" fillId="7" borderId="11" xfId="1" applyFont="1" applyFill="1" applyBorder="1" applyAlignment="1" applyProtection="1">
      <alignment horizontal="left" vertical="top"/>
      <protection locked="0"/>
    </xf>
    <xf numFmtId="9" fontId="58" fillId="8" borderId="13" xfId="1" applyFont="1" applyFill="1" applyBorder="1" applyAlignment="1" applyProtection="1">
      <alignment horizontal="center" vertical="center" wrapText="1"/>
    </xf>
    <xf numFmtId="9" fontId="58" fillId="8" borderId="14" xfId="1" applyFont="1" applyFill="1" applyBorder="1" applyAlignment="1" applyProtection="1">
      <alignment horizontal="center" vertical="center" wrapText="1"/>
    </xf>
    <xf numFmtId="0" fontId="4" fillId="4" borderId="0" xfId="0" applyFont="1" applyFill="1" applyAlignment="1">
      <alignment horizontal="left" vertical="center"/>
    </xf>
    <xf numFmtId="0" fontId="13" fillId="7" borderId="53" xfId="0" applyFont="1" applyFill="1" applyBorder="1" applyAlignment="1">
      <alignment horizontal="left" vertical="top" wrapText="1"/>
    </xf>
    <xf numFmtId="0" fontId="13" fillId="7" borderId="54" xfId="0" applyFont="1" applyFill="1" applyBorder="1" applyAlignment="1">
      <alignment horizontal="left" vertical="top" wrapText="1"/>
    </xf>
    <xf numFmtId="0" fontId="13" fillId="7" borderId="55" xfId="0" applyFont="1" applyFill="1" applyBorder="1" applyAlignment="1">
      <alignment horizontal="left" vertical="top" wrapText="1"/>
    </xf>
    <xf numFmtId="0" fontId="13" fillId="7" borderId="7" xfId="0" applyFont="1" applyFill="1" applyBorder="1" applyAlignment="1">
      <alignment horizontal="left" vertical="top" wrapText="1"/>
    </xf>
    <xf numFmtId="0" fontId="13" fillId="7" borderId="0" xfId="0" applyFont="1" applyFill="1" applyAlignment="1">
      <alignment horizontal="left" vertical="top" wrapText="1"/>
    </xf>
    <xf numFmtId="0" fontId="13" fillId="7" borderId="8" xfId="0" applyFont="1" applyFill="1" applyBorder="1" applyAlignment="1">
      <alignment horizontal="left" vertical="top" wrapText="1"/>
    </xf>
    <xf numFmtId="167" fontId="21" fillId="7" borderId="7" xfId="0" applyNumberFormat="1" applyFont="1" applyFill="1" applyBorder="1" applyAlignment="1" applyProtection="1">
      <alignment horizontal="left" vertical="top" wrapText="1"/>
      <protection locked="0"/>
    </xf>
    <xf numFmtId="167" fontId="21" fillId="7" borderId="0" xfId="0" applyNumberFormat="1" applyFont="1" applyFill="1" applyAlignment="1" applyProtection="1">
      <alignment horizontal="left" vertical="top" wrapText="1"/>
      <protection locked="0"/>
    </xf>
    <xf numFmtId="167" fontId="21" fillId="7" borderId="8" xfId="0" applyNumberFormat="1" applyFont="1" applyFill="1" applyBorder="1" applyAlignment="1" applyProtection="1">
      <alignment horizontal="left" vertical="top" wrapText="1"/>
      <protection locked="0"/>
    </xf>
    <xf numFmtId="167" fontId="21" fillId="7" borderId="41" xfId="0" applyNumberFormat="1" applyFont="1" applyFill="1" applyBorder="1" applyAlignment="1" applyProtection="1">
      <alignment horizontal="left" vertical="top" wrapText="1"/>
      <protection locked="0"/>
    </xf>
    <xf numFmtId="167" fontId="21" fillId="7" borderId="42" xfId="0" applyNumberFormat="1" applyFont="1" applyFill="1" applyBorder="1" applyAlignment="1" applyProtection="1">
      <alignment horizontal="left" vertical="top" wrapText="1"/>
      <protection locked="0"/>
    </xf>
    <xf numFmtId="167" fontId="21" fillId="7" borderId="43" xfId="0" applyNumberFormat="1" applyFont="1" applyFill="1" applyBorder="1" applyAlignment="1" applyProtection="1">
      <alignment horizontal="left" vertical="top" wrapText="1"/>
      <protection locked="0"/>
    </xf>
    <xf numFmtId="0" fontId="13" fillId="7" borderId="53" xfId="0" applyFont="1" applyFill="1" applyBorder="1" applyAlignment="1">
      <alignment vertical="center" wrapText="1"/>
    </xf>
    <xf numFmtId="0" fontId="13" fillId="7" borderId="54" xfId="0" applyFont="1" applyFill="1" applyBorder="1" applyAlignment="1">
      <alignment vertical="center" wrapText="1"/>
    </xf>
    <xf numFmtId="0" fontId="13" fillId="7" borderId="55" xfId="0" applyFont="1" applyFill="1" applyBorder="1" applyAlignment="1">
      <alignment vertical="center" wrapText="1"/>
    </xf>
    <xf numFmtId="0" fontId="13" fillId="7" borderId="7" xfId="0" applyFont="1" applyFill="1" applyBorder="1" applyAlignment="1">
      <alignment vertical="center" wrapText="1"/>
    </xf>
    <xf numFmtId="0" fontId="13" fillId="7" borderId="0" xfId="0" applyFont="1" applyFill="1" applyAlignment="1">
      <alignment vertical="center" wrapText="1"/>
    </xf>
    <xf numFmtId="0" fontId="13" fillId="7" borderId="8" xfId="0" applyFont="1" applyFill="1" applyBorder="1" applyAlignment="1">
      <alignment vertical="center" wrapText="1"/>
    </xf>
    <xf numFmtId="0" fontId="13" fillId="7" borderId="4" xfId="0" applyFont="1" applyFill="1" applyBorder="1" applyAlignment="1">
      <alignment horizontal="left" vertical="top" wrapText="1"/>
    </xf>
    <xf numFmtId="0" fontId="13" fillId="7" borderId="5" xfId="0" applyFont="1" applyFill="1" applyBorder="1" applyAlignment="1">
      <alignment horizontal="left" vertical="top" wrapText="1"/>
    </xf>
    <xf numFmtId="0" fontId="13" fillId="7" borderId="6" xfId="0" applyFont="1" applyFill="1" applyBorder="1" applyAlignment="1">
      <alignment horizontal="left" vertical="top" wrapText="1"/>
    </xf>
    <xf numFmtId="0" fontId="21" fillId="7" borderId="4" xfId="0" applyFont="1" applyFill="1" applyBorder="1" applyAlignment="1">
      <alignment horizontal="left" vertical="top"/>
    </xf>
    <xf numFmtId="0" fontId="21" fillId="7" borderId="5" xfId="0" applyFont="1" applyFill="1" applyBorder="1" applyAlignment="1">
      <alignment horizontal="left" vertical="top"/>
    </xf>
    <xf numFmtId="0" fontId="21" fillId="7" borderId="6" xfId="0" applyFont="1" applyFill="1" applyBorder="1" applyAlignment="1">
      <alignment horizontal="left" vertical="top"/>
    </xf>
    <xf numFmtId="0" fontId="21" fillId="7" borderId="41" xfId="0" applyFont="1" applyFill="1" applyBorder="1" applyAlignment="1">
      <alignment horizontal="left" vertical="top"/>
    </xf>
    <xf numFmtId="0" fontId="21" fillId="7" borderId="42" xfId="0" applyFont="1" applyFill="1" applyBorder="1" applyAlignment="1">
      <alignment horizontal="left" vertical="top"/>
    </xf>
    <xf numFmtId="0" fontId="21" fillId="7" borderId="43" xfId="0" applyFont="1" applyFill="1" applyBorder="1" applyAlignment="1">
      <alignment horizontal="left" vertical="top"/>
    </xf>
    <xf numFmtId="0" fontId="8" fillId="5" borderId="0" xfId="0" applyFont="1" applyFill="1" applyAlignment="1">
      <alignment horizontal="center" vertical="center"/>
    </xf>
    <xf numFmtId="0" fontId="4" fillId="2" borderId="0" xfId="0" applyFont="1" applyFill="1" applyAlignment="1" applyProtection="1">
      <alignment horizontal="left" vertical="top"/>
      <protection locked="0"/>
    </xf>
    <xf numFmtId="9" fontId="47" fillId="8" borderId="4" xfId="1" applyFont="1" applyFill="1" applyBorder="1" applyAlignment="1">
      <alignment horizontal="center" vertical="center"/>
    </xf>
    <xf numFmtId="9" fontId="47" fillId="8" borderId="6" xfId="1" applyFont="1" applyFill="1" applyBorder="1" applyAlignment="1">
      <alignment horizontal="center" vertical="center"/>
    </xf>
    <xf numFmtId="9" fontId="47" fillId="8" borderId="9" xfId="1" applyFont="1" applyFill="1" applyBorder="1" applyAlignment="1">
      <alignment horizontal="center" vertical="center"/>
    </xf>
    <xf numFmtId="9" fontId="47" fillId="8" borderId="11" xfId="1" applyFont="1" applyFill="1" applyBorder="1" applyAlignment="1">
      <alignment horizontal="center" vertical="center"/>
    </xf>
    <xf numFmtId="0" fontId="8" fillId="4" borderId="8" xfId="0" applyFont="1" applyFill="1" applyBorder="1" applyAlignment="1">
      <alignment horizontal="left" vertical="center"/>
    </xf>
    <xf numFmtId="10" fontId="5" fillId="0" borderId="0" xfId="0" applyNumberFormat="1" applyFont="1" applyAlignment="1">
      <alignment horizontal="center"/>
    </xf>
    <xf numFmtId="0" fontId="7" fillId="0" borderId="0" xfId="0" applyFont="1" applyAlignment="1">
      <alignment horizontal="left"/>
    </xf>
    <xf numFmtId="0" fontId="4" fillId="2" borderId="0" xfId="0" applyFont="1" applyFill="1" applyAlignment="1">
      <alignment horizontal="left"/>
    </xf>
    <xf numFmtId="0" fontId="4" fillId="0" borderId="0" xfId="0" applyFont="1" applyAlignment="1">
      <alignment horizontal="left"/>
    </xf>
    <xf numFmtId="0" fontId="7" fillId="2" borderId="5" xfId="0" applyFont="1" applyFill="1" applyBorder="1" applyAlignment="1">
      <alignment horizontal="left" wrapText="1"/>
    </xf>
    <xf numFmtId="0" fontId="59" fillId="4" borderId="0" xfId="0" applyFont="1" applyFill="1" applyAlignment="1">
      <alignment horizontal="left" vertical="center"/>
    </xf>
    <xf numFmtId="0" fontId="6" fillId="4" borderId="0" xfId="0" applyFont="1" applyFill="1" applyAlignment="1">
      <alignment horizontal="left" vertical="center" wrapText="1"/>
    </xf>
    <xf numFmtId="0" fontId="6" fillId="4" borderId="0" xfId="0" applyFont="1" applyFill="1" applyAlignment="1">
      <alignment horizontal="left" vertical="center"/>
    </xf>
    <xf numFmtId="0" fontId="32" fillId="4" borderId="2" xfId="0" applyFont="1" applyFill="1" applyBorder="1" applyAlignment="1">
      <alignment horizontal="center" vertical="center" wrapText="1"/>
    </xf>
    <xf numFmtId="0" fontId="32" fillId="4" borderId="27" xfId="0" applyFont="1" applyFill="1" applyBorder="1" applyAlignment="1">
      <alignment horizontal="center" vertical="center" wrapText="1"/>
    </xf>
    <xf numFmtId="0" fontId="32" fillId="4" borderId="3" xfId="0" applyFont="1" applyFill="1" applyBorder="1" applyAlignment="1">
      <alignment horizontal="center" vertical="center" wrapText="1"/>
    </xf>
    <xf numFmtId="0" fontId="4" fillId="4" borderId="33" xfId="0" applyFont="1" applyFill="1" applyBorder="1" applyAlignment="1">
      <alignment horizontal="center"/>
    </xf>
    <xf numFmtId="0" fontId="4" fillId="4" borderId="24" xfId="0" applyFont="1" applyFill="1" applyBorder="1" applyAlignment="1">
      <alignment horizontal="center"/>
    </xf>
    <xf numFmtId="0" fontId="6" fillId="4" borderId="25" xfId="0" applyFont="1" applyFill="1" applyBorder="1" applyAlignment="1">
      <alignment horizontal="center" vertical="center"/>
    </xf>
    <xf numFmtId="0" fontId="6" fillId="4" borderId="35" xfId="0" applyFont="1" applyFill="1" applyBorder="1" applyAlignment="1">
      <alignment horizontal="center" vertical="center"/>
    </xf>
    <xf numFmtId="0" fontId="7" fillId="2" borderId="5" xfId="0" applyFont="1" applyFill="1" applyBorder="1" applyAlignment="1">
      <alignment horizontal="left" vertical="center" wrapText="1"/>
    </xf>
    <xf numFmtId="0" fontId="26" fillId="4" borderId="28" xfId="0" applyFont="1" applyFill="1" applyBorder="1" applyAlignment="1">
      <alignment horizontal="left" wrapText="1"/>
    </xf>
    <xf numFmtId="0" fontId="4" fillId="4" borderId="29" xfId="0" applyFont="1" applyFill="1" applyBorder="1" applyAlignment="1">
      <alignment horizontal="center"/>
    </xf>
    <xf numFmtId="0" fontId="4" fillId="4" borderId="7" xfId="0" applyFont="1" applyFill="1" applyBorder="1" applyAlignment="1">
      <alignment horizontal="center"/>
    </xf>
    <xf numFmtId="0" fontId="4" fillId="4" borderId="31" xfId="0" applyFont="1" applyFill="1" applyBorder="1" applyAlignment="1">
      <alignment horizontal="center"/>
    </xf>
    <xf numFmtId="0" fontId="4" fillId="4" borderId="46" xfId="0" applyFont="1" applyFill="1" applyBorder="1" applyAlignment="1">
      <alignment horizontal="center"/>
    </xf>
    <xf numFmtId="0" fontId="4" fillId="4" borderId="47" xfId="0" applyFont="1" applyFill="1" applyBorder="1" applyAlignment="1">
      <alignment horizontal="center"/>
    </xf>
    <xf numFmtId="0" fontId="4" fillId="4" borderId="51" xfId="0" applyFont="1" applyFill="1" applyBorder="1" applyAlignment="1">
      <alignment horizontal="center"/>
    </xf>
    <xf numFmtId="0" fontId="4" fillId="4" borderId="52" xfId="0" applyFont="1" applyFill="1" applyBorder="1" applyAlignment="1">
      <alignment horizontal="center"/>
    </xf>
    <xf numFmtId="0" fontId="4" fillId="2" borderId="4" xfId="0" applyFont="1" applyFill="1" applyBorder="1" applyAlignment="1">
      <alignment horizontal="center"/>
    </xf>
    <xf numFmtId="0" fontId="4" fillId="2" borderId="7" xfId="0" applyFont="1" applyFill="1" applyBorder="1" applyAlignment="1">
      <alignment horizontal="center"/>
    </xf>
    <xf numFmtId="0" fontId="4" fillId="2" borderId="9" xfId="0" applyFont="1" applyFill="1" applyBorder="1" applyAlignment="1">
      <alignment horizontal="center"/>
    </xf>
    <xf numFmtId="0" fontId="7" fillId="2" borderId="5" xfId="0" applyFont="1" applyFill="1" applyBorder="1" applyAlignment="1">
      <alignment vertical="center"/>
    </xf>
    <xf numFmtId="0" fontId="6" fillId="2" borderId="0" xfId="0" applyFont="1" applyFill="1" applyAlignment="1">
      <alignment horizontal="left"/>
    </xf>
    <xf numFmtId="0" fontId="6" fillId="2" borderId="28" xfId="0" applyFont="1" applyFill="1" applyBorder="1" applyAlignment="1">
      <alignment horizontal="left"/>
    </xf>
    <xf numFmtId="0" fontId="6" fillId="2" borderId="5" xfId="0" applyFont="1" applyFill="1" applyBorder="1" applyAlignment="1">
      <alignment horizontal="left"/>
    </xf>
    <xf numFmtId="14" fontId="7" fillId="4" borderId="27" xfId="0" applyNumberFormat="1" applyFont="1" applyFill="1" applyBorder="1" applyAlignment="1">
      <alignment horizontal="left" vertical="center"/>
    </xf>
    <xf numFmtId="0" fontId="4" fillId="4" borderId="27" xfId="0" applyFont="1" applyFill="1" applyBorder="1" applyAlignment="1">
      <alignment horizontal="left" vertical="center" wrapText="1"/>
    </xf>
    <xf numFmtId="0" fontId="36" fillId="7" borderId="4" xfId="0" applyFont="1" applyFill="1" applyBorder="1" applyAlignment="1">
      <alignment horizontal="left" vertical="top" wrapText="1"/>
    </xf>
    <xf numFmtId="0" fontId="36" fillId="7" borderId="5" xfId="0" applyFont="1" applyFill="1" applyBorder="1" applyAlignment="1">
      <alignment horizontal="left" vertical="top" wrapText="1"/>
    </xf>
    <xf numFmtId="0" fontId="36" fillId="7" borderId="6" xfId="0" applyFont="1" applyFill="1" applyBorder="1" applyAlignment="1">
      <alignment horizontal="left" vertical="top" wrapText="1"/>
    </xf>
    <xf numFmtId="0" fontId="36" fillId="7" borderId="7" xfId="0" applyFont="1" applyFill="1" applyBorder="1" applyAlignment="1">
      <alignment horizontal="left" vertical="top" wrapText="1"/>
    </xf>
    <xf numFmtId="0" fontId="36" fillId="7" borderId="0" xfId="0" applyFont="1" applyFill="1" applyAlignment="1">
      <alignment horizontal="left" vertical="top" wrapText="1"/>
    </xf>
    <xf numFmtId="0" fontId="36" fillId="7" borderId="8" xfId="0" applyFont="1" applyFill="1" applyBorder="1" applyAlignment="1">
      <alignment horizontal="left" vertical="top" wrapText="1"/>
    </xf>
    <xf numFmtId="0" fontId="36" fillId="7" borderId="9" xfId="0" applyFont="1" applyFill="1" applyBorder="1" applyAlignment="1">
      <alignment horizontal="left" vertical="top" wrapText="1"/>
    </xf>
    <xf numFmtId="0" fontId="36" fillId="7" borderId="10" xfId="0" applyFont="1" applyFill="1" applyBorder="1" applyAlignment="1">
      <alignment horizontal="left" vertical="top" wrapText="1"/>
    </xf>
    <xf numFmtId="0" fontId="36" fillId="7" borderId="11" xfId="0" applyFont="1" applyFill="1" applyBorder="1" applyAlignment="1">
      <alignment horizontal="left" vertical="top" wrapText="1"/>
    </xf>
    <xf numFmtId="0" fontId="1" fillId="4" borderId="0" xfId="0" applyFont="1" applyFill="1"/>
    <xf numFmtId="0" fontId="1" fillId="4" borderId="7" xfId="0" applyFont="1" applyFill="1" applyBorder="1"/>
    <xf numFmtId="0" fontId="1" fillId="4" borderId="8" xfId="0" applyFont="1" applyFill="1" applyBorder="1"/>
    <xf numFmtId="0" fontId="1" fillId="4" borderId="4" xfId="0" applyFont="1" applyFill="1" applyBorder="1"/>
    <xf numFmtId="0" fontId="1" fillId="2" borderId="5" xfId="0" applyFont="1" applyFill="1" applyBorder="1" applyAlignment="1">
      <alignment horizontal="center"/>
    </xf>
    <xf numFmtId="0" fontId="1" fillId="4" borderId="6" xfId="0" applyFont="1" applyFill="1" applyBorder="1"/>
    <xf numFmtId="49" fontId="1" fillId="4" borderId="15" xfId="0" applyNumberFormat="1" applyFont="1" applyFill="1" applyBorder="1" applyAlignment="1">
      <alignment vertical="top"/>
    </xf>
    <xf numFmtId="0" fontId="1" fillId="4" borderId="15" xfId="0" applyFont="1" applyFill="1" applyBorder="1" applyAlignment="1">
      <alignment vertical="top" wrapText="1"/>
    </xf>
    <xf numFmtId="10" fontId="1" fillId="4" borderId="36" xfId="0" applyNumberFormat="1" applyFont="1" applyFill="1" applyBorder="1" applyAlignment="1">
      <alignment vertical="top"/>
    </xf>
    <xf numFmtId="0" fontId="1" fillId="4" borderId="15" xfId="0" applyFont="1" applyFill="1" applyBorder="1" applyAlignment="1">
      <alignment horizontal="left" vertical="top" wrapText="1"/>
    </xf>
    <xf numFmtId="0" fontId="1" fillId="4" borderId="16" xfId="0" applyFont="1" applyFill="1" applyBorder="1" applyAlignment="1">
      <alignment vertical="top" wrapText="1"/>
    </xf>
    <xf numFmtId="10" fontId="1" fillId="4" borderId="37" xfId="0" applyNumberFormat="1" applyFont="1" applyFill="1" applyBorder="1" applyAlignment="1">
      <alignment vertical="top"/>
    </xf>
    <xf numFmtId="0" fontId="1" fillId="2" borderId="0" xfId="0" applyFont="1" applyFill="1" applyAlignment="1">
      <alignment horizontal="center"/>
    </xf>
    <xf numFmtId="0" fontId="1" fillId="4" borderId="16" xfId="0" applyFont="1" applyFill="1" applyBorder="1" applyAlignment="1">
      <alignment horizontal="left" vertical="top" wrapText="1"/>
    </xf>
    <xf numFmtId="0" fontId="1" fillId="4" borderId="17" xfId="0" applyFont="1" applyFill="1" applyBorder="1" applyAlignment="1">
      <alignment horizontal="left" vertical="top" wrapText="1"/>
    </xf>
    <xf numFmtId="49" fontId="1" fillId="4" borderId="17" xfId="0" applyNumberFormat="1" applyFont="1" applyFill="1" applyBorder="1" applyAlignment="1">
      <alignment vertical="top"/>
    </xf>
    <xf numFmtId="0" fontId="1" fillId="4" borderId="38" xfId="0" applyFont="1" applyFill="1" applyBorder="1" applyAlignment="1">
      <alignment vertical="top"/>
    </xf>
    <xf numFmtId="0" fontId="1" fillId="4" borderId="38" xfId="0" applyFont="1" applyFill="1" applyBorder="1" applyAlignment="1">
      <alignment horizontal="center" vertical="top" wrapText="1"/>
    </xf>
    <xf numFmtId="0" fontId="1" fillId="4" borderId="38" xfId="0" applyFont="1" applyFill="1" applyBorder="1" applyAlignment="1">
      <alignment vertical="top" wrapText="1"/>
    </xf>
    <xf numFmtId="49" fontId="1" fillId="4" borderId="38" xfId="0" applyNumberFormat="1" applyFont="1" applyFill="1" applyBorder="1" applyAlignment="1">
      <alignment vertical="top" wrapText="1"/>
    </xf>
    <xf numFmtId="49" fontId="1" fillId="4" borderId="38" xfId="0" applyNumberFormat="1" applyFont="1" applyFill="1" applyBorder="1" applyAlignment="1">
      <alignment vertical="top"/>
    </xf>
    <xf numFmtId="14" fontId="1" fillId="4" borderId="38" xfId="0" applyNumberFormat="1" applyFont="1" applyFill="1" applyBorder="1" applyAlignment="1">
      <alignment vertical="top"/>
    </xf>
    <xf numFmtId="0" fontId="1" fillId="4" borderId="16" xfId="0" applyFont="1" applyFill="1" applyBorder="1" applyAlignment="1">
      <alignment vertical="top"/>
    </xf>
    <xf numFmtId="0" fontId="1" fillId="4" borderId="16" xfId="0" quotePrefix="1" applyFont="1" applyFill="1" applyBorder="1" applyAlignment="1">
      <alignment horizontal="center" vertical="top" wrapText="1"/>
    </xf>
    <xf numFmtId="14" fontId="1" fillId="4" borderId="16" xfId="0" applyNumberFormat="1" applyFont="1" applyFill="1" applyBorder="1" applyAlignment="1">
      <alignment vertical="top"/>
    </xf>
    <xf numFmtId="0" fontId="1" fillId="4" borderId="16" xfId="0" applyFont="1" applyFill="1" applyBorder="1" applyAlignment="1">
      <alignment horizontal="center" vertical="top"/>
    </xf>
    <xf numFmtId="0" fontId="1" fillId="4" borderId="2" xfId="0" applyFont="1" applyFill="1" applyBorder="1"/>
    <xf numFmtId="0" fontId="1" fillId="4" borderId="9" xfId="0" applyFont="1" applyFill="1" applyBorder="1"/>
    <xf numFmtId="0" fontId="1" fillId="4" borderId="10" xfId="0" applyFont="1" applyFill="1" applyBorder="1"/>
    <xf numFmtId="0" fontId="1" fillId="4" borderId="11" xfId="0" applyFont="1" applyFill="1" applyBorder="1"/>
  </cellXfs>
  <cellStyles count="4">
    <cellStyle name="Link" xfId="3" builtinId="8"/>
    <cellStyle name="Prozent" xfId="1" builtinId="5"/>
    <cellStyle name="Standard" xfId="0" builtinId="0"/>
    <cellStyle name="Standard 2" xfId="2" xr:uid="{00000000-0005-0000-0000-000003000000}"/>
  </cellStyles>
  <dxfs count="140">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bgColor theme="9" tint="0.79998168889431442"/>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ill>
        <patternFill>
          <fgColor indexed="64"/>
          <bgColor rgb="FFFF0000"/>
        </patternFill>
      </fill>
    </dxf>
    <dxf>
      <fill>
        <patternFill>
          <fgColor indexed="64"/>
          <bgColor rgb="FFFFFF00"/>
        </patternFill>
      </fill>
    </dxf>
    <dxf>
      <fill>
        <patternFill>
          <fgColor indexed="64"/>
          <bgColor rgb="FF008000"/>
        </patternFill>
      </fill>
    </dxf>
    <dxf>
      <font>
        <color theme="0"/>
      </font>
      <fill>
        <patternFill>
          <bgColor rgb="FFFF0000"/>
        </patternFill>
      </fill>
    </dxf>
    <dxf>
      <font>
        <color theme="0"/>
      </font>
      <fill>
        <patternFill>
          <bgColor rgb="FF008000"/>
        </patternFill>
      </fill>
    </dxf>
    <dxf>
      <font>
        <color theme="0"/>
      </font>
      <fill>
        <patternFill>
          <bgColor rgb="FFFF0000"/>
        </patternFill>
      </fill>
    </dxf>
    <dxf>
      <font>
        <color theme="0"/>
      </font>
      <fill>
        <patternFill>
          <bgColor rgb="FF008000"/>
        </patternFill>
      </fill>
    </dxf>
    <dxf>
      <font>
        <color theme="0"/>
      </font>
      <fill>
        <patternFill>
          <bgColor theme="0"/>
        </patternFill>
      </fill>
    </dxf>
    <dxf>
      <fill>
        <patternFill>
          <bgColor rgb="FFFF0000"/>
        </patternFill>
      </fill>
    </dxf>
    <dxf>
      <font>
        <color theme="1"/>
      </font>
      <fill>
        <patternFill>
          <bgColor rgb="FFFFFF00"/>
        </patternFill>
      </fill>
    </dxf>
    <dxf>
      <fill>
        <patternFill>
          <bgColor rgb="FF008000"/>
        </patternFill>
      </fill>
    </dxf>
  </dxfs>
  <tableStyles count="0" defaultTableStyle="TableStyleMedium9" defaultPivotStyle="PivotStyleLight16"/>
  <colors>
    <mruColors>
      <color rgb="FFD39700"/>
      <color rgb="FF00B050"/>
      <color rgb="FF008000"/>
      <color rgb="FFFED100"/>
      <color rgb="FFFF9900"/>
      <color rgb="FFE75D12"/>
      <color rgb="FFFC5B00"/>
      <color rgb="FFE0BD00"/>
      <color rgb="FF9CAD14"/>
      <color rgb="FF19898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Drop" dropStyle="combo" dx="16" fmlaLink="Datenquelle!$F$7" fmlaRange="Datenquelle!$AM$5:$AM$10" sel="6" val="0"/>
</file>

<file path=xl/ctrlProps/ctrlProp2.xml><?xml version="1.0" encoding="utf-8"?>
<formControlPr xmlns="http://schemas.microsoft.com/office/spreadsheetml/2009/9/main" objectType="Drop" dropStyle="combo" dx="16" fmlaLink="Datenquelle!$F$8" fmlaRange="Datenquelle!$AM$5:$AM$10" sel="6" val="0"/>
</file>

<file path=xl/ctrlProps/ctrlProp3.xml><?xml version="1.0" encoding="utf-8"?>
<formControlPr xmlns="http://schemas.microsoft.com/office/spreadsheetml/2009/9/main" objectType="Drop" dropStyle="combo" dx="16" fmlaLink="Datenquelle!$F$9" fmlaRange="Datenquelle!$AM$5:$AM$10" sel="6" val="0"/>
</file>

<file path=xl/ctrlProps/ctrlProp4.xml><?xml version="1.0" encoding="utf-8"?>
<formControlPr xmlns="http://schemas.microsoft.com/office/spreadsheetml/2009/9/main" objectType="Drop" dropStyle="combo" dx="16" fmlaLink="Datenquelle!$F$10" fmlaRange="Datenquelle!$AM$5:$AM$10" sel="6" val="0"/>
</file>

<file path=xl/ctrlProps/ctrlProp5.xml><?xml version="1.0" encoding="utf-8"?>
<formControlPr xmlns="http://schemas.microsoft.com/office/spreadsheetml/2009/9/main" objectType="Drop" dropStyle="combo" dx="16" fmlaLink="Datenquelle!$F$11" fmlaRange="Datenquelle!$AM$5:$AM$10" sel="6" val="0"/>
</file>

<file path=xl/ctrlProps/ctrlProp6.xml><?xml version="1.0" encoding="utf-8"?>
<formControlPr xmlns="http://schemas.microsoft.com/office/spreadsheetml/2009/9/main" objectType="Drop" dropStyle="combo" dx="16" fmlaLink="Datenquelle!$F$12" fmlaRange="Datenquelle!$AM$5:$AM$10" sel="6" val="0"/>
</file>

<file path=xl/ctrlProps/ctrlProp7.xml><?xml version="1.0" encoding="utf-8"?>
<formControlPr xmlns="http://schemas.microsoft.com/office/spreadsheetml/2009/9/main" objectType="Drop" dropStyle="combo" dx="16" fmlaLink="Datenquelle!$F$13" fmlaRange="Datenquelle!$AM$5:$AM$10" sel="6" val="0"/>
</file>

<file path=xl/ctrlProps/ctrlProp8.xml><?xml version="1.0" encoding="utf-8"?>
<formControlPr xmlns="http://schemas.microsoft.com/office/spreadsheetml/2009/9/main" objectType="Drop" dropStyle="combo" dx="16" fmlaLink="Datenquelle!$K$8" fmlaRange="Datenquelle!$AM$5:$AM$10" sel="6" val="0"/>
</file>

<file path=xl/ctrlProps/ctrlProp9.xml><?xml version="1.0" encoding="utf-8"?>
<formControlPr xmlns="http://schemas.microsoft.com/office/spreadsheetml/2009/9/main" objectType="Drop" dropStyle="combo" dx="16" fmlaLink="Datenquelle!$K$7" fmlaRange="Datenquelle!$AM$5:$AM$10" sel="6" val="0"/>
</file>

<file path=xl/ctrlProps/ctrlProp10.xml><?xml version="1.0" encoding="utf-8"?>
<formControlPr xmlns="http://schemas.microsoft.com/office/spreadsheetml/2009/9/main" objectType="Drop" dropStyle="combo" dx="16" fmlaLink="Datenquelle!$K$9" fmlaRange="Datenquelle!$AM$5:$AM$10" sel="6" val="0"/>
</file>

<file path=xl/ctrlProps/ctrlProp11.xml><?xml version="1.0" encoding="utf-8"?>
<formControlPr xmlns="http://schemas.microsoft.com/office/spreadsheetml/2009/9/main" objectType="Drop" dropStyle="combo" dx="16" fmlaLink="Datenquelle!$K$10" fmlaRange="Datenquelle!$AM$5:$AM$10" sel="6" val="0"/>
</file>

<file path=xl/ctrlProps/ctrlProp12.xml><?xml version="1.0" encoding="utf-8"?>
<formControlPr xmlns="http://schemas.microsoft.com/office/spreadsheetml/2009/9/main" objectType="Drop" dropStyle="combo" dx="16" fmlaLink="Datenquelle!$K$11" fmlaRange="Datenquelle!$AM$5:$AM$10" sel="6" val="0"/>
</file>

<file path=xl/ctrlProps/ctrlProp13.xml><?xml version="1.0" encoding="utf-8"?>
<formControlPr xmlns="http://schemas.microsoft.com/office/spreadsheetml/2009/9/main" objectType="Drop" dropStyle="combo" dx="16" fmlaLink="Datenquelle!$P$7" fmlaRange="Datenquelle!$AM$5:$AM$10" sel="6" val="0"/>
</file>

<file path=xl/ctrlProps/ctrlProp14.xml><?xml version="1.0" encoding="utf-8"?>
<formControlPr xmlns="http://schemas.microsoft.com/office/spreadsheetml/2009/9/main" objectType="Drop" dropStyle="combo" dx="16" fmlaLink="Datenquelle!$P$8" fmlaRange="Datenquelle!$AM$5:$AM$10" sel="6" val="0"/>
</file>

<file path=xl/ctrlProps/ctrlProp15.xml><?xml version="1.0" encoding="utf-8"?>
<formControlPr xmlns="http://schemas.microsoft.com/office/spreadsheetml/2009/9/main" objectType="Drop" dropStyle="combo" dx="16" fmlaLink="Datenquelle!$P$9" fmlaRange="Datenquelle!$AM$5:$AM$10" sel="6" val="0"/>
</file>

<file path=xl/ctrlProps/ctrlProp16.xml><?xml version="1.0" encoding="utf-8"?>
<formControlPr xmlns="http://schemas.microsoft.com/office/spreadsheetml/2009/9/main" objectType="Drop" dropStyle="combo" dx="16" fmlaLink="Datenquelle!$P$10" fmlaRange="Datenquelle!$AM$5:$AM$10" sel="6" val="0"/>
</file>

<file path=xl/ctrlProps/ctrlProp17.xml><?xml version="1.0" encoding="utf-8"?>
<formControlPr xmlns="http://schemas.microsoft.com/office/spreadsheetml/2009/9/main" objectType="Drop" dropStyle="combo" dx="16" fmlaLink="Datenquelle!$P$11" fmlaRange="Datenquelle!$AM$5:$AM$10" sel="6" val="0"/>
</file>

<file path=xl/ctrlProps/ctrlProp18.xml><?xml version="1.0" encoding="utf-8"?>
<formControlPr xmlns="http://schemas.microsoft.com/office/spreadsheetml/2009/9/main" objectType="Drop" dropStyle="combo" dx="16" fmlaLink="Datenquelle!$P$12" fmlaRange="Datenquelle!$AM$5:$AM$10" sel="6" val="0"/>
</file>

<file path=xl/ctrlProps/ctrlProp19.xml><?xml version="1.0" encoding="utf-8"?>
<formControlPr xmlns="http://schemas.microsoft.com/office/spreadsheetml/2009/9/main" objectType="Drop" dropStyle="combo" dx="16" fmlaLink="Datenquelle!$U$7" fmlaRange="Datenquelle!$AM$5:$AM$10" sel="6" val="0"/>
</file>

<file path=xl/ctrlProps/ctrlProp20.xml><?xml version="1.0" encoding="utf-8"?>
<formControlPr xmlns="http://schemas.microsoft.com/office/spreadsheetml/2009/9/main" objectType="Drop" dropStyle="combo" dx="16" fmlaLink="Datenquelle!$U$9" fmlaRange="Datenquelle!$AM$5:$AM$10" sel="6" val="0"/>
</file>

<file path=xl/ctrlProps/ctrlProp21.xml><?xml version="1.0" encoding="utf-8"?>
<formControlPr xmlns="http://schemas.microsoft.com/office/spreadsheetml/2009/9/main" objectType="Drop" dropStyle="combo" dx="16" fmlaLink="Datenquelle!$U$10" fmlaRange="Datenquelle!$AM$5:$AM$10" sel="6" val="0"/>
</file>

<file path=xl/ctrlProps/ctrlProp22.xml><?xml version="1.0" encoding="utf-8"?>
<formControlPr xmlns="http://schemas.microsoft.com/office/spreadsheetml/2009/9/main" objectType="Drop" dropStyle="combo" dx="16" fmlaLink="Datenquelle!$U$12" fmlaRange="Datenquelle!$AM$5:$AM$10" sel="6" val="0"/>
</file>

<file path=xl/ctrlProps/ctrlProp23.xml><?xml version="1.0" encoding="utf-8"?>
<formControlPr xmlns="http://schemas.microsoft.com/office/spreadsheetml/2009/9/main" objectType="Drop" dropStyle="combo" dx="16" fmlaLink="Datenquelle!$U$13" fmlaRange="Datenquelle!$AM$5:$AM$10" sel="6" val="0"/>
</file>

<file path=xl/ctrlProps/ctrlProp24.xml><?xml version="1.0" encoding="utf-8"?>
<formControlPr xmlns="http://schemas.microsoft.com/office/spreadsheetml/2009/9/main" objectType="Drop" dropStyle="combo" dx="16" fmlaLink="Datenquelle!$U$8" fmlaRange="Datenquelle!$AM$5:$AM$10" sel="6" val="0"/>
</file>

<file path=xl/ctrlProps/ctrlProp25.xml><?xml version="1.0" encoding="utf-8"?>
<formControlPr xmlns="http://schemas.microsoft.com/office/spreadsheetml/2009/9/main" objectType="Drop" dropStyle="combo" dx="16" fmlaLink="Datenquelle!$U$11" fmlaRange="Datenquelle!$AM$5:$AM$10" sel="6" val="0"/>
</file>

<file path=xl/ctrlProps/ctrlProp26.xml><?xml version="1.0" encoding="utf-8"?>
<formControlPr xmlns="http://schemas.microsoft.com/office/spreadsheetml/2009/9/main" objectType="Drop" dropStyle="combo" dx="16" fmlaLink="Datenquelle!$Z$7" fmlaRange="Datenquelle!$AM$5:$AM$10" sel="6" val="0"/>
</file>

<file path=xl/ctrlProps/ctrlProp27.xml><?xml version="1.0" encoding="utf-8"?>
<formControlPr xmlns="http://schemas.microsoft.com/office/spreadsheetml/2009/9/main" objectType="Drop" dropStyle="combo" dx="16" fmlaLink="Datenquelle!$Z$8" fmlaRange="Datenquelle!$AM$5:$AM$10" sel="6" val="0"/>
</file>

<file path=xl/ctrlProps/ctrlProp28.xml><?xml version="1.0" encoding="utf-8"?>
<formControlPr xmlns="http://schemas.microsoft.com/office/spreadsheetml/2009/9/main" objectType="Drop" dropStyle="combo" dx="16" fmlaLink="Datenquelle!$Z$9" fmlaRange="Datenquelle!$AM$5:$AM$10" sel="6" val="0"/>
</file>

<file path=xl/ctrlProps/ctrlProp29.xml><?xml version="1.0" encoding="utf-8"?>
<formControlPr xmlns="http://schemas.microsoft.com/office/spreadsheetml/2009/9/main" objectType="Drop" dropStyle="combo" dx="16" fmlaLink="Datenquelle!$Z$11" fmlaRange="Datenquelle!$AM$5:$AM$10" sel="6" val="0"/>
</file>

<file path=xl/ctrlProps/ctrlProp30.xml><?xml version="1.0" encoding="utf-8"?>
<formControlPr xmlns="http://schemas.microsoft.com/office/spreadsheetml/2009/9/main" objectType="Drop" dropStyle="combo" dx="16" fmlaLink="Datenquelle!$Z$12" fmlaRange="Datenquelle!$AM$5:$AM$10" sel="6" val="0"/>
</file>

<file path=xl/ctrlProps/ctrlProp31.xml><?xml version="1.0" encoding="utf-8"?>
<formControlPr xmlns="http://schemas.microsoft.com/office/spreadsheetml/2009/9/main" objectType="Drop" dropStyle="combo" dx="16" fmlaLink="Datenquelle!$Z$10" fmlaRange="Datenquelle!$AM$5:$AM$10" sel="6" val="0"/>
</file>

<file path=xl/ctrlProps/ctrlProp32.xml><?xml version="1.0" encoding="utf-8"?>
<formControlPr xmlns="http://schemas.microsoft.com/office/spreadsheetml/2009/9/main" objectType="Drop" dropStyle="combo" dx="16" fmlaLink="Datenquelle!$AE$7" fmlaRange="Datenquelle!$AM$5:$AM$10" sel="6" val="0"/>
</file>

<file path=xl/ctrlProps/ctrlProp33.xml><?xml version="1.0" encoding="utf-8"?>
<formControlPr xmlns="http://schemas.microsoft.com/office/spreadsheetml/2009/9/main" objectType="Drop" dropStyle="combo" dx="16" fmlaLink="Datenquelle!$AE$8" fmlaRange="Datenquelle!$AM$5:$AM$10" sel="6" val="0"/>
</file>

<file path=xl/ctrlProps/ctrlProp34.xml><?xml version="1.0" encoding="utf-8"?>
<formControlPr xmlns="http://schemas.microsoft.com/office/spreadsheetml/2009/9/main" objectType="Drop" dropStyle="combo" dx="16" fmlaLink="Datenquelle!$AE$10" fmlaRange="Datenquelle!$AM$5:$AM$10" sel="6" val="0"/>
</file>

<file path=xl/ctrlProps/ctrlProp35.xml><?xml version="1.0" encoding="utf-8"?>
<formControlPr xmlns="http://schemas.microsoft.com/office/spreadsheetml/2009/9/main" objectType="Drop" dropStyle="combo" dx="16" fmlaLink="Datenquelle!$AE$11" fmlaRange="Datenquelle!$AM$5:$AM$10" sel="6" val="0"/>
</file>

<file path=xl/ctrlProps/ctrlProp36.xml><?xml version="1.0" encoding="utf-8"?>
<formControlPr xmlns="http://schemas.microsoft.com/office/spreadsheetml/2009/9/main" objectType="Drop" dropStyle="combo" dx="16" fmlaLink="Datenquelle!$AE$9" fmlaRange="Datenquelle!$AM$5:$AM$10" sel="6" val="0"/>
</file>

<file path=xl/ctrlProps/ctrlProp37.xml><?xml version="1.0" encoding="utf-8"?>
<formControlPr xmlns="http://schemas.microsoft.com/office/spreadsheetml/2009/9/main" objectType="Drop" dropStyle="combo" dx="16" fmlaLink="Datenquelle!$AJ$7" fmlaRange="Datenquelle!$AM$5:$AM$10" sel="6" val="0"/>
</file>

<file path=xl/ctrlProps/ctrlProp38.xml><?xml version="1.0" encoding="utf-8"?>
<formControlPr xmlns="http://schemas.microsoft.com/office/spreadsheetml/2009/9/main" objectType="Drop" dropStyle="combo" dx="16" fmlaLink="Datenquelle!$AJ$8" fmlaRange="Datenquelle!$AM$5:$AM$10" sel="6" val="0"/>
</file>

<file path=xl/ctrlProps/ctrlProp39.xml><?xml version="1.0" encoding="utf-8"?>
<formControlPr xmlns="http://schemas.microsoft.com/office/spreadsheetml/2009/9/main" objectType="Drop" dropStyle="combo" dx="16" fmlaLink="Datenquelle!$AJ$9" fmlaRange="Datenquelle!$AM$5:$AM$10" sel="6" val="0"/>
</file>

<file path=xl/ctrlProps/ctrlProp40.xml><?xml version="1.0" encoding="utf-8"?>
<formControlPr xmlns="http://schemas.microsoft.com/office/spreadsheetml/2009/9/main" objectType="Drop" dropStyle="combo" dx="16" fmlaLink="Datenquelle!$AJ$10" fmlaRange="Datenquelle!$AM$5:$AM$10" sel="6" val="0"/>
</file>

<file path=xl/ctrlProps/ctrlProp41.xml><?xml version="1.0" encoding="utf-8"?>
<formControlPr xmlns="http://schemas.microsoft.com/office/spreadsheetml/2009/9/main" objectType="Drop" dropStyle="combo" dx="16" fmlaLink="Datenquelle!$AJ$11" fmlaRange="Datenquelle!$AM$5:$AM$10" sel="6" val="0"/>
</file>

<file path=xl/ctrlProps/ctrlProp42.xml><?xml version="1.0" encoding="utf-8"?>
<formControlPr xmlns="http://schemas.microsoft.com/office/spreadsheetml/2009/9/main" objectType="Drop" dropStyle="combo" dx="16" fmlaLink="Datenquelle!$AJ$12" fmlaRange="Datenquelle!$AM$5:$AM$10" sel="6" val="0"/>
</file>

<file path=xl/drawings/_rels/vmlDrawing1.v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3.emf"/><Relationship Id="rId1" Type="http://schemas.openxmlformats.org/officeDocument/2006/relationships/image" Target="../media/image4.emf"/><Relationship Id="rId6"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6.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4.vml.rels><?xml version="1.0" encoding="UTF-8" standalone="yes"?>
<Relationships xmlns="http://schemas.openxmlformats.org/package/2006/relationships"><Relationship Id="rId2" Type="http://schemas.openxmlformats.org/officeDocument/2006/relationships/image" Target="../media/image9.png"/><Relationship Id="rId1" Type="http://schemas.openxmlformats.org/officeDocument/2006/relationships/image" Target="../media/image8.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247650</xdr:colOff>
          <xdr:row>5</xdr:row>
          <xdr:rowOff>342900</xdr:rowOff>
        </xdr:from>
        <xdr:to>
          <xdr:col>9</xdr:col>
          <xdr:colOff>600075</xdr:colOff>
          <xdr:row>7</xdr:row>
          <xdr:rowOff>161925</xdr:rowOff>
        </xdr:to>
        <xdr:sp macro="" textlink="">
          <xdr:nvSpPr>
            <xdr:cNvPr id="12289" name="Moduluebersicht_speichern"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8</xdr:row>
          <xdr:rowOff>0</xdr:rowOff>
        </xdr:from>
        <xdr:to>
          <xdr:col>9</xdr:col>
          <xdr:colOff>600075</xdr:colOff>
          <xdr:row>11</xdr:row>
          <xdr:rowOff>19050</xdr:rowOff>
        </xdr:to>
        <xdr:sp macro="" textlink="">
          <xdr:nvSpPr>
            <xdr:cNvPr id="12290" name="Ergebnis_speichern_Prozess" hidden="1">
              <a:extLst>
                <a:ext uri="{63B3BB69-23CF-44E3-9099-C40C66FF867C}">
                  <a14:compatExt spid="_x0000_s12290"/>
                </a:ext>
                <a:ext uri="{FF2B5EF4-FFF2-40B4-BE49-F238E27FC236}">
                  <a16:creationId xmlns:a16="http://schemas.microsoft.com/office/drawing/2014/main" id="{00000000-0008-0000-00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12</xdr:row>
          <xdr:rowOff>0</xdr:rowOff>
        </xdr:from>
        <xdr:to>
          <xdr:col>9</xdr:col>
          <xdr:colOff>600075</xdr:colOff>
          <xdr:row>14</xdr:row>
          <xdr:rowOff>95250</xdr:rowOff>
        </xdr:to>
        <xdr:sp macro="" textlink="">
          <xdr:nvSpPr>
            <xdr:cNvPr id="12291" name="Alles_speichern"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5</xdr:row>
          <xdr:rowOff>47625</xdr:rowOff>
        </xdr:from>
        <xdr:to>
          <xdr:col>2</xdr:col>
          <xdr:colOff>1514475</xdr:colOff>
          <xdr:row>5</xdr:row>
          <xdr:rowOff>295275</xdr:rowOff>
        </xdr:to>
        <xdr:sp macro="" textlink="">
          <xdr:nvSpPr>
            <xdr:cNvPr id="12297" name="CheckBox_ALK" hidden="1">
              <a:extLst>
                <a:ext uri="{63B3BB69-23CF-44E3-9099-C40C66FF867C}">
                  <a14:compatExt spid="_x0000_s12297"/>
                </a:ext>
                <a:ext uri="{FF2B5EF4-FFF2-40B4-BE49-F238E27FC236}">
                  <a16:creationId xmlns:a16="http://schemas.microsoft.com/office/drawing/2014/main" id="{00000000-0008-0000-0000-000009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1733550</xdr:colOff>
          <xdr:row>5</xdr:row>
          <xdr:rowOff>47625</xdr:rowOff>
        </xdr:from>
        <xdr:to>
          <xdr:col>4</xdr:col>
          <xdr:colOff>704850</xdr:colOff>
          <xdr:row>5</xdr:row>
          <xdr:rowOff>295275</xdr:rowOff>
        </xdr:to>
        <xdr:sp macro="" textlink="">
          <xdr:nvSpPr>
            <xdr:cNvPr id="12300" name="CheckBox_VL"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247650</xdr:colOff>
          <xdr:row>17</xdr:row>
          <xdr:rowOff>0</xdr:rowOff>
        </xdr:from>
        <xdr:to>
          <xdr:col>9</xdr:col>
          <xdr:colOff>600075</xdr:colOff>
          <xdr:row>20</xdr:row>
          <xdr:rowOff>19050</xdr:rowOff>
        </xdr:to>
        <xdr:sp macro="" textlink="">
          <xdr:nvSpPr>
            <xdr:cNvPr id="12307" name="ButtonFormat" hidden="1">
              <a:extLst>
                <a:ext uri="{63B3BB69-23CF-44E3-9099-C40C66FF867C}">
                  <a14:compatExt spid="_x0000_s12307"/>
                </a:ext>
                <a:ext uri="{FF2B5EF4-FFF2-40B4-BE49-F238E27FC236}">
                  <a16:creationId xmlns:a16="http://schemas.microsoft.com/office/drawing/2014/main" id="{00000000-0008-0000-0000-00001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3</xdr:col>
      <xdr:colOff>257175</xdr:colOff>
      <xdr:row>24</xdr:row>
      <xdr:rowOff>19050</xdr:rowOff>
    </xdr:from>
    <xdr:to>
      <xdr:col>17</xdr:col>
      <xdr:colOff>28576</xdr:colOff>
      <xdr:row>36</xdr:row>
      <xdr:rowOff>85725</xdr:rowOff>
    </xdr:to>
    <xdr:sp macro="" textlink="">
      <xdr:nvSpPr>
        <xdr:cNvPr id="3" name="Textfeld 2">
          <a:extLst>
            <a:ext uri="{FF2B5EF4-FFF2-40B4-BE49-F238E27FC236}">
              <a16:creationId xmlns:a16="http://schemas.microsoft.com/office/drawing/2014/main" id="{00000000-0008-0000-0200-000003000000}"/>
            </a:ext>
          </a:extLst>
        </xdr:cNvPr>
        <xdr:cNvSpPr txBox="1"/>
      </xdr:nvSpPr>
      <xdr:spPr>
        <a:xfrm>
          <a:off x="2857500" y="4610100"/>
          <a:ext cx="6791326" cy="20097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de-DE" sz="1400" b="1" u="sng"/>
            <a:t>Berechnung:</a:t>
          </a:r>
        </a:p>
        <a:p>
          <a:endParaRPr lang="de-DE" sz="1100"/>
        </a:p>
        <a:p>
          <a:r>
            <a:rPr lang="de-DE" sz="1100" b="1" baseline="0"/>
            <a:t>	            Summe (aktuelle Bewertung)                   </a:t>
          </a:r>
          <a:endParaRPr lang="de-DE" sz="1100" b="1"/>
        </a:p>
        <a:p>
          <a:r>
            <a:rPr lang="de-DE" sz="1100" b="1"/>
            <a:t>Modulergebnis</a:t>
          </a:r>
          <a:r>
            <a:rPr lang="de-DE" sz="1100" b="1" baseline="0"/>
            <a:t> = ----------------------------------------------------   X   </a:t>
          </a:r>
          <a:r>
            <a:rPr lang="de-DE" sz="1100" b="1" baseline="0">
              <a:solidFill>
                <a:schemeClr val="dk1"/>
              </a:solidFill>
              <a:latin typeface="+mn-lt"/>
              <a:ea typeface="+mn-ea"/>
              <a:cs typeface="+mn-cs"/>
            </a:rPr>
            <a:t>Maximale Modulbewertung</a:t>
          </a:r>
          <a:endParaRPr lang="de-DE" sz="1100" b="1" baseline="0"/>
        </a:p>
        <a:p>
          <a:r>
            <a:rPr lang="de-DE" sz="1100" b="1" baseline="0"/>
            <a:t>                               Summe (Max. ausgewählter Fragen)</a:t>
          </a:r>
          <a:endParaRPr lang="de-DE" sz="1100" b="1" baseline="0">
            <a:solidFill>
              <a:schemeClr val="dk1"/>
            </a:solidFill>
            <a:latin typeface="+mn-lt"/>
            <a:ea typeface="+mn-ea"/>
            <a:cs typeface="+mn-cs"/>
          </a:endParaRPr>
        </a:p>
        <a:p>
          <a:endParaRPr lang="de-DE" sz="1100" baseline="0">
            <a:solidFill>
              <a:schemeClr val="dk1"/>
            </a:solidFill>
            <a:latin typeface="+mn-lt"/>
            <a:ea typeface="+mn-ea"/>
            <a:cs typeface="+mn-cs"/>
          </a:endParaRPr>
        </a:p>
        <a:p>
          <a:r>
            <a:rPr lang="de-DE" sz="1100" baseline="0">
              <a:solidFill>
                <a:schemeClr val="dk1"/>
              </a:solidFill>
              <a:latin typeface="+mn-lt"/>
              <a:ea typeface="+mn-ea"/>
              <a:cs typeface="+mn-cs"/>
            </a:rPr>
            <a:t>Die Bewertung ist nicht von %-Bewertungen der einzelnen Fragen abhängig - hier können z.B. auch Punkte vergeben werden. die Maximale Modulbewertung muss dagegen in % angegeben sein.</a:t>
          </a:r>
        </a:p>
        <a:p>
          <a:r>
            <a:rPr lang="de-DE" sz="1100" baseline="0">
              <a:solidFill>
                <a:schemeClr val="dk1"/>
              </a:solidFill>
              <a:latin typeface="+mn-lt"/>
              <a:ea typeface="+mn-ea"/>
              <a:cs typeface="+mn-cs"/>
            </a:rPr>
            <a:t>Normiert wird dabei nur innerhalb eines Moduls, gewichtet mit der eingetragenen Bewertung der Frage.</a:t>
          </a:r>
        </a:p>
        <a:p>
          <a:r>
            <a:rPr lang="de-DE" sz="1100" baseline="0">
              <a:solidFill>
                <a:schemeClr val="dk1"/>
              </a:solidFill>
              <a:latin typeface="+mn-lt"/>
              <a:ea typeface="+mn-ea"/>
              <a:cs typeface="+mn-cs"/>
            </a:rPr>
            <a:t>Die Gewichtung der einzelnen Module bleibt immer gleich - eine 100% Bewertung kann also nur mit einem sehr guten Abschneiden in allen Modulen erreicht werden.</a:t>
          </a:r>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1038" name="Drop Down 14" hidden="1">
              <a:extLst>
                <a:ext uri="{63B3BB69-23CF-44E3-9099-C40C66FF867C}">
                  <a14:compatExt spid="_x0000_s1038"/>
                </a:ext>
                <a:ext uri="{FF2B5EF4-FFF2-40B4-BE49-F238E27FC236}">
                  <a16:creationId xmlns:a16="http://schemas.microsoft.com/office/drawing/2014/main" id="{00000000-0008-0000-03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76200</xdr:rowOff>
        </xdr:from>
        <xdr:to>
          <xdr:col>3</xdr:col>
          <xdr:colOff>1362075</xdr:colOff>
          <xdr:row>9</xdr:row>
          <xdr:rowOff>295275</xdr:rowOff>
        </xdr:to>
        <xdr:sp macro="" textlink="">
          <xdr:nvSpPr>
            <xdr:cNvPr id="1040" name="Drop Down 16" hidden="1">
              <a:extLst>
                <a:ext uri="{63B3BB69-23CF-44E3-9099-C40C66FF867C}">
                  <a14:compatExt spid="_x0000_s1040"/>
                </a:ext>
                <a:ext uri="{FF2B5EF4-FFF2-40B4-BE49-F238E27FC236}">
                  <a16:creationId xmlns:a16="http://schemas.microsoft.com/office/drawing/2014/main" id="{00000000-0008-0000-03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85725</xdr:rowOff>
        </xdr:from>
        <xdr:to>
          <xdr:col>3</xdr:col>
          <xdr:colOff>1362075</xdr:colOff>
          <xdr:row>12</xdr:row>
          <xdr:rowOff>304800</xdr:rowOff>
        </xdr:to>
        <xdr:sp macro="" textlink="">
          <xdr:nvSpPr>
            <xdr:cNvPr id="1043" name="Drop Down 19" hidden="1">
              <a:extLst>
                <a:ext uri="{63B3BB69-23CF-44E3-9099-C40C66FF867C}">
                  <a14:compatExt spid="_x0000_s1043"/>
                </a:ext>
                <a:ext uri="{FF2B5EF4-FFF2-40B4-BE49-F238E27FC236}">
                  <a16:creationId xmlns:a16="http://schemas.microsoft.com/office/drawing/2014/main" id="{00000000-0008-0000-03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85725</xdr:rowOff>
        </xdr:from>
        <xdr:to>
          <xdr:col>3</xdr:col>
          <xdr:colOff>1362075</xdr:colOff>
          <xdr:row>15</xdr:row>
          <xdr:rowOff>304800</xdr:rowOff>
        </xdr:to>
        <xdr:sp macro="" textlink="">
          <xdr:nvSpPr>
            <xdr:cNvPr id="1044" name="Drop Down 20" hidden="1">
              <a:extLst>
                <a:ext uri="{63B3BB69-23CF-44E3-9099-C40C66FF867C}">
                  <a14:compatExt spid="_x0000_s1044"/>
                </a:ext>
                <a:ext uri="{FF2B5EF4-FFF2-40B4-BE49-F238E27FC236}">
                  <a16:creationId xmlns:a16="http://schemas.microsoft.com/office/drawing/2014/main" id="{00000000-0008-0000-03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95250</xdr:rowOff>
        </xdr:from>
        <xdr:to>
          <xdr:col>3</xdr:col>
          <xdr:colOff>1362075</xdr:colOff>
          <xdr:row>18</xdr:row>
          <xdr:rowOff>314325</xdr:rowOff>
        </xdr:to>
        <xdr:sp macro="" textlink="">
          <xdr:nvSpPr>
            <xdr:cNvPr id="1045" name="Drop Down 21" hidden="1">
              <a:extLst>
                <a:ext uri="{63B3BB69-23CF-44E3-9099-C40C66FF867C}">
                  <a14:compatExt spid="_x0000_s1045"/>
                </a:ext>
                <a:ext uri="{FF2B5EF4-FFF2-40B4-BE49-F238E27FC236}">
                  <a16:creationId xmlns:a16="http://schemas.microsoft.com/office/drawing/2014/main" id="{00000000-0008-0000-0300-00001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104775</xdr:rowOff>
        </xdr:from>
        <xdr:to>
          <xdr:col>3</xdr:col>
          <xdr:colOff>1362075</xdr:colOff>
          <xdr:row>21</xdr:row>
          <xdr:rowOff>323850</xdr:rowOff>
        </xdr:to>
        <xdr:sp macro="" textlink="">
          <xdr:nvSpPr>
            <xdr:cNvPr id="1046" name="Drop Down 22" hidden="1">
              <a:extLst>
                <a:ext uri="{63B3BB69-23CF-44E3-9099-C40C66FF867C}">
                  <a14:compatExt spid="_x0000_s1046"/>
                </a:ext>
                <a:ext uri="{FF2B5EF4-FFF2-40B4-BE49-F238E27FC236}">
                  <a16:creationId xmlns:a16="http://schemas.microsoft.com/office/drawing/2014/main" id="{00000000-0008-0000-0300-00001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24</xdr:row>
          <xdr:rowOff>104775</xdr:rowOff>
        </xdr:from>
        <xdr:to>
          <xdr:col>3</xdr:col>
          <xdr:colOff>1362075</xdr:colOff>
          <xdr:row>24</xdr:row>
          <xdr:rowOff>323850</xdr:rowOff>
        </xdr:to>
        <xdr:sp macro="" textlink="">
          <xdr:nvSpPr>
            <xdr:cNvPr id="1047" name="Drop Down 23" hidden="1">
              <a:extLst>
                <a:ext uri="{63B3BB69-23CF-44E3-9099-C40C66FF867C}">
                  <a14:compatExt spid="_x0000_s1047"/>
                </a:ext>
                <a:ext uri="{FF2B5EF4-FFF2-40B4-BE49-F238E27FC236}">
                  <a16:creationId xmlns:a16="http://schemas.microsoft.com/office/drawing/2014/main" id="{00000000-0008-0000-0300-00001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9</xdr:row>
          <xdr:rowOff>76200</xdr:rowOff>
        </xdr:from>
        <xdr:to>
          <xdr:col>3</xdr:col>
          <xdr:colOff>1362075</xdr:colOff>
          <xdr:row>9</xdr:row>
          <xdr:rowOff>295275</xdr:rowOff>
        </xdr:to>
        <xdr:sp macro="" textlink="">
          <xdr:nvSpPr>
            <xdr:cNvPr id="45097" name="Drop Down 41" hidden="1">
              <a:extLst>
                <a:ext uri="{63B3BB69-23CF-44E3-9099-C40C66FF867C}">
                  <a14:compatExt spid="_x0000_s45097"/>
                </a:ext>
                <a:ext uri="{FF2B5EF4-FFF2-40B4-BE49-F238E27FC236}">
                  <a16:creationId xmlns:a16="http://schemas.microsoft.com/office/drawing/2014/main" id="{00000000-0008-0000-0400-000029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45099" name="Drop Down 43" hidden="1">
              <a:extLst>
                <a:ext uri="{63B3BB69-23CF-44E3-9099-C40C66FF867C}">
                  <a14:compatExt spid="_x0000_s45099"/>
                </a:ext>
                <a:ext uri="{FF2B5EF4-FFF2-40B4-BE49-F238E27FC236}">
                  <a16:creationId xmlns:a16="http://schemas.microsoft.com/office/drawing/2014/main" id="{00000000-0008-0000-0400-00002B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76200</xdr:rowOff>
        </xdr:from>
        <xdr:to>
          <xdr:col>3</xdr:col>
          <xdr:colOff>1362075</xdr:colOff>
          <xdr:row>12</xdr:row>
          <xdr:rowOff>295275</xdr:rowOff>
        </xdr:to>
        <xdr:sp macro="" textlink="">
          <xdr:nvSpPr>
            <xdr:cNvPr id="45100" name="Drop Down 44" hidden="1">
              <a:extLst>
                <a:ext uri="{63B3BB69-23CF-44E3-9099-C40C66FF867C}">
                  <a14:compatExt spid="_x0000_s45100"/>
                </a:ext>
                <a:ext uri="{FF2B5EF4-FFF2-40B4-BE49-F238E27FC236}">
                  <a16:creationId xmlns:a16="http://schemas.microsoft.com/office/drawing/2014/main" id="{00000000-0008-0000-0400-00002C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85725</xdr:rowOff>
        </xdr:from>
        <xdr:to>
          <xdr:col>3</xdr:col>
          <xdr:colOff>1362075</xdr:colOff>
          <xdr:row>15</xdr:row>
          <xdr:rowOff>304800</xdr:rowOff>
        </xdr:to>
        <xdr:sp macro="" textlink="">
          <xdr:nvSpPr>
            <xdr:cNvPr id="45101" name="Drop Down 45" hidden="1">
              <a:extLst>
                <a:ext uri="{63B3BB69-23CF-44E3-9099-C40C66FF867C}">
                  <a14:compatExt spid="_x0000_s45101"/>
                </a:ext>
                <a:ext uri="{FF2B5EF4-FFF2-40B4-BE49-F238E27FC236}">
                  <a16:creationId xmlns:a16="http://schemas.microsoft.com/office/drawing/2014/main" id="{00000000-0008-0000-0400-00002D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85725</xdr:rowOff>
        </xdr:from>
        <xdr:to>
          <xdr:col>3</xdr:col>
          <xdr:colOff>1362075</xdr:colOff>
          <xdr:row>18</xdr:row>
          <xdr:rowOff>304800</xdr:rowOff>
        </xdr:to>
        <xdr:sp macro="" textlink="">
          <xdr:nvSpPr>
            <xdr:cNvPr id="45102" name="Drop Down 46" hidden="1">
              <a:extLst>
                <a:ext uri="{63B3BB69-23CF-44E3-9099-C40C66FF867C}">
                  <a14:compatExt spid="_x0000_s45102"/>
                </a:ext>
                <a:ext uri="{FF2B5EF4-FFF2-40B4-BE49-F238E27FC236}">
                  <a16:creationId xmlns:a16="http://schemas.microsoft.com/office/drawing/2014/main" id="{00000000-0008-0000-0400-00002E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66675</xdr:rowOff>
        </xdr:from>
        <xdr:to>
          <xdr:col>3</xdr:col>
          <xdr:colOff>1362075</xdr:colOff>
          <xdr:row>9</xdr:row>
          <xdr:rowOff>285750</xdr:rowOff>
        </xdr:to>
        <xdr:sp macro="" textlink="">
          <xdr:nvSpPr>
            <xdr:cNvPr id="3083" name="Drop Down 11" hidden="1">
              <a:extLst>
                <a:ext uri="{63B3BB69-23CF-44E3-9099-C40C66FF867C}">
                  <a14:compatExt spid="_x0000_s3083"/>
                </a:ext>
                <a:ext uri="{FF2B5EF4-FFF2-40B4-BE49-F238E27FC236}">
                  <a16:creationId xmlns:a16="http://schemas.microsoft.com/office/drawing/2014/main" id="{00000000-0008-0000-0500-00000B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76200</xdr:rowOff>
        </xdr:from>
        <xdr:to>
          <xdr:col>3</xdr:col>
          <xdr:colOff>1362075</xdr:colOff>
          <xdr:row>12</xdr:row>
          <xdr:rowOff>295275</xdr:rowOff>
        </xdr:to>
        <xdr:sp macro="" textlink="">
          <xdr:nvSpPr>
            <xdr:cNvPr id="3084" name="Drop Down 12" hidden="1">
              <a:extLst>
                <a:ext uri="{63B3BB69-23CF-44E3-9099-C40C66FF867C}">
                  <a14:compatExt spid="_x0000_s3084"/>
                </a:ext>
                <a:ext uri="{FF2B5EF4-FFF2-40B4-BE49-F238E27FC236}">
                  <a16:creationId xmlns:a16="http://schemas.microsoft.com/office/drawing/2014/main" id="{00000000-0008-0000-0500-00000C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66675</xdr:rowOff>
        </xdr:from>
        <xdr:to>
          <xdr:col>3</xdr:col>
          <xdr:colOff>1362075</xdr:colOff>
          <xdr:row>15</xdr:row>
          <xdr:rowOff>285750</xdr:rowOff>
        </xdr:to>
        <xdr:sp macro="" textlink="">
          <xdr:nvSpPr>
            <xdr:cNvPr id="3085" name="Drop Down 13" hidden="1">
              <a:extLst>
                <a:ext uri="{63B3BB69-23CF-44E3-9099-C40C66FF867C}">
                  <a14:compatExt spid="_x0000_s3085"/>
                </a:ext>
                <a:ext uri="{FF2B5EF4-FFF2-40B4-BE49-F238E27FC236}">
                  <a16:creationId xmlns:a16="http://schemas.microsoft.com/office/drawing/2014/main" id="{00000000-0008-0000-0500-00000D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76200</xdr:rowOff>
        </xdr:from>
        <xdr:to>
          <xdr:col>3</xdr:col>
          <xdr:colOff>1362075</xdr:colOff>
          <xdr:row>18</xdr:row>
          <xdr:rowOff>295275</xdr:rowOff>
        </xdr:to>
        <xdr:sp macro="" textlink="">
          <xdr:nvSpPr>
            <xdr:cNvPr id="3086" name="Drop Down 14" hidden="1">
              <a:extLst>
                <a:ext uri="{63B3BB69-23CF-44E3-9099-C40C66FF867C}">
                  <a14:compatExt spid="_x0000_s3086"/>
                </a:ext>
                <a:ext uri="{FF2B5EF4-FFF2-40B4-BE49-F238E27FC236}">
                  <a16:creationId xmlns:a16="http://schemas.microsoft.com/office/drawing/2014/main" id="{00000000-0008-0000-05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76200</xdr:rowOff>
        </xdr:from>
        <xdr:to>
          <xdr:col>3</xdr:col>
          <xdr:colOff>1362075</xdr:colOff>
          <xdr:row>21</xdr:row>
          <xdr:rowOff>295275</xdr:rowOff>
        </xdr:to>
        <xdr:sp macro="" textlink="">
          <xdr:nvSpPr>
            <xdr:cNvPr id="3087" name="Drop Down 15" hidden="1">
              <a:extLst>
                <a:ext uri="{63B3BB69-23CF-44E3-9099-C40C66FF867C}">
                  <a14:compatExt spid="_x0000_s3087"/>
                </a:ext>
                <a:ext uri="{FF2B5EF4-FFF2-40B4-BE49-F238E27FC236}">
                  <a16:creationId xmlns:a16="http://schemas.microsoft.com/office/drawing/2014/main" id="{00000000-0008-0000-05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6145" name="Drop Down 1" hidden="1">
              <a:extLst>
                <a:ext uri="{63B3BB69-23CF-44E3-9099-C40C66FF867C}">
                  <a14:compatExt spid="_x0000_s6145"/>
                </a:ext>
                <a:ext uri="{FF2B5EF4-FFF2-40B4-BE49-F238E27FC236}">
                  <a16:creationId xmlns:a16="http://schemas.microsoft.com/office/drawing/2014/main" id="{00000000-0008-0000-0600-000001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66675</xdr:rowOff>
        </xdr:from>
        <xdr:to>
          <xdr:col>3</xdr:col>
          <xdr:colOff>1362075</xdr:colOff>
          <xdr:row>12</xdr:row>
          <xdr:rowOff>285750</xdr:rowOff>
        </xdr:to>
        <xdr:sp macro="" textlink="">
          <xdr:nvSpPr>
            <xdr:cNvPr id="6152" name="Drop Down 8" hidden="1">
              <a:extLst>
                <a:ext uri="{63B3BB69-23CF-44E3-9099-C40C66FF867C}">
                  <a14:compatExt spid="_x0000_s6152"/>
                </a:ext>
                <a:ext uri="{FF2B5EF4-FFF2-40B4-BE49-F238E27FC236}">
                  <a16:creationId xmlns:a16="http://schemas.microsoft.com/office/drawing/2014/main" id="{00000000-0008-0000-06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76200</xdr:rowOff>
        </xdr:from>
        <xdr:to>
          <xdr:col>3</xdr:col>
          <xdr:colOff>1362075</xdr:colOff>
          <xdr:row>15</xdr:row>
          <xdr:rowOff>295275</xdr:rowOff>
        </xdr:to>
        <xdr:sp macro="" textlink="">
          <xdr:nvSpPr>
            <xdr:cNvPr id="6153" name="Drop Down 9" hidden="1">
              <a:extLst>
                <a:ext uri="{63B3BB69-23CF-44E3-9099-C40C66FF867C}">
                  <a14:compatExt spid="_x0000_s6153"/>
                </a:ext>
                <a:ext uri="{FF2B5EF4-FFF2-40B4-BE49-F238E27FC236}">
                  <a16:creationId xmlns:a16="http://schemas.microsoft.com/office/drawing/2014/main" id="{00000000-0008-0000-0600-00000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85725</xdr:rowOff>
        </xdr:from>
        <xdr:to>
          <xdr:col>3</xdr:col>
          <xdr:colOff>1362075</xdr:colOff>
          <xdr:row>21</xdr:row>
          <xdr:rowOff>304800</xdr:rowOff>
        </xdr:to>
        <xdr:sp macro="" textlink="">
          <xdr:nvSpPr>
            <xdr:cNvPr id="6154" name="Drop Down 10" hidden="1">
              <a:extLst>
                <a:ext uri="{63B3BB69-23CF-44E3-9099-C40C66FF867C}">
                  <a14:compatExt spid="_x0000_s6154"/>
                </a:ext>
                <a:ext uri="{FF2B5EF4-FFF2-40B4-BE49-F238E27FC236}">
                  <a16:creationId xmlns:a16="http://schemas.microsoft.com/office/drawing/2014/main" id="{00000000-0008-0000-0600-00000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24</xdr:row>
          <xdr:rowOff>76200</xdr:rowOff>
        </xdr:from>
        <xdr:to>
          <xdr:col>3</xdr:col>
          <xdr:colOff>1362075</xdr:colOff>
          <xdr:row>24</xdr:row>
          <xdr:rowOff>295275</xdr:rowOff>
        </xdr:to>
        <xdr:sp macro="" textlink="">
          <xdr:nvSpPr>
            <xdr:cNvPr id="6155" name="Drop Down 11" hidden="1">
              <a:extLst>
                <a:ext uri="{63B3BB69-23CF-44E3-9099-C40C66FF867C}">
                  <a14:compatExt spid="_x0000_s6155"/>
                </a:ext>
                <a:ext uri="{FF2B5EF4-FFF2-40B4-BE49-F238E27FC236}">
                  <a16:creationId xmlns:a16="http://schemas.microsoft.com/office/drawing/2014/main" id="{00000000-0008-0000-0600-00000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66675</xdr:rowOff>
        </xdr:from>
        <xdr:to>
          <xdr:col>3</xdr:col>
          <xdr:colOff>1362075</xdr:colOff>
          <xdr:row>9</xdr:row>
          <xdr:rowOff>285750</xdr:rowOff>
        </xdr:to>
        <xdr:sp macro="" textlink="">
          <xdr:nvSpPr>
            <xdr:cNvPr id="6156" name="Drop Down 12" hidden="1">
              <a:extLst>
                <a:ext uri="{63B3BB69-23CF-44E3-9099-C40C66FF867C}">
                  <a14:compatExt spid="_x0000_s6156"/>
                </a:ext>
                <a:ext uri="{FF2B5EF4-FFF2-40B4-BE49-F238E27FC236}">
                  <a16:creationId xmlns:a16="http://schemas.microsoft.com/office/drawing/2014/main" id="{00000000-0008-0000-06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76200</xdr:rowOff>
        </xdr:from>
        <xdr:to>
          <xdr:col>3</xdr:col>
          <xdr:colOff>1362075</xdr:colOff>
          <xdr:row>18</xdr:row>
          <xdr:rowOff>295275</xdr:rowOff>
        </xdr:to>
        <xdr:sp macro="" textlink="">
          <xdr:nvSpPr>
            <xdr:cNvPr id="6157" name="Drop Down 13" hidden="1">
              <a:extLst>
                <a:ext uri="{63B3BB69-23CF-44E3-9099-C40C66FF867C}">
                  <a14:compatExt spid="_x0000_s6157"/>
                </a:ext>
                <a:ext uri="{FF2B5EF4-FFF2-40B4-BE49-F238E27FC236}">
                  <a16:creationId xmlns:a16="http://schemas.microsoft.com/office/drawing/2014/main" id="{00000000-0008-0000-06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7169" name="Drop Down 1" hidden="1">
              <a:extLst>
                <a:ext uri="{63B3BB69-23CF-44E3-9099-C40C66FF867C}">
                  <a14:compatExt spid="_x0000_s7169"/>
                </a:ext>
                <a:ext uri="{FF2B5EF4-FFF2-40B4-BE49-F238E27FC236}">
                  <a16:creationId xmlns:a16="http://schemas.microsoft.com/office/drawing/2014/main" id="{00000000-0008-0000-07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85725</xdr:rowOff>
        </xdr:from>
        <xdr:to>
          <xdr:col>3</xdr:col>
          <xdr:colOff>1362075</xdr:colOff>
          <xdr:row>9</xdr:row>
          <xdr:rowOff>304800</xdr:rowOff>
        </xdr:to>
        <xdr:sp macro="" textlink="">
          <xdr:nvSpPr>
            <xdr:cNvPr id="7185" name="Drop Down 17" hidden="1">
              <a:extLst>
                <a:ext uri="{63B3BB69-23CF-44E3-9099-C40C66FF867C}">
                  <a14:compatExt spid="_x0000_s7185"/>
                </a:ext>
                <a:ext uri="{FF2B5EF4-FFF2-40B4-BE49-F238E27FC236}">
                  <a16:creationId xmlns:a16="http://schemas.microsoft.com/office/drawing/2014/main" id="{00000000-0008-0000-0700-00001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95250</xdr:rowOff>
        </xdr:from>
        <xdr:to>
          <xdr:col>3</xdr:col>
          <xdr:colOff>1362075</xdr:colOff>
          <xdr:row>12</xdr:row>
          <xdr:rowOff>314325</xdr:rowOff>
        </xdr:to>
        <xdr:sp macro="" textlink="">
          <xdr:nvSpPr>
            <xdr:cNvPr id="7186" name="Drop Down 18" hidden="1">
              <a:extLst>
                <a:ext uri="{63B3BB69-23CF-44E3-9099-C40C66FF867C}">
                  <a14:compatExt spid="_x0000_s7186"/>
                </a:ext>
                <a:ext uri="{FF2B5EF4-FFF2-40B4-BE49-F238E27FC236}">
                  <a16:creationId xmlns:a16="http://schemas.microsoft.com/office/drawing/2014/main" id="{00000000-0008-0000-0700-00001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104775</xdr:rowOff>
        </xdr:from>
        <xdr:to>
          <xdr:col>3</xdr:col>
          <xdr:colOff>1362075</xdr:colOff>
          <xdr:row>18</xdr:row>
          <xdr:rowOff>323850</xdr:rowOff>
        </xdr:to>
        <xdr:sp macro="" textlink="">
          <xdr:nvSpPr>
            <xdr:cNvPr id="7187" name="Drop Down 19" hidden="1">
              <a:extLst>
                <a:ext uri="{63B3BB69-23CF-44E3-9099-C40C66FF867C}">
                  <a14:compatExt spid="_x0000_s7187"/>
                </a:ext>
                <a:ext uri="{FF2B5EF4-FFF2-40B4-BE49-F238E27FC236}">
                  <a16:creationId xmlns:a16="http://schemas.microsoft.com/office/drawing/2014/main" id="{00000000-0008-0000-0700-000013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114300</xdr:rowOff>
        </xdr:from>
        <xdr:to>
          <xdr:col>3</xdr:col>
          <xdr:colOff>1362075</xdr:colOff>
          <xdr:row>21</xdr:row>
          <xdr:rowOff>333375</xdr:rowOff>
        </xdr:to>
        <xdr:sp macro="" textlink="">
          <xdr:nvSpPr>
            <xdr:cNvPr id="7188" name="Drop Down 20" hidden="1">
              <a:extLst>
                <a:ext uri="{63B3BB69-23CF-44E3-9099-C40C66FF867C}">
                  <a14:compatExt spid="_x0000_s7188"/>
                </a:ext>
                <a:ext uri="{FF2B5EF4-FFF2-40B4-BE49-F238E27FC236}">
                  <a16:creationId xmlns:a16="http://schemas.microsoft.com/office/drawing/2014/main" id="{00000000-0008-0000-0700-000014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85725</xdr:rowOff>
        </xdr:from>
        <xdr:to>
          <xdr:col>3</xdr:col>
          <xdr:colOff>1362075</xdr:colOff>
          <xdr:row>15</xdr:row>
          <xdr:rowOff>304800</xdr:rowOff>
        </xdr:to>
        <xdr:sp macro="" textlink="">
          <xdr:nvSpPr>
            <xdr:cNvPr id="7190" name="Drop Down 22" hidden="1">
              <a:extLst>
                <a:ext uri="{63B3BB69-23CF-44E3-9099-C40C66FF867C}">
                  <a14:compatExt spid="_x0000_s7190"/>
                </a:ext>
                <a:ext uri="{FF2B5EF4-FFF2-40B4-BE49-F238E27FC236}">
                  <a16:creationId xmlns:a16="http://schemas.microsoft.com/office/drawing/2014/main" id="{00000000-0008-0000-0700-000016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8223" name="Drop Down 31" hidden="1">
              <a:extLst>
                <a:ext uri="{63B3BB69-23CF-44E3-9099-C40C66FF867C}">
                  <a14:compatExt spid="_x0000_s8223"/>
                </a:ext>
                <a:ext uri="{FF2B5EF4-FFF2-40B4-BE49-F238E27FC236}">
                  <a16:creationId xmlns:a16="http://schemas.microsoft.com/office/drawing/2014/main" id="{00000000-0008-0000-08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76200</xdr:rowOff>
        </xdr:from>
        <xdr:to>
          <xdr:col>3</xdr:col>
          <xdr:colOff>1362075</xdr:colOff>
          <xdr:row>9</xdr:row>
          <xdr:rowOff>295275</xdr:rowOff>
        </xdr:to>
        <xdr:sp macro="" textlink="">
          <xdr:nvSpPr>
            <xdr:cNvPr id="8225" name="Drop Down 33" hidden="1">
              <a:extLst>
                <a:ext uri="{63B3BB69-23CF-44E3-9099-C40C66FF867C}">
                  <a14:compatExt spid="_x0000_s8225"/>
                </a:ext>
                <a:ext uri="{FF2B5EF4-FFF2-40B4-BE49-F238E27FC236}">
                  <a16:creationId xmlns:a16="http://schemas.microsoft.com/office/drawing/2014/main" id="{00000000-0008-0000-0800-000021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66675</xdr:rowOff>
        </xdr:from>
        <xdr:to>
          <xdr:col>3</xdr:col>
          <xdr:colOff>1362075</xdr:colOff>
          <xdr:row>15</xdr:row>
          <xdr:rowOff>285750</xdr:rowOff>
        </xdr:to>
        <xdr:sp macro="" textlink="">
          <xdr:nvSpPr>
            <xdr:cNvPr id="8233" name="Drop Down 41" hidden="1">
              <a:extLst>
                <a:ext uri="{63B3BB69-23CF-44E3-9099-C40C66FF867C}">
                  <a14:compatExt spid="_x0000_s8233"/>
                </a:ext>
                <a:ext uri="{FF2B5EF4-FFF2-40B4-BE49-F238E27FC236}">
                  <a16:creationId xmlns:a16="http://schemas.microsoft.com/office/drawing/2014/main" id="{00000000-0008-0000-0800-00002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76200</xdr:rowOff>
        </xdr:from>
        <xdr:to>
          <xdr:col>3</xdr:col>
          <xdr:colOff>1362075</xdr:colOff>
          <xdr:row>18</xdr:row>
          <xdr:rowOff>295275</xdr:rowOff>
        </xdr:to>
        <xdr:sp macro="" textlink="">
          <xdr:nvSpPr>
            <xdr:cNvPr id="8272" name="Drop Down 80" hidden="1">
              <a:extLst>
                <a:ext uri="{63B3BB69-23CF-44E3-9099-C40C66FF867C}">
                  <a14:compatExt spid="_x0000_s8272"/>
                </a:ext>
                <a:ext uri="{FF2B5EF4-FFF2-40B4-BE49-F238E27FC236}">
                  <a16:creationId xmlns:a16="http://schemas.microsoft.com/office/drawing/2014/main" id="{00000000-0008-0000-0800-00005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76200</xdr:rowOff>
        </xdr:from>
        <xdr:to>
          <xdr:col>3</xdr:col>
          <xdr:colOff>1362075</xdr:colOff>
          <xdr:row>12</xdr:row>
          <xdr:rowOff>295275</xdr:rowOff>
        </xdr:to>
        <xdr:sp macro="" textlink="">
          <xdr:nvSpPr>
            <xdr:cNvPr id="8275" name="Drop Down 83" hidden="1">
              <a:extLst>
                <a:ext uri="{63B3BB69-23CF-44E3-9099-C40C66FF867C}">
                  <a14:compatExt spid="_x0000_s8275"/>
                </a:ext>
                <a:ext uri="{FF2B5EF4-FFF2-40B4-BE49-F238E27FC236}">
                  <a16:creationId xmlns:a16="http://schemas.microsoft.com/office/drawing/2014/main" id="{00000000-0008-0000-0800-000053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6</xdr:row>
          <xdr:rowOff>66675</xdr:rowOff>
        </xdr:from>
        <xdr:to>
          <xdr:col>3</xdr:col>
          <xdr:colOff>1362075</xdr:colOff>
          <xdr:row>6</xdr:row>
          <xdr:rowOff>285750</xdr:rowOff>
        </xdr:to>
        <xdr:sp macro="" textlink="">
          <xdr:nvSpPr>
            <xdr:cNvPr id="4104" name="Drop Down 8" hidden="1">
              <a:extLst>
                <a:ext uri="{63B3BB69-23CF-44E3-9099-C40C66FF867C}">
                  <a14:compatExt spid="_x0000_s4104"/>
                </a:ext>
                <a:ext uri="{FF2B5EF4-FFF2-40B4-BE49-F238E27FC236}">
                  <a16:creationId xmlns:a16="http://schemas.microsoft.com/office/drawing/2014/main" id="{00000000-0008-0000-0900-00000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9</xdr:row>
          <xdr:rowOff>85725</xdr:rowOff>
        </xdr:from>
        <xdr:to>
          <xdr:col>3</xdr:col>
          <xdr:colOff>1362075</xdr:colOff>
          <xdr:row>9</xdr:row>
          <xdr:rowOff>304800</xdr:rowOff>
        </xdr:to>
        <xdr:sp macro="" textlink="">
          <xdr:nvSpPr>
            <xdr:cNvPr id="4115" name="Drop Down 19" hidden="1">
              <a:extLst>
                <a:ext uri="{63B3BB69-23CF-44E3-9099-C40C66FF867C}">
                  <a14:compatExt spid="_x0000_s4115"/>
                </a:ext>
                <a:ext uri="{FF2B5EF4-FFF2-40B4-BE49-F238E27FC236}">
                  <a16:creationId xmlns:a16="http://schemas.microsoft.com/office/drawing/2014/main" id="{00000000-0008-0000-0900-00001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12</xdr:row>
          <xdr:rowOff>85725</xdr:rowOff>
        </xdr:from>
        <xdr:to>
          <xdr:col>3</xdr:col>
          <xdr:colOff>1362075</xdr:colOff>
          <xdr:row>12</xdr:row>
          <xdr:rowOff>304800</xdr:rowOff>
        </xdr:to>
        <xdr:sp macro="" textlink="">
          <xdr:nvSpPr>
            <xdr:cNvPr id="4116" name="Drop Down 20" hidden="1">
              <a:extLst>
                <a:ext uri="{63B3BB69-23CF-44E3-9099-C40C66FF867C}">
                  <a14:compatExt spid="_x0000_s4116"/>
                </a:ext>
                <a:ext uri="{FF2B5EF4-FFF2-40B4-BE49-F238E27FC236}">
                  <a16:creationId xmlns:a16="http://schemas.microsoft.com/office/drawing/2014/main" id="{00000000-0008-0000-0900-00001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15</xdr:row>
          <xdr:rowOff>95250</xdr:rowOff>
        </xdr:from>
        <xdr:to>
          <xdr:col>3</xdr:col>
          <xdr:colOff>1362075</xdr:colOff>
          <xdr:row>15</xdr:row>
          <xdr:rowOff>314325</xdr:rowOff>
        </xdr:to>
        <xdr:sp macro="" textlink="">
          <xdr:nvSpPr>
            <xdr:cNvPr id="4117" name="Drop Down 21" hidden="1">
              <a:extLst>
                <a:ext uri="{63B3BB69-23CF-44E3-9099-C40C66FF867C}">
                  <a14:compatExt spid="_x0000_s4117"/>
                </a:ext>
                <a:ext uri="{FF2B5EF4-FFF2-40B4-BE49-F238E27FC236}">
                  <a16:creationId xmlns:a16="http://schemas.microsoft.com/office/drawing/2014/main" id="{00000000-0008-0000-09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18</xdr:row>
          <xdr:rowOff>104775</xdr:rowOff>
        </xdr:from>
        <xdr:to>
          <xdr:col>3</xdr:col>
          <xdr:colOff>1362075</xdr:colOff>
          <xdr:row>18</xdr:row>
          <xdr:rowOff>323850</xdr:rowOff>
        </xdr:to>
        <xdr:sp macro="" textlink="">
          <xdr:nvSpPr>
            <xdr:cNvPr id="4119" name="Drop Down 23" hidden="1">
              <a:extLst>
                <a:ext uri="{63B3BB69-23CF-44E3-9099-C40C66FF867C}">
                  <a14:compatExt spid="_x0000_s4119"/>
                </a:ext>
                <a:ext uri="{FF2B5EF4-FFF2-40B4-BE49-F238E27FC236}">
                  <a16:creationId xmlns:a16="http://schemas.microsoft.com/office/drawing/2014/main" id="{00000000-0008-0000-0900-000017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104775</xdr:colOff>
          <xdr:row>21</xdr:row>
          <xdr:rowOff>104775</xdr:rowOff>
        </xdr:from>
        <xdr:to>
          <xdr:col>3</xdr:col>
          <xdr:colOff>1362075</xdr:colOff>
          <xdr:row>21</xdr:row>
          <xdr:rowOff>323850</xdr:rowOff>
        </xdr:to>
        <xdr:sp macro="" textlink="">
          <xdr:nvSpPr>
            <xdr:cNvPr id="4120" name="Drop Down 24" hidden="1">
              <a:extLst>
                <a:ext uri="{63B3BB69-23CF-44E3-9099-C40C66FF867C}">
                  <a14:compatExt spid="_x0000_s4120"/>
                </a:ext>
                <a:ext uri="{FF2B5EF4-FFF2-40B4-BE49-F238E27FC236}">
                  <a16:creationId xmlns:a16="http://schemas.microsoft.com/office/drawing/2014/main" id="{00000000-0008-0000-0900-000018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361950</xdr:colOff>
          <xdr:row>4</xdr:row>
          <xdr:rowOff>66675</xdr:rowOff>
        </xdr:from>
        <xdr:to>
          <xdr:col>14</xdr:col>
          <xdr:colOff>9525</xdr:colOff>
          <xdr:row>4</xdr:row>
          <xdr:rowOff>361950</xdr:rowOff>
        </xdr:to>
        <xdr:sp macro="" textlink="">
          <xdr:nvSpPr>
            <xdr:cNvPr id="11265" name="Button_LOP_Erstellen" hidden="1">
              <a:extLst>
                <a:ext uri="{63B3BB69-23CF-44E3-9099-C40C66FF867C}">
                  <a14:compatExt spid="_x0000_s11265"/>
                </a:ext>
                <a:ext uri="{FF2B5EF4-FFF2-40B4-BE49-F238E27FC236}">
                  <a16:creationId xmlns:a16="http://schemas.microsoft.com/office/drawing/2014/main" id="{00000000-0008-0000-0B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xdr:from>
      <xdr:col>1</xdr:col>
      <xdr:colOff>9525</xdr:colOff>
      <xdr:row>2</xdr:row>
      <xdr:rowOff>95250</xdr:rowOff>
    </xdr:from>
    <xdr:to>
      <xdr:col>2</xdr:col>
      <xdr:colOff>28575</xdr:colOff>
      <xdr:row>55</xdr:row>
      <xdr:rowOff>123825</xdr:rowOff>
    </xdr:to>
    <xdr:sp macro="" textlink="">
      <xdr:nvSpPr>
        <xdr:cNvPr id="2" name="Textfeld 1">
          <a:extLst>
            <a:ext uri="{FF2B5EF4-FFF2-40B4-BE49-F238E27FC236}">
              <a16:creationId xmlns:a16="http://schemas.microsoft.com/office/drawing/2014/main" id="{00000000-0008-0000-0C00-000002000000}"/>
            </a:ext>
          </a:extLst>
        </xdr:cNvPr>
        <xdr:cNvSpPr txBox="1"/>
      </xdr:nvSpPr>
      <xdr:spPr>
        <a:xfrm>
          <a:off x="209550" y="885825"/>
          <a:ext cx="7696200" cy="10039350"/>
        </a:xfrm>
        <a:prstGeom prst="rect">
          <a:avLst/>
        </a:prstGeom>
        <a:solidFill>
          <a:schemeClr val="lt1"/>
        </a:solidFill>
        <a:ln w="19050"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algn="l"/>
          <a:r>
            <a:rPr lang="de-DE" sz="1100">
              <a:latin typeface="Audi Type" pitchFamily="34" charset="0"/>
            </a:rPr>
            <a:t>[</a:t>
          </a:r>
          <a:r>
            <a:rPr lang="de-DE" sz="1100" i="1">
              <a:latin typeface="Audi Type" pitchFamily="34" charset="0"/>
            </a:rPr>
            <a:t>internal remarks</a:t>
          </a:r>
          <a:r>
            <a:rPr lang="de-DE" sz="1100">
              <a:latin typeface="Audi Type" pitchFamily="34" charset="0"/>
            </a:rPr>
            <a:t>]</a:t>
          </a:r>
        </a:p>
      </xdr:txBody>
    </xdr:sp>
    <xdr:clientData/>
  </xdr:twoCellAnchor>
</xdr:wsDr>
</file>

<file path=xl/theme/theme1.xml><?xml version="1.0" encoding="utf-8"?>
<a:theme xmlns:a="http://schemas.openxmlformats.org/drawingml/2006/main" name="Audi">
  <a:themeElements>
    <a:clrScheme name="Audi Standard">
      <a:dk1>
        <a:srgbClr val="000000"/>
      </a:dk1>
      <a:lt1>
        <a:srgbClr val="FFFFFF"/>
      </a:lt1>
      <a:dk2>
        <a:srgbClr val="000000"/>
      </a:dk2>
      <a:lt2>
        <a:srgbClr val="B0B6B8"/>
      </a:lt2>
      <a:accent1>
        <a:srgbClr val="434C53"/>
      </a:accent1>
      <a:accent2>
        <a:srgbClr val="D5D9D8"/>
      </a:accent2>
      <a:accent3>
        <a:srgbClr val="6D7579"/>
      </a:accent3>
      <a:accent4>
        <a:srgbClr val="CACE98"/>
      </a:accent4>
      <a:accent5>
        <a:srgbClr val="B0B6AD"/>
      </a:accent5>
      <a:accent6>
        <a:srgbClr val="B9002D"/>
      </a:accent6>
      <a:hlink>
        <a:srgbClr val="6682A4"/>
      </a:hlink>
      <a:folHlink>
        <a:srgbClr val="6C4859"/>
      </a:folHlink>
    </a:clrScheme>
    <a:fontScheme name="Audi">
      <a:majorFont>
        <a:latin typeface="Arial"/>
        <a:ea typeface=""/>
        <a:cs typeface=""/>
      </a:majorFont>
      <a:minorFont>
        <a:latin typeface="Arial"/>
        <a:ea typeface=""/>
        <a:cs typeface=""/>
      </a:minorFont>
    </a:fontScheme>
    <a:fmtScheme name="Audi">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spDef>
    <a:lnDef>
      <a:spPr bwMode="auto">
        <a:xfrm>
          <a:off x="0" y="0"/>
          <a:ext cx="1" cy="1"/>
        </a:xfrm>
        <a:custGeom>
          <a:avLst/>
          <a:gdLst/>
          <a:ahLst/>
          <a:cxnLst/>
          <a:rect l="0" t="0" r="0" b="0"/>
          <a:pathLst/>
        </a:custGeom>
        <a:solidFill>
          <a:schemeClr val="accent1"/>
        </a:solidFill>
        <a:ln w="9525" cap="flat" cmpd="sng" algn="ctr">
          <a:solidFill>
            <a:schemeClr val="tx1"/>
          </a:solidFill>
          <a:prstDash val="solid"/>
          <a:round/>
          <a:headEnd type="none" w="med" len="med"/>
          <a:tailEnd type="none" w="med" len="med"/>
        </a:ln>
        <a:effectLst/>
      </a:spPr>
      <a:bodyPr vert="horz" wrap="none" lIns="0" tIns="0" rIns="0" bIns="0" numCol="1" anchor="ctr" anchorCtr="0" compatLnSpc="1">
        <a:prstTxWarp prst="textNoShape">
          <a:avLst/>
        </a:prstTxWarp>
      </a:bodyPr>
      <a:lstStyle>
        <a:defPPr marL="0" marR="0" indent="0" algn="l" defTabSz="914400" rtl="0" eaLnBrk="0" fontAlgn="base" latinLnBrk="0" hangingPunct="0">
          <a:lnSpc>
            <a:spcPct val="100000"/>
          </a:lnSpc>
          <a:spcBef>
            <a:spcPct val="0"/>
          </a:spcBef>
          <a:spcAft>
            <a:spcPct val="0"/>
          </a:spcAft>
          <a:buClrTx/>
          <a:buSzTx/>
          <a:buFontTx/>
          <a:buNone/>
          <a:tabLst/>
          <a:defRPr kumimoji="0" lang="en-US" sz="2400" b="0" i="0" u="none" strike="noStrike" cap="none" normalizeH="0" baseline="0" smtClean="0">
            <a:ln>
              <a:noFill/>
            </a:ln>
            <a:solidFill>
              <a:schemeClr val="tx1"/>
            </a:solidFill>
            <a:effectLst/>
            <a:latin typeface="Arial" charset="0"/>
          </a:defRPr>
        </a:defPPr>
      </a:lstStyle>
    </a:lnDef>
  </a:objectDefaults>
  <a:extraClrSchemeLst>
    <a:extraClrScheme>
      <a:clrScheme name="Audi">
        <a:dk1>
          <a:srgbClr val="000000"/>
        </a:dk1>
        <a:lt1>
          <a:srgbClr val="CDCDCD"/>
        </a:lt1>
        <a:dk2>
          <a:srgbClr val="000000"/>
        </a:dk2>
        <a:lt2>
          <a:srgbClr val="999999"/>
        </a:lt2>
        <a:accent1>
          <a:srgbClr val="FED900"/>
        </a:accent1>
        <a:accent2>
          <a:srgbClr val="FCAF00"/>
        </a:accent2>
        <a:accent3>
          <a:srgbClr val="2C9730"/>
        </a:accent3>
        <a:accent4>
          <a:srgbClr val="E3D36F"/>
        </a:accent4>
        <a:accent5>
          <a:srgbClr val="FEE9AA"/>
        </a:accent5>
        <a:accent6>
          <a:srgbClr val="A4AA73"/>
        </a:accent6>
        <a:hlink>
          <a:srgbClr val="339999"/>
        </a:hlink>
        <a:folHlink>
          <a:srgbClr val="009FCE"/>
        </a:folHlink>
      </a:clrScheme>
      <a:clrMap bg1="lt1" tx1="dk1" bg2="lt2" tx2="dk2" accent1="accent1" accent2="accent2" accent3="accent3" accent4="accent4" accent5="accent5" accent6="accent6" hlink="hlink" folHlink="folHlink"/>
    </a:extraClrScheme>
  </a:extraClrSchemeLst>
  <a:custClrLst>
    <a:custClr name="PMS 108">
      <a:srgbClr val="FEF000"/>
    </a:custClr>
    <a:custClr name="PMS 130">
      <a:srgbClr val="FBBB1B"/>
    </a:custClr>
    <a:custClr name="PMS 158">
      <a:srgbClr val="F6751F"/>
    </a:custClr>
    <a:custClr name="PMS 398">
      <a:srgbClr val="C5C12D"/>
    </a:custClr>
    <a:custClr name="PMS 377">
      <a:srgbClr val="669933"/>
    </a:custClr>
    <a:custClr name="PMS 347">
      <a:srgbClr val="008F54"/>
    </a:custClr>
    <a:custClr name="PMS 313">
      <a:srgbClr val="02B3E1"/>
    </a:custClr>
    <a:custClr name="PMS 5483">
      <a:srgbClr val="55959E"/>
    </a:custClr>
    <a:custClr name="PMS 556">
      <a:srgbClr val="7FBAA5"/>
    </a:custClr>
    <a:custClr name="Audi Cool Gray 9">
      <a:srgbClr val="5E5E5E"/>
    </a:custClr>
  </a:custClr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vmlDrawing" Target="../drawings/vmlDrawing1.vml"/><Relationship Id="rId12" Type="http://schemas.openxmlformats.org/officeDocument/2006/relationships/image" Target="../media/image4.emf"/><Relationship Id="rId7" Type="http://schemas.openxmlformats.org/officeDocument/2006/relationships/control" Target="../activeX/activeX2.xml"/><Relationship Id="rId2" Type="http://schemas.openxmlformats.org/officeDocument/2006/relationships/drawing" Target="../drawings/drawing1.xml"/><Relationship Id="rId16" Type="http://schemas.openxmlformats.org/officeDocument/2006/relationships/image" Target="../media/image6.emf"/><Relationship Id="rId1" Type="http://schemas.openxmlformats.org/officeDocument/2006/relationships/printerSettings" Target="../printerSettings/printerSettings1.bin"/><Relationship Id="rId11" Type="http://schemas.openxmlformats.org/officeDocument/2006/relationships/control" Target="../activeX/activeX4.xml"/><Relationship Id="rId6" Type="http://schemas.openxmlformats.org/officeDocument/2006/relationships/image" Target="../media/image1.emf"/><Relationship Id="rId15" Type="http://schemas.openxmlformats.org/officeDocument/2006/relationships/control" Target="../activeX/activeX6.xml"/><Relationship Id="rId5" Type="http://schemas.openxmlformats.org/officeDocument/2006/relationships/control" Target="../activeX/activeX1.xml"/><Relationship Id="rId10" Type="http://schemas.openxmlformats.org/officeDocument/2006/relationships/image" Target="../media/image3.emf"/><Relationship Id="rId4" Type="http://schemas.openxmlformats.org/officeDocument/2006/relationships/vmlDrawing" Target="../drawings/vmlDrawing2.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5.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vmlDrawing" Target="../drawings/vmlDrawing6.vml"/><Relationship Id="rId7" Type="http://schemas.openxmlformats.org/officeDocument/2006/relationships/ctrlProp" Target="../ctrlProps/ctrlProp11.x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7.vml"/><Relationship Id="rId7" Type="http://schemas.openxmlformats.org/officeDocument/2006/relationships/ctrlProp" Target="../ctrlProps/ctrlProp16.x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8.vml"/><Relationship Id="rId7" Type="http://schemas.openxmlformats.org/officeDocument/2006/relationships/ctrlProp" Target="../ctrlProps/ctrlProp22.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10" Type="http://schemas.openxmlformats.org/officeDocument/2006/relationships/ctrlProp" Target="../ctrlProps/ctrlProp25.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9.vml"/><Relationship Id="rId7" Type="http://schemas.openxmlformats.org/officeDocument/2006/relationships/ctrlProp" Target="../ctrlProps/ctrlProp29.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34.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1.xml"/><Relationship Id="rId3" Type="http://schemas.openxmlformats.org/officeDocument/2006/relationships/vmlDrawing" Target="../drawings/vmlDrawing11.vml"/><Relationship Id="rId7" Type="http://schemas.openxmlformats.org/officeDocument/2006/relationships/ctrlProp" Target="../ctrlProps/ctrlProp40.x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39.xml"/><Relationship Id="rId5" Type="http://schemas.openxmlformats.org/officeDocument/2006/relationships/ctrlProp" Target="../ctrlProps/ctrlProp38.xml"/><Relationship Id="rId4" Type="http://schemas.openxmlformats.org/officeDocument/2006/relationships/ctrlProp" Target="../ctrlProps/ctrlProp37.xml"/><Relationship Id="rId9" Type="http://schemas.openxmlformats.org/officeDocument/2006/relationships/ctrlProp" Target="../ctrlProps/ctrlProp42.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0.xml"/><Relationship Id="rId1" Type="http://schemas.openxmlformats.org/officeDocument/2006/relationships/printerSettings" Target="../printerSettings/printerSettings12.bin"/><Relationship Id="rId6" Type="http://schemas.openxmlformats.org/officeDocument/2006/relationships/image" Target="../media/image10.emf"/><Relationship Id="rId5" Type="http://schemas.openxmlformats.org/officeDocument/2006/relationships/control" Target="../activeX/activeX7.xml"/><Relationship Id="rId4" Type="http://schemas.openxmlformats.org/officeDocument/2006/relationships/vmlDrawing" Target="../drawings/vmlDrawing13.v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pageSetUpPr fitToPage="1"/>
  </sheetPr>
  <dimension ref="A1:W52"/>
  <sheetViews>
    <sheetView tabSelected="1" zoomScaleNormal="100" workbookViewId="0">
      <selection activeCell="C8" sqref="C8:E8"/>
    </sheetView>
  </sheetViews>
  <sheetFormatPr defaultColWidth="11" defaultRowHeight="12.75"/>
  <cols>
    <col min="1" max="1" width="2.625" style="2" customWidth="1"/>
    <col min="2" max="2" width="30" style="2" customWidth="1"/>
    <col min="3" max="3" width="30.125" style="2" customWidth="1"/>
    <col min="4" max="4" width="2.625" style="2" customWidth="1"/>
    <col min="5" max="5" width="12.75" style="2" customWidth="1"/>
    <col min="6" max="6" width="2.625" style="2" customWidth="1"/>
    <col min="7" max="10" width="11" style="2" customWidth="1"/>
    <col min="11" max="11" width="2.875" style="2" customWidth="1"/>
    <col min="12" max="22" width="11" style="2" customWidth="1"/>
    <col min="23" max="23" width="38.875" style="17" customWidth="1"/>
    <col min="24" max="16384" width="11" style="2"/>
  </cols>
  <sheetData>
    <row r="1" spans="1:23" ht="36" thickBot="1">
      <c r="A1" s="254" t="s">
        <v>0</v>
      </c>
      <c r="B1" s="254"/>
      <c r="C1" s="254"/>
      <c r="D1" s="254"/>
      <c r="E1" s="254"/>
      <c r="F1" s="254"/>
      <c r="G1" s="35"/>
      <c r="H1" s="19"/>
      <c r="I1" s="19"/>
      <c r="J1" s="19"/>
      <c r="K1" s="19"/>
      <c r="L1" s="19"/>
      <c r="M1" s="19"/>
      <c r="N1" s="19"/>
      <c r="O1" s="19"/>
      <c r="P1" s="19"/>
      <c r="Q1" s="19"/>
      <c r="R1" s="19"/>
      <c r="S1" s="19"/>
      <c r="T1" s="19"/>
      <c r="U1" s="19"/>
      <c r="V1" s="19"/>
    </row>
    <row r="2" spans="1:23" ht="26.25" thickBot="1">
      <c r="A2" s="3"/>
      <c r="B2" s="4" t="s">
        <v>1</v>
      </c>
      <c r="C2" s="5"/>
      <c r="D2" s="5"/>
      <c r="E2" s="33"/>
      <c r="F2" s="6"/>
      <c r="G2" s="127"/>
      <c r="H2" s="19"/>
      <c r="I2" s="19"/>
      <c r="J2" s="19"/>
      <c r="K2" s="19"/>
      <c r="L2" s="19"/>
      <c r="M2" s="19"/>
      <c r="N2" s="19"/>
      <c r="O2" s="19"/>
      <c r="P2" s="19"/>
      <c r="Q2" s="19"/>
      <c r="R2" s="19"/>
      <c r="S2" s="19"/>
      <c r="T2" s="19"/>
      <c r="U2" s="19"/>
      <c r="V2" s="19"/>
    </row>
    <row r="3" spans="1:23" s="22" customFormat="1">
      <c r="A3" s="130"/>
      <c r="B3" s="129"/>
      <c r="C3" s="129"/>
      <c r="D3" s="129"/>
      <c r="E3" s="129"/>
      <c r="F3" s="131"/>
      <c r="G3" s="129"/>
      <c r="H3" s="289" t="s">
        <v>2</v>
      </c>
      <c r="I3" s="290"/>
      <c r="J3" s="291"/>
      <c r="K3" s="2"/>
      <c r="L3" s="292" t="s">
        <v>3</v>
      </c>
      <c r="M3" s="293"/>
      <c r="N3" s="294"/>
      <c r="O3" s="129"/>
      <c r="P3" s="129"/>
      <c r="Q3" s="129"/>
      <c r="R3" s="129"/>
      <c r="S3" s="129"/>
      <c r="T3" s="129"/>
      <c r="U3" s="129"/>
      <c r="V3" s="129"/>
      <c r="W3" s="24"/>
    </row>
    <row r="4" spans="1:23" ht="13.5" thickBot="1">
      <c r="A4" s="132"/>
      <c r="B4" s="14" t="s">
        <v>4</v>
      </c>
      <c r="C4" s="249">
        <v>45252</v>
      </c>
      <c r="D4" s="128"/>
      <c r="E4" s="128"/>
      <c r="F4" s="133"/>
      <c r="G4" s="128"/>
      <c r="H4" s="274"/>
      <c r="I4" s="275"/>
      <c r="J4" s="276"/>
      <c r="K4" s="22"/>
      <c r="L4" s="295"/>
      <c r="M4" s="296"/>
      <c r="N4" s="297"/>
      <c r="O4" s="128"/>
      <c r="P4" s="128"/>
      <c r="Q4" s="128"/>
      <c r="R4" s="128"/>
      <c r="S4" s="128"/>
      <c r="T4" s="128"/>
      <c r="U4" s="128"/>
      <c r="V4" s="128"/>
    </row>
    <row r="5" spans="1:23" s="22" customFormat="1" ht="12.75" customHeight="1">
      <c r="A5" s="21"/>
      <c r="F5" s="23"/>
      <c r="H5" s="274"/>
      <c r="I5" s="275"/>
      <c r="J5" s="276"/>
      <c r="K5" s="2"/>
      <c r="L5" s="271" t="s">
        <v>5</v>
      </c>
      <c r="M5" s="272"/>
      <c r="N5" s="273"/>
      <c r="W5" s="24"/>
    </row>
    <row r="6" spans="1:23" ht="45.75">
      <c r="A6" s="7"/>
      <c r="B6" s="235" t="s">
        <v>6</v>
      </c>
      <c r="C6" s="134"/>
      <c r="D6" s="135"/>
      <c r="E6" s="135"/>
      <c r="F6" s="113"/>
      <c r="H6" s="274"/>
      <c r="I6" s="275"/>
      <c r="J6" s="276"/>
      <c r="L6" s="274"/>
      <c r="M6" s="275"/>
      <c r="N6" s="276"/>
    </row>
    <row r="7" spans="1:23" s="22" customFormat="1" ht="8.25" customHeight="1">
      <c r="A7" s="21"/>
      <c r="B7" s="25"/>
      <c r="C7" s="26"/>
      <c r="D7" s="26"/>
      <c r="E7" s="26"/>
      <c r="F7" s="23"/>
      <c r="H7" s="116"/>
      <c r="I7" s="187"/>
      <c r="J7" s="117"/>
      <c r="L7" s="277">
        <v>2</v>
      </c>
      <c r="M7" s="278"/>
      <c r="N7" s="279"/>
      <c r="W7" s="24"/>
    </row>
    <row r="8" spans="1:23" ht="21" thickBot="1">
      <c r="A8" s="7"/>
      <c r="B8" s="15" t="s">
        <v>7</v>
      </c>
      <c r="C8" s="263"/>
      <c r="D8" s="263"/>
      <c r="E8" s="263"/>
      <c r="F8" s="36"/>
      <c r="H8" s="114"/>
      <c r="I8" s="187"/>
      <c r="J8" s="115"/>
      <c r="L8" s="280"/>
      <c r="M8" s="281"/>
      <c r="N8" s="282"/>
    </row>
    <row r="9" spans="1:23" s="22" customFormat="1" ht="12.75" customHeight="1">
      <c r="A9" s="21"/>
      <c r="B9" s="25"/>
      <c r="C9" s="26"/>
      <c r="D9" s="26"/>
      <c r="E9" s="26"/>
      <c r="F9" s="23"/>
      <c r="H9" s="116"/>
      <c r="I9" s="187"/>
      <c r="J9" s="117"/>
      <c r="L9" s="283" t="s">
        <v>8</v>
      </c>
      <c r="M9" s="284"/>
      <c r="N9" s="285"/>
      <c r="W9" s="24"/>
    </row>
    <row r="10" spans="1:23">
      <c r="A10" s="7"/>
      <c r="B10" s="14" t="s">
        <v>9</v>
      </c>
      <c r="C10" s="256"/>
      <c r="D10" s="256"/>
      <c r="E10" s="256"/>
      <c r="F10" s="8"/>
      <c r="H10" s="114"/>
      <c r="I10" s="187"/>
      <c r="J10" s="115"/>
      <c r="L10" s="286"/>
      <c r="M10" s="287"/>
      <c r="N10" s="288"/>
    </row>
    <row r="11" spans="1:23">
      <c r="A11" s="7"/>
      <c r="B11" s="14" t="s">
        <v>10</v>
      </c>
      <c r="C11" s="262"/>
      <c r="D11" s="262"/>
      <c r="E11" s="262"/>
      <c r="F11" s="8"/>
      <c r="H11" s="114"/>
      <c r="I11" s="187"/>
      <c r="J11" s="115"/>
      <c r="L11" s="286"/>
      <c r="M11" s="287"/>
      <c r="N11" s="288"/>
    </row>
    <row r="12" spans="1:23" s="22" customFormat="1">
      <c r="A12" s="21"/>
      <c r="B12" s="14"/>
      <c r="C12" s="26"/>
      <c r="D12" s="26"/>
      <c r="E12" s="26"/>
      <c r="F12" s="23"/>
      <c r="H12" s="116"/>
      <c r="I12" s="190"/>
      <c r="J12" s="117"/>
      <c r="L12" s="286"/>
      <c r="M12" s="287"/>
      <c r="N12" s="288"/>
      <c r="W12" s="24"/>
    </row>
    <row r="13" spans="1:23" ht="18.75" thickBot="1">
      <c r="A13" s="7"/>
      <c r="B13" s="38" t="s">
        <v>11</v>
      </c>
      <c r="C13" s="13"/>
      <c r="D13" s="13"/>
      <c r="E13" s="13"/>
      <c r="F13" s="122"/>
      <c r="G13" s="7"/>
      <c r="H13" s="164"/>
      <c r="I13" s="188"/>
      <c r="J13" s="165"/>
      <c r="L13" s="265">
        <v>0.2</v>
      </c>
      <c r="M13" s="266"/>
      <c r="N13" s="267"/>
    </row>
    <row r="14" spans="1:23" ht="13.5" thickBot="1">
      <c r="A14" s="7"/>
      <c r="B14" s="14" t="s">
        <v>12</v>
      </c>
      <c r="C14" s="20"/>
      <c r="D14" s="13"/>
      <c r="E14" s="13"/>
      <c r="F14" s="8"/>
      <c r="G14" s="7"/>
      <c r="H14" s="164"/>
      <c r="I14" s="188"/>
      <c r="J14" s="165"/>
    </row>
    <row r="15" spans="1:23" s="22" customFormat="1" ht="8.25">
      <c r="A15" s="21"/>
      <c r="B15" s="25"/>
      <c r="C15" s="26"/>
      <c r="D15" s="26"/>
      <c r="E15" s="26"/>
      <c r="F15" s="23"/>
      <c r="H15" s="116"/>
      <c r="I15" s="187"/>
      <c r="J15" s="117"/>
      <c r="M15" s="139"/>
      <c r="N15" s="139"/>
      <c r="W15" s="24"/>
    </row>
    <row r="16" spans="1:23" s="22" customFormat="1" ht="13.5" thickBot="1">
      <c r="A16" s="21"/>
      <c r="B16" s="14" t="s">
        <v>13</v>
      </c>
      <c r="C16" s="255"/>
      <c r="D16" s="256"/>
      <c r="E16" s="256"/>
      <c r="F16" s="23"/>
      <c r="H16" s="114"/>
      <c r="I16" s="187"/>
      <c r="J16" s="115"/>
      <c r="K16" s="2"/>
      <c r="L16" s="136"/>
      <c r="M16" s="136"/>
      <c r="N16" s="136"/>
      <c r="W16" s="24"/>
    </row>
    <row r="17" spans="1:23" s="22" customFormat="1">
      <c r="A17" s="21"/>
      <c r="B17" s="14" t="s">
        <v>14</v>
      </c>
      <c r="C17" s="264"/>
      <c r="D17" s="264"/>
      <c r="E17" s="264"/>
      <c r="F17" s="23"/>
      <c r="H17" s="198"/>
      <c r="I17" s="199"/>
      <c r="J17" s="200"/>
      <c r="K17" s="2"/>
      <c r="L17" s="136"/>
      <c r="M17" s="136"/>
      <c r="N17" s="136"/>
      <c r="W17" s="24"/>
    </row>
    <row r="18" spans="1:23">
      <c r="A18" s="7"/>
      <c r="B18" s="14" t="s">
        <v>15</v>
      </c>
      <c r="C18" s="261"/>
      <c r="D18" s="261"/>
      <c r="E18" s="261"/>
      <c r="F18" s="8"/>
      <c r="H18" s="166"/>
      <c r="I18" s="187"/>
      <c r="J18" s="167"/>
      <c r="K18" s="41"/>
      <c r="L18" s="136"/>
      <c r="M18" s="136"/>
      <c r="N18" s="136"/>
    </row>
    <row r="19" spans="1:23" s="22" customFormat="1">
      <c r="A19" s="21"/>
      <c r="B19" s="14" t="s">
        <v>16</v>
      </c>
      <c r="C19" s="262"/>
      <c r="D19" s="262"/>
      <c r="E19" s="262"/>
      <c r="F19" s="23"/>
      <c r="H19" s="114"/>
      <c r="I19" s="189"/>
      <c r="J19" s="115"/>
      <c r="K19" s="2"/>
      <c r="L19" s="136"/>
      <c r="M19" s="136"/>
      <c r="N19" s="136"/>
      <c r="W19" s="24"/>
    </row>
    <row r="20" spans="1:23" s="22" customFormat="1">
      <c r="A20" s="21"/>
      <c r="B20" s="25"/>
      <c r="C20" s="26"/>
      <c r="D20" s="26"/>
      <c r="E20" s="26"/>
      <c r="F20" s="23"/>
      <c r="H20" s="114"/>
      <c r="I20" s="189"/>
      <c r="J20" s="115"/>
      <c r="W20" s="24"/>
    </row>
    <row r="21" spans="1:23" ht="13.5" thickBot="1">
      <c r="A21" s="7"/>
      <c r="B21" s="14" t="s">
        <v>17</v>
      </c>
      <c r="C21" s="256"/>
      <c r="D21" s="256"/>
      <c r="E21" s="256"/>
      <c r="F21" s="8"/>
      <c r="H21" s="202"/>
      <c r="I21" s="203"/>
      <c r="J21" s="204"/>
      <c r="L21" s="137"/>
      <c r="M21" s="137"/>
      <c r="N21" s="137"/>
    </row>
    <row r="22" spans="1:23" s="41" customFormat="1">
      <c r="A22" s="39"/>
      <c r="B22" s="14" t="s">
        <v>18</v>
      </c>
      <c r="C22" s="262"/>
      <c r="D22" s="262"/>
      <c r="E22" s="262"/>
      <c r="F22" s="40"/>
      <c r="H22" s="137"/>
      <c r="I22" s="201"/>
      <c r="J22" s="137"/>
      <c r="K22" s="22"/>
      <c r="L22" s="138"/>
      <c r="M22" s="138"/>
      <c r="N22" s="138"/>
      <c r="W22" s="42"/>
    </row>
    <row r="23" spans="1:23" s="22" customFormat="1" ht="9" thickBot="1">
      <c r="A23" s="28"/>
      <c r="B23" s="29"/>
      <c r="C23" s="30"/>
      <c r="D23" s="30"/>
      <c r="E23" s="30"/>
      <c r="F23" s="31"/>
      <c r="H23" s="138"/>
      <c r="I23" s="138"/>
      <c r="J23" s="138"/>
      <c r="W23" s="27"/>
    </row>
    <row r="24" spans="1:23" ht="25.5">
      <c r="A24" s="7"/>
      <c r="B24" s="9" t="s">
        <v>19</v>
      </c>
      <c r="C24" s="13"/>
      <c r="D24" s="13"/>
      <c r="E24" s="34"/>
      <c r="F24" s="8"/>
      <c r="H24" s="250" t="s">
        <v>20</v>
      </c>
      <c r="I24" s="22"/>
      <c r="J24" s="22"/>
      <c r="W24" s="18"/>
    </row>
    <row r="25" spans="1:23" s="22" customFormat="1">
      <c r="A25" s="21"/>
      <c r="C25" s="26"/>
      <c r="D25" s="26"/>
      <c r="E25" s="26"/>
      <c r="F25" s="23"/>
      <c r="H25" s="2"/>
      <c r="I25" s="2"/>
      <c r="J25" s="2"/>
      <c r="W25" s="27"/>
    </row>
    <row r="26" spans="1:23">
      <c r="A26" s="7"/>
      <c r="B26" s="14" t="s">
        <v>21</v>
      </c>
      <c r="C26" s="236"/>
      <c r="D26" s="13"/>
      <c r="E26" s="15"/>
      <c r="F26" s="8"/>
      <c r="W26" s="18"/>
    </row>
    <row r="27" spans="1:23" s="22" customFormat="1" ht="8.25">
      <c r="A27" s="21"/>
      <c r="B27" s="25"/>
      <c r="C27" s="26"/>
      <c r="D27" s="26"/>
      <c r="E27" s="192"/>
      <c r="F27" s="23"/>
      <c r="W27" s="27"/>
    </row>
    <row r="28" spans="1:23" ht="25.5">
      <c r="A28" s="7"/>
      <c r="B28" s="14" t="s">
        <v>22</v>
      </c>
      <c r="C28" s="260"/>
      <c r="D28" s="260"/>
      <c r="E28" s="260"/>
      <c r="F28" s="37"/>
      <c r="W28" s="18">
        <f t="shared" ref="W28:W45" si="0">C28</f>
        <v>0</v>
      </c>
    </row>
    <row r="29" spans="1:23" s="22" customFormat="1" ht="8.25">
      <c r="A29" s="21"/>
      <c r="B29" s="25"/>
      <c r="C29" s="26"/>
      <c r="D29" s="26"/>
      <c r="E29" s="32"/>
      <c r="F29" s="23"/>
      <c r="W29" s="27"/>
    </row>
    <row r="30" spans="1:23" ht="25.5">
      <c r="A30" s="7"/>
      <c r="B30" s="14" t="s">
        <v>23</v>
      </c>
      <c r="C30" s="260"/>
      <c r="D30" s="260"/>
      <c r="E30" s="260"/>
      <c r="F30" s="37"/>
      <c r="W30" s="18">
        <f t="shared" si="0"/>
        <v>0</v>
      </c>
    </row>
    <row r="31" spans="1:23" s="22" customFormat="1" ht="8.25">
      <c r="A31" s="21"/>
      <c r="B31" s="25"/>
      <c r="C31" s="140"/>
      <c r="D31" s="26"/>
      <c r="E31" s="141"/>
      <c r="F31" s="23"/>
      <c r="W31" s="27"/>
    </row>
    <row r="32" spans="1:23" s="22" customFormat="1" ht="9" thickBot="1">
      <c r="A32" s="21"/>
      <c r="B32" s="32"/>
      <c r="C32" s="140"/>
      <c r="D32" s="26"/>
      <c r="E32" s="140"/>
      <c r="F32" s="23"/>
      <c r="W32" s="27"/>
    </row>
    <row r="33" spans="1:23" ht="20.25">
      <c r="A33" s="7"/>
      <c r="B33" s="270" t="s">
        <v>24</v>
      </c>
      <c r="C33" s="268">
        <f>Ergebnis</f>
        <v>0</v>
      </c>
      <c r="D33" s="13"/>
      <c r="E33" s="257" t="str">
        <f>IF(Ergebnis&gt;=A_min,"A",IF(Ergebnis&gt;=B_min,"B","C"))</f>
        <v>C</v>
      </c>
      <c r="F33" s="144">
        <f>Datenquelle!AN20</f>
        <v>0</v>
      </c>
      <c r="W33" s="18"/>
    </row>
    <row r="34" spans="1:23" s="22" customFormat="1" ht="9" thickBot="1">
      <c r="A34" s="21"/>
      <c r="B34" s="270"/>
      <c r="C34" s="269"/>
      <c r="D34" s="26"/>
      <c r="E34" s="258"/>
      <c r="F34" s="23"/>
      <c r="W34" s="27"/>
    </row>
    <row r="35" spans="1:23" ht="21" thickBot="1">
      <c r="A35" s="7"/>
      <c r="D35" s="13"/>
      <c r="E35" s="259"/>
      <c r="F35" s="36"/>
      <c r="W35" s="18"/>
    </row>
    <row r="36" spans="1:23" s="22" customFormat="1" ht="9" thickBot="1">
      <c r="A36" s="28"/>
      <c r="B36" s="29"/>
      <c r="C36" s="30"/>
      <c r="D36" s="30"/>
      <c r="E36" s="30"/>
      <c r="F36" s="31"/>
      <c r="W36" s="27"/>
    </row>
    <row r="37" spans="1:23" ht="25.5">
      <c r="A37" s="7"/>
      <c r="B37" s="9" t="s">
        <v>25</v>
      </c>
      <c r="C37" s="13"/>
      <c r="D37" s="13"/>
      <c r="E37" s="34"/>
      <c r="F37" s="8"/>
      <c r="W37" s="18">
        <f t="shared" si="0"/>
        <v>0</v>
      </c>
    </row>
    <row r="38" spans="1:23" s="22" customFormat="1" ht="8.25">
      <c r="A38" s="21"/>
      <c r="C38" s="26"/>
      <c r="D38" s="26"/>
      <c r="E38" s="26"/>
      <c r="F38" s="23"/>
      <c r="W38" s="27"/>
    </row>
    <row r="39" spans="1:23">
      <c r="A39" s="7"/>
      <c r="B39" s="14" t="s">
        <v>26</v>
      </c>
      <c r="C39" s="260"/>
      <c r="D39" s="260"/>
      <c r="E39" s="260"/>
      <c r="F39" s="8"/>
      <c r="W39" s="18">
        <f t="shared" si="0"/>
        <v>0</v>
      </c>
    </row>
    <row r="40" spans="1:23" s="22" customFormat="1" ht="8.25">
      <c r="A40" s="21"/>
      <c r="B40" s="25"/>
      <c r="C40" s="26"/>
      <c r="D40" s="26"/>
      <c r="E40" s="26"/>
      <c r="F40" s="23"/>
      <c r="W40" s="27"/>
    </row>
    <row r="41" spans="1:23">
      <c r="A41" s="7"/>
      <c r="B41" s="16" t="s">
        <v>27</v>
      </c>
      <c r="C41" s="260"/>
      <c r="D41" s="260"/>
      <c r="E41" s="260"/>
      <c r="F41" s="8"/>
      <c r="W41" s="18">
        <f t="shared" si="0"/>
        <v>0</v>
      </c>
    </row>
    <row r="42" spans="1:23" s="22" customFormat="1" ht="8.25">
      <c r="A42" s="21"/>
      <c r="B42" s="25"/>
      <c r="C42" s="26"/>
      <c r="D42" s="26"/>
      <c r="E42" s="26"/>
      <c r="F42" s="23"/>
      <c r="W42" s="27"/>
    </row>
    <row r="43" spans="1:23">
      <c r="A43" s="7"/>
      <c r="B43" s="14" t="s">
        <v>28</v>
      </c>
      <c r="C43" s="260"/>
      <c r="D43" s="260"/>
      <c r="E43" s="260"/>
      <c r="F43" s="8"/>
      <c r="W43" s="18">
        <f t="shared" si="0"/>
        <v>0</v>
      </c>
    </row>
    <row r="44" spans="1:23" s="22" customFormat="1" ht="8.25">
      <c r="A44" s="21"/>
      <c r="B44" s="25"/>
      <c r="C44" s="26"/>
      <c r="D44" s="26"/>
      <c r="E44" s="26"/>
      <c r="F44" s="23"/>
      <c r="W44" s="27"/>
    </row>
    <row r="45" spans="1:23" ht="25.5">
      <c r="A45" s="7"/>
      <c r="B45" s="16" t="s">
        <v>29</v>
      </c>
      <c r="C45" s="260"/>
      <c r="D45" s="260"/>
      <c r="E45" s="260"/>
      <c r="F45" s="8"/>
      <c r="W45" s="18">
        <f t="shared" si="0"/>
        <v>0</v>
      </c>
    </row>
    <row r="46" spans="1:23" s="22" customFormat="1" ht="9" thickBot="1">
      <c r="A46" s="28"/>
      <c r="B46" s="29"/>
      <c r="C46" s="29"/>
      <c r="D46" s="29"/>
      <c r="E46" s="29"/>
      <c r="F46" s="31"/>
      <c r="W46" s="24"/>
    </row>
    <row r="47" spans="1:23" s="22" customFormat="1" ht="8.25">
      <c r="A47" s="48"/>
      <c r="B47" s="49"/>
      <c r="C47" s="49"/>
      <c r="D47" s="49"/>
      <c r="E47" s="49"/>
      <c r="F47" s="50"/>
      <c r="T47" s="24"/>
    </row>
    <row r="48" spans="1:23" s="209" customFormat="1" ht="12">
      <c r="A48" s="205"/>
      <c r="B48" s="206" t="s">
        <v>30</v>
      </c>
      <c r="C48" s="207"/>
      <c r="D48" s="207"/>
      <c r="E48" s="207"/>
      <c r="F48" s="208"/>
      <c r="T48" s="210"/>
    </row>
    <row r="49" spans="1:20" s="212" customFormat="1" ht="6">
      <c r="A49" s="211"/>
      <c r="F49" s="213"/>
      <c r="T49" s="214"/>
    </row>
    <row r="50" spans="1:20" s="209" customFormat="1" ht="12">
      <c r="A50" s="205"/>
      <c r="B50" s="209" t="s">
        <v>31</v>
      </c>
      <c r="C50" s="209" t="s">
        <v>32</v>
      </c>
      <c r="F50" s="208"/>
      <c r="T50" s="210"/>
    </row>
    <row r="51" spans="1:20" s="209" customFormat="1" ht="12">
      <c r="A51" s="205"/>
      <c r="B51" s="209" t="s">
        <v>33</v>
      </c>
      <c r="C51" s="251">
        <v>45252</v>
      </c>
      <c r="F51" s="208"/>
      <c r="T51" s="210"/>
    </row>
    <row r="52" spans="1:20" s="22" customFormat="1" ht="9" thickBot="1">
      <c r="A52" s="28"/>
      <c r="B52" s="29"/>
      <c r="C52" s="29"/>
      <c r="D52" s="29"/>
      <c r="E52" s="29"/>
      <c r="F52" s="31"/>
      <c r="T52" s="24"/>
    </row>
  </sheetData>
  <sheetProtection sheet="1" objects="1" scenarios="1" formatCells="0" formatColumns="0" formatRows="0"/>
  <mergeCells count="25">
    <mergeCell ref="L13:N13"/>
    <mergeCell ref="C33:C34"/>
    <mergeCell ref="B33:B34"/>
    <mergeCell ref="L5:N6"/>
    <mergeCell ref="L7:N8"/>
    <mergeCell ref="L9:N12"/>
    <mergeCell ref="H3:J6"/>
    <mergeCell ref="L3:N4"/>
    <mergeCell ref="C39:E39"/>
    <mergeCell ref="C41:E41"/>
    <mergeCell ref="C43:E43"/>
    <mergeCell ref="C45:E45"/>
    <mergeCell ref="C8:E8"/>
    <mergeCell ref="C10:E10"/>
    <mergeCell ref="C11:E11"/>
    <mergeCell ref="C17:E17"/>
    <mergeCell ref="A1:F1"/>
    <mergeCell ref="C16:E16"/>
    <mergeCell ref="E33:E35"/>
    <mergeCell ref="C28:E28"/>
    <mergeCell ref="C30:E30"/>
    <mergeCell ref="C18:E18"/>
    <mergeCell ref="C19:E19"/>
    <mergeCell ref="C21:E21"/>
    <mergeCell ref="C22:E22"/>
  </mergeCells>
  <conditionalFormatting sqref="E33">
    <cfRule type="cellIs" dxfId="139" priority="9" operator="equal">
      <formula>"A"</formula>
    </cfRule>
    <cfRule type="cellIs" dxfId="138" priority="10" operator="equal">
      <formula>"B"</formula>
    </cfRule>
    <cfRule type="cellIs" dxfId="137" priority="11" operator="equal">
      <formula>"C"</formula>
    </cfRule>
  </conditionalFormatting>
  <conditionalFormatting sqref="C33">
    <cfRule type="expression" dxfId="136" priority="2">
      <formula>$F$33=1</formula>
    </cfRule>
    <cfRule type="cellIs" dxfId="135" priority="7" operator="greaterThanOrEqual">
      <formula>A_min</formula>
    </cfRule>
    <cfRule type="cellIs" dxfId="134" priority="8" operator="lessThan">
      <formula>B_min</formula>
    </cfRule>
  </conditionalFormatting>
  <dataValidations count="5">
    <dataValidation allowBlank="1" showInputMessage="1" showErrorMessage="1" errorTitle="Land auswählen" error="Bitte wählen Sie ein Land aus der Liste" sqref="C14:C15" xr:uid="{00000000-0002-0000-0000-000000000000}"/>
    <dataValidation type="date" allowBlank="1" showInputMessage="1" showErrorMessage="1" errorTitle="Datum eingeben" error="Bitte geben Sie ein gültiges Datum ein." sqref="C4" xr:uid="{00000000-0002-0000-0000-000001000000}">
      <formula1>1</formula1>
      <formula2>365245</formula2>
    </dataValidation>
    <dataValidation type="whole" allowBlank="1" showInputMessage="1" showErrorMessage="1" sqref="L7" xr:uid="{00000000-0002-0000-0000-000002000000}">
      <formula1>0</formula1>
      <formula2>999999</formula2>
    </dataValidation>
    <dataValidation type="decimal" allowBlank="1" showInputMessage="1" showErrorMessage="1" sqref="L13" xr:uid="{00000000-0002-0000-0000-000003000000}">
      <formula1>0</formula1>
      <formula2>1</formula2>
    </dataValidation>
    <dataValidation type="date" allowBlank="1" showInputMessage="1" showErrorMessage="1" sqref="C5" xr:uid="{A1B05809-F8DE-45AF-90D7-0EF03777496F}">
      <formula1>1</formula1>
      <formula2>365245</formula2>
    </dataValidation>
  </dataValidations>
  <printOptions horizontalCentered="1"/>
  <pageMargins left="0.70866141732283472" right="0.70866141732283472" top="0.9055118110236221" bottom="0.78740157480314965" header="0.31496062992125984" footer="0.31496062992125984"/>
  <pageSetup paperSize="9" scale="99" orientation="portrait" r:id="rId1"/>
  <headerFooter>
    <oddHeader>&amp;L&amp;"Audi Type,Fett"Logistic process inspection&amp;"Audi Type,Standard"
&amp;A&amp;R&amp;G</oddHeader>
    <oddFooter>&amp;L&amp;"Audi Type,Standard"&amp;8&amp;F&amp;C&amp;"Audi Type,Standard"&amp;8&amp;P von &amp;N&amp;R&amp;"Audi Type,Standard"&amp;8Audi AG - &amp;D</oddFooter>
  </headerFooter>
  <drawing r:id="rId2"/>
  <legacyDrawing r:id="rId3"/>
  <legacyDrawingHF r:id="rId4"/>
  <controls>
    <mc:AlternateContent xmlns:mc="http://schemas.openxmlformats.org/markup-compatibility/2006">
      <mc:Choice Requires="x14">
        <control shapeId="12289" r:id="rId11" name="Moduluebersicht_speichern">
          <controlPr defaultSize="0" print="0" autoLine="0" r:id="rId12">
            <anchor moveWithCells="1">
              <from>
                <xdr:col>7</xdr:col>
                <xdr:colOff>247650</xdr:colOff>
                <xdr:row>5</xdr:row>
                <xdr:rowOff>342900</xdr:rowOff>
              </from>
              <to>
                <xdr:col>9</xdr:col>
                <xdr:colOff>600075</xdr:colOff>
                <xdr:row>7</xdr:row>
                <xdr:rowOff>161925</xdr:rowOff>
              </to>
            </anchor>
          </controlPr>
        </control>
      </mc:Choice>
      <mc:Fallback>
        <control shapeId="12289" r:id="rId11" name="Moduluebersicht_speichern"/>
      </mc:Fallback>
    </mc:AlternateContent>
    <mc:AlternateContent xmlns:mc="http://schemas.openxmlformats.org/markup-compatibility/2006">
      <mc:Choice Requires="x14">
        <control shapeId="12290" r:id="rId9" name="Ergebnis_speichern_Prozess">
          <controlPr defaultSize="0" print="0" autoLine="0" r:id="rId10">
            <anchor moveWithCells="1">
              <from>
                <xdr:col>7</xdr:col>
                <xdr:colOff>247650</xdr:colOff>
                <xdr:row>8</xdr:row>
                <xdr:rowOff>0</xdr:rowOff>
              </from>
              <to>
                <xdr:col>9</xdr:col>
                <xdr:colOff>600075</xdr:colOff>
                <xdr:row>11</xdr:row>
                <xdr:rowOff>19050</xdr:rowOff>
              </to>
            </anchor>
          </controlPr>
        </control>
      </mc:Choice>
      <mc:Fallback>
        <control shapeId="12290" r:id="rId9" name="Ergebnis_speichern_Prozess"/>
      </mc:Fallback>
    </mc:AlternateContent>
    <mc:AlternateContent xmlns:mc="http://schemas.openxmlformats.org/markup-compatibility/2006">
      <mc:Choice Requires="x14">
        <control shapeId="12291" r:id="rId7" name="Alles_speichern">
          <controlPr defaultSize="0" print="0" autoLine="0" r:id="rId8">
            <anchor moveWithCells="1">
              <from>
                <xdr:col>7</xdr:col>
                <xdr:colOff>247650</xdr:colOff>
                <xdr:row>12</xdr:row>
                <xdr:rowOff>0</xdr:rowOff>
              </from>
              <to>
                <xdr:col>9</xdr:col>
                <xdr:colOff>600075</xdr:colOff>
                <xdr:row>14</xdr:row>
                <xdr:rowOff>95250</xdr:rowOff>
              </to>
            </anchor>
          </controlPr>
        </control>
      </mc:Choice>
      <mc:Fallback>
        <control shapeId="12291" r:id="rId7" name="Alles_speichern"/>
      </mc:Fallback>
    </mc:AlternateContent>
    <mc:AlternateContent xmlns:mc="http://schemas.openxmlformats.org/markup-compatibility/2006">
      <mc:Choice Requires="x14">
        <control shapeId="12297" r:id="rId13" name="CheckBox_ALK">
          <controlPr defaultSize="0" autoLine="0" r:id="rId14">
            <anchor moveWithCells="1" sizeWithCells="1">
              <from>
                <xdr:col>2</xdr:col>
                <xdr:colOff>47625</xdr:colOff>
                <xdr:row>5</xdr:row>
                <xdr:rowOff>47625</xdr:rowOff>
              </from>
              <to>
                <xdr:col>2</xdr:col>
                <xdr:colOff>1514475</xdr:colOff>
                <xdr:row>5</xdr:row>
                <xdr:rowOff>295275</xdr:rowOff>
              </to>
            </anchor>
          </controlPr>
        </control>
      </mc:Choice>
      <mc:Fallback>
        <control shapeId="12297" r:id="rId13" name="CheckBox_ALK"/>
      </mc:Fallback>
    </mc:AlternateContent>
    <mc:AlternateContent xmlns:mc="http://schemas.openxmlformats.org/markup-compatibility/2006">
      <mc:Choice Requires="x14">
        <control shapeId="12300" r:id="rId15" name="CheckBox_VL">
          <controlPr defaultSize="0" autoLine="0" r:id="rId16">
            <anchor moveWithCells="1" sizeWithCells="1">
              <from>
                <xdr:col>2</xdr:col>
                <xdr:colOff>1733550</xdr:colOff>
                <xdr:row>5</xdr:row>
                <xdr:rowOff>47625</xdr:rowOff>
              </from>
              <to>
                <xdr:col>4</xdr:col>
                <xdr:colOff>704850</xdr:colOff>
                <xdr:row>5</xdr:row>
                <xdr:rowOff>295275</xdr:rowOff>
              </to>
            </anchor>
          </controlPr>
        </control>
      </mc:Choice>
      <mc:Fallback>
        <control shapeId="12300" r:id="rId15" name="CheckBox_VL"/>
      </mc:Fallback>
    </mc:AlternateContent>
    <mc:AlternateContent xmlns:mc="http://schemas.openxmlformats.org/markup-compatibility/2006">
      <mc:Choice Requires="x14">
        <control shapeId="12307" r:id="rId5" name="ButtonFormat">
          <controlPr defaultSize="0" print="0" autoLine="0" r:id="rId6">
            <anchor moveWithCells="1">
              <from>
                <xdr:col>7</xdr:col>
                <xdr:colOff>247650</xdr:colOff>
                <xdr:row>17</xdr:row>
                <xdr:rowOff>0</xdr:rowOff>
              </from>
              <to>
                <xdr:col>9</xdr:col>
                <xdr:colOff>600075</xdr:colOff>
                <xdr:row>20</xdr:row>
                <xdr:rowOff>19050</xdr:rowOff>
              </to>
            </anchor>
          </controlPr>
        </control>
      </mc:Choice>
      <mc:Fallback>
        <control shapeId="12307" r:id="rId5" name="ButtonForma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3">
    <pageSetUpPr fitToPage="1"/>
  </sheetPr>
  <dimension ref="A1:W24"/>
  <sheetViews>
    <sheetView zoomScaleNormal="100" workbookViewId="0">
      <selection activeCell="B3" sqref="B3"/>
    </sheetView>
  </sheetViews>
  <sheetFormatPr defaultColWidth="11" defaultRowHeight="12.75"/>
  <cols>
    <col min="1" max="1" width="2.625" style="2" customWidth="1"/>
    <col min="2" max="2" width="54.875" style="2" customWidth="1"/>
    <col min="3" max="4" width="15.125" style="2" customWidth="1"/>
    <col min="5" max="5" width="2.625" style="2" customWidth="1"/>
    <col min="6" max="22" width="11" style="2"/>
    <col min="23" max="23" width="69.375" style="2" customWidth="1"/>
    <col min="24" max="16384" width="11" style="2"/>
  </cols>
  <sheetData>
    <row r="1" spans="1:6" ht="36" thickBot="1">
      <c r="A1" s="298" t="s">
        <v>34</v>
      </c>
      <c r="B1" s="298"/>
      <c r="C1" s="298"/>
      <c r="D1" s="298"/>
      <c r="E1" s="298"/>
      <c r="F1" s="43"/>
    </row>
    <row r="2" spans="1:6" ht="25.5">
      <c r="A2" s="3"/>
      <c r="B2" s="4" t="s">
        <v>35</v>
      </c>
      <c r="C2" s="5"/>
      <c r="D2" s="33"/>
      <c r="E2" s="6"/>
    </row>
    <row r="3" spans="1:6" s="22" customFormat="1" ht="9" thickBot="1">
      <c r="A3" s="21"/>
      <c r="E3" s="23"/>
    </row>
    <row r="4" spans="1:6" ht="18.75" thickBot="1">
      <c r="A4" s="7"/>
      <c r="B4" s="185" t="str">
        <f>IF(AND(A15&gt;1,SUMIF(D5:D11,"0",C5:C11)&gt;0),"Achtung - nicht alle Module sind bisher bewertet!","")</f>
        <v/>
      </c>
      <c r="C4" s="118" t="s">
        <v>36</v>
      </c>
      <c r="D4" s="119" t="s">
        <v>37</v>
      </c>
      <c r="E4" s="122"/>
    </row>
    <row r="5" spans="1:6" ht="18">
      <c r="A5" s="7"/>
      <c r="B5" s="120" t="s">
        <v>38</v>
      </c>
      <c r="C5" s="227">
        <f>Datenquelle!E5</f>
        <v>0.15</v>
      </c>
      <c r="D5" s="228">
        <f>ROUND('(1) Projectmanagement'!F28,2)</f>
        <v>0</v>
      </c>
      <c r="E5" s="122"/>
    </row>
    <row r="6" spans="1:6" ht="27.75">
      <c r="A6" s="7"/>
      <c r="B6" s="225" t="s">
        <v>39</v>
      </c>
      <c r="C6" s="229">
        <f>Datenquelle!J5</f>
        <v>0.14000000000000001</v>
      </c>
      <c r="D6" s="230">
        <f>ROUND('(2) Order admin &amp; planning'!F22,2)</f>
        <v>0</v>
      </c>
      <c r="E6" s="226"/>
    </row>
    <row r="7" spans="1:6" ht="27.75">
      <c r="A7" s="7"/>
      <c r="B7" s="225" t="s">
        <v>40</v>
      </c>
      <c r="C7" s="229">
        <f>Datenquelle!O5</f>
        <v>0.15</v>
      </c>
      <c r="D7" s="230">
        <f>ROUND('(3) Basic mat., supplier, capa.'!F25,2)</f>
        <v>0</v>
      </c>
      <c r="E7" s="226"/>
    </row>
    <row r="8" spans="1:6" ht="18">
      <c r="A8" s="7"/>
      <c r="B8" s="121" t="s">
        <v>41</v>
      </c>
      <c r="C8" s="229">
        <f>Datenquelle!T5</f>
        <v>0.16</v>
      </c>
      <c r="D8" s="230">
        <f>ROUND('(4) Goods receipt, warehouse'!F28,2)</f>
        <v>0</v>
      </c>
      <c r="E8" s="122"/>
    </row>
    <row r="9" spans="1:6" ht="18">
      <c r="A9" s="7"/>
      <c r="B9" s="121" t="s">
        <v>42</v>
      </c>
      <c r="C9" s="229">
        <f>Datenquelle!Y5</f>
        <v>0.14000000000000001</v>
      </c>
      <c r="D9" s="230">
        <f>ROUND('(5) Production'!F25,2)</f>
        <v>0</v>
      </c>
      <c r="E9" s="122"/>
    </row>
    <row r="10" spans="1:6" ht="18">
      <c r="A10" s="7"/>
      <c r="B10" s="121" t="s">
        <v>43</v>
      </c>
      <c r="C10" s="229">
        <f>Datenquelle!AD5</f>
        <v>0.1</v>
      </c>
      <c r="D10" s="230">
        <f>ROUND('(6) Shipment'!F22,2)</f>
        <v>0</v>
      </c>
      <c r="E10" s="122"/>
    </row>
    <row r="11" spans="1:6" ht="18.75" thickBot="1">
      <c r="A11" s="7"/>
      <c r="B11" s="170" t="s">
        <v>44</v>
      </c>
      <c r="C11" s="231">
        <f>Datenquelle!AI5</f>
        <v>0.16</v>
      </c>
      <c r="D11" s="232">
        <f>ROUND('(7) Logistic setup'!F25,2)</f>
        <v>0</v>
      </c>
      <c r="E11" s="122"/>
    </row>
    <row r="12" spans="1:6" s="22" customFormat="1" ht="9" thickBot="1">
      <c r="A12" s="28"/>
      <c r="B12" s="29"/>
      <c r="C12" s="29"/>
      <c r="D12" s="29"/>
      <c r="E12" s="31"/>
    </row>
    <row r="13" spans="1:6" s="22" customFormat="1" ht="9" thickBot="1">
      <c r="A13" s="48"/>
      <c r="B13" s="49"/>
      <c r="C13" s="49"/>
      <c r="D13" s="49"/>
      <c r="E13" s="50"/>
    </row>
    <row r="14" spans="1:6" ht="25.5">
      <c r="A14" s="7"/>
      <c r="B14" s="304" t="s">
        <v>45</v>
      </c>
      <c r="C14" s="300">
        <f>SUM(D5:D11)</f>
        <v>0</v>
      </c>
      <c r="D14" s="301"/>
      <c r="E14" s="37"/>
    </row>
    <row r="15" spans="1:6" ht="18.75" customHeight="1" thickBot="1">
      <c r="A15" s="147">
        <f>Datenquelle!AN20</f>
        <v>0</v>
      </c>
      <c r="B15" s="304"/>
      <c r="C15" s="302"/>
      <c r="D15" s="303"/>
      <c r="E15" s="122"/>
    </row>
    <row r="16" spans="1:6" s="22" customFormat="1" ht="12" thickBot="1">
      <c r="A16" s="28"/>
      <c r="B16" s="53"/>
      <c r="C16" s="29"/>
      <c r="D16" s="29"/>
      <c r="E16" s="31"/>
    </row>
    <row r="17" spans="1:23" ht="25.5">
      <c r="A17" s="3"/>
      <c r="B17" s="4" t="s">
        <v>46</v>
      </c>
      <c r="C17" s="5"/>
      <c r="D17" s="33"/>
      <c r="E17" s="6"/>
    </row>
    <row r="18" spans="1:23" ht="178.5">
      <c r="A18" s="7"/>
      <c r="B18" s="260"/>
      <c r="C18" s="299"/>
      <c r="D18" s="299"/>
      <c r="E18" s="8"/>
      <c r="V18" s="44" t="s">
        <v>47</v>
      </c>
      <c r="W18" s="159">
        <f>B18</f>
        <v>0</v>
      </c>
    </row>
    <row r="19" spans="1:23" s="22" customFormat="1" ht="9" thickBot="1">
      <c r="A19" s="28"/>
      <c r="B19" s="51"/>
      <c r="C19" s="29"/>
      <c r="D19" s="29"/>
      <c r="E19" s="31"/>
    </row>
    <row r="20" spans="1:23" ht="25.5">
      <c r="A20" s="3"/>
      <c r="B20" s="4" t="s">
        <v>48</v>
      </c>
      <c r="C20" s="4"/>
      <c r="D20" s="4"/>
      <c r="E20" s="52"/>
    </row>
    <row r="21" spans="1:23">
      <c r="A21" s="7"/>
      <c r="B21" s="58" t="s">
        <v>49</v>
      </c>
      <c r="C21" s="45">
        <v>0.9</v>
      </c>
      <c r="D21" s="46">
        <v>1</v>
      </c>
      <c r="E21" s="8"/>
    </row>
    <row r="22" spans="1:23">
      <c r="A22" s="7"/>
      <c r="B22" s="58" t="s">
        <v>50</v>
      </c>
      <c r="C22" s="45">
        <v>0.8</v>
      </c>
      <c r="D22" s="47">
        <v>0.89900000000000002</v>
      </c>
      <c r="E22" s="8"/>
    </row>
    <row r="23" spans="1:23">
      <c r="A23" s="7"/>
      <c r="B23" s="58" t="s">
        <v>51</v>
      </c>
      <c r="C23" s="45">
        <v>0</v>
      </c>
      <c r="D23" s="47">
        <v>0.79900000000000004</v>
      </c>
      <c r="E23" s="8"/>
    </row>
    <row r="24" spans="1:23" s="22" customFormat="1" ht="9" thickBot="1">
      <c r="A24" s="28"/>
      <c r="B24" s="29"/>
      <c r="C24" s="29"/>
      <c r="D24" s="29"/>
      <c r="E24" s="31"/>
    </row>
  </sheetData>
  <sheetProtection sheet="1" objects="1" scenarios="1" formatCells="0" formatColumns="0" formatRows="0"/>
  <mergeCells count="4">
    <mergeCell ref="A1:E1"/>
    <mergeCell ref="B18:D18"/>
    <mergeCell ref="C14:D15"/>
    <mergeCell ref="B14:B15"/>
  </mergeCells>
  <conditionalFormatting sqref="C14:D15">
    <cfRule type="cellIs" dxfId="133" priority="6" operator="greaterThanOrEqual">
      <formula>A_min</formula>
    </cfRule>
    <cfRule type="cellIs" dxfId="132" priority="7" operator="lessThan">
      <formula>B_min</formula>
    </cfRule>
  </conditionalFormatting>
  <printOptions horizontalCentered="1"/>
  <pageMargins left="0.70866141732283472" right="0.70866141732283472" top="0.9055118110236221" bottom="0.78740157480314965" header="0.31496062992125984" footer="0.31496062992125984"/>
  <pageSetup paperSize="9" scale="89" orientation="portrait" r:id="rId1"/>
  <headerFooter>
    <oddHeader>&amp;L&amp;"Audi Type,Fett"Logistic process inspection&amp;"Audi Type,Standard"
&amp;A&amp;R&amp;G</oddHeader>
    <oddFooter>&amp;L&amp;"Audi Type,Standard"&amp;8&amp;F&amp;C&amp;"Audi Type,Standard"&amp;8&amp;P von &amp;N&amp;R&amp;"Audi Type,Standard"&amp;8Audi AG - &amp;D</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2">
    <pageSetUpPr fitToPage="1"/>
  </sheetPr>
  <dimension ref="A1:AP242"/>
  <sheetViews>
    <sheetView zoomScaleNormal="100" workbookViewId="0">
      <selection activeCell="G6" sqref="G6"/>
    </sheetView>
  </sheetViews>
  <sheetFormatPr defaultColWidth="11" defaultRowHeight="12.75"/>
  <cols>
    <col min="1" max="1" width="28.25" style="1" bestFit="1" customWidth="1"/>
    <col min="2" max="2" width="4.125" style="1" bestFit="1" customWidth="1"/>
    <col min="3" max="3" width="1.75" style="112" customWidth="1"/>
    <col min="4" max="4" width="4.5" style="1" bestFit="1" customWidth="1"/>
    <col min="5" max="5" width="7.875" style="1" bestFit="1" customWidth="1"/>
    <col min="6" max="7" width="7.625" style="1" bestFit="1" customWidth="1"/>
    <col min="8" max="8" width="1.75" style="1" customWidth="1"/>
    <col min="9" max="9" width="3.125" style="1" bestFit="1" customWidth="1"/>
    <col min="10" max="12" width="7.875" style="1" bestFit="1" customWidth="1"/>
    <col min="13" max="13" width="2.625" style="1" bestFit="1" customWidth="1"/>
    <col min="14" max="14" width="3.125" style="1" bestFit="1" customWidth="1"/>
    <col min="15" max="17" width="7.875" style="1" bestFit="1" customWidth="1"/>
    <col min="18" max="18" width="2.625" style="1" bestFit="1" customWidth="1"/>
    <col min="19" max="19" width="3.125" style="1" bestFit="1" customWidth="1"/>
    <col min="20" max="22" width="7.875" style="1" bestFit="1" customWidth="1"/>
    <col min="23" max="23" width="2.625" style="1" bestFit="1" customWidth="1"/>
    <col min="24" max="24" width="5.375" style="1" bestFit="1" customWidth="1"/>
    <col min="25" max="27" width="7.875" style="1" bestFit="1" customWidth="1"/>
    <col min="28" max="28" width="2.625" style="1" bestFit="1" customWidth="1"/>
    <col min="29" max="29" width="7" style="1" bestFit="1" customWidth="1"/>
    <col min="30" max="32" width="7.875" style="1" bestFit="1" customWidth="1"/>
    <col min="33" max="33" width="3.375" style="1" customWidth="1"/>
    <col min="34" max="34" width="4.5" style="1" bestFit="1" customWidth="1"/>
    <col min="35" max="37" width="7.875" style="1" bestFit="1" customWidth="1"/>
    <col min="38" max="38" width="2.625" style="112" bestFit="1" customWidth="1"/>
    <col min="39" max="39" width="27.25" style="1" bestFit="1" customWidth="1"/>
    <col min="40" max="40" width="9.375" style="1" bestFit="1" customWidth="1"/>
    <col min="41" max="41" width="9.875" style="1" bestFit="1" customWidth="1"/>
    <col min="42" max="42" width="11" style="1" customWidth="1"/>
    <col min="43" max="16384" width="11" style="1"/>
  </cols>
  <sheetData>
    <row r="1" spans="1:42" s="146" customFormat="1" ht="11.25">
      <c r="A1" s="145">
        <v>1</v>
      </c>
      <c r="B1" s="146">
        <v>2</v>
      </c>
      <c r="C1" s="145">
        <v>3</v>
      </c>
      <c r="D1" s="145">
        <v>4</v>
      </c>
      <c r="E1" s="146">
        <v>5</v>
      </c>
      <c r="F1" s="145">
        <v>6</v>
      </c>
      <c r="G1" s="145">
        <v>7</v>
      </c>
      <c r="H1" s="146">
        <v>8</v>
      </c>
      <c r="I1" s="145">
        <v>9</v>
      </c>
      <c r="J1" s="145">
        <v>10</v>
      </c>
      <c r="K1" s="146">
        <v>11</v>
      </c>
      <c r="L1" s="145">
        <v>12</v>
      </c>
      <c r="M1" s="145">
        <v>13</v>
      </c>
      <c r="N1" s="146">
        <v>14</v>
      </c>
      <c r="O1" s="145">
        <v>15</v>
      </c>
      <c r="P1" s="145">
        <v>16</v>
      </c>
      <c r="Q1" s="146">
        <v>17</v>
      </c>
      <c r="R1" s="145">
        <v>18</v>
      </c>
      <c r="S1" s="145">
        <v>19</v>
      </c>
      <c r="T1" s="146">
        <v>20</v>
      </c>
      <c r="U1" s="145">
        <v>21</v>
      </c>
      <c r="V1" s="145">
        <v>22</v>
      </c>
      <c r="W1" s="146">
        <v>23</v>
      </c>
      <c r="X1" s="145">
        <v>24</v>
      </c>
      <c r="Y1" s="145">
        <v>25</v>
      </c>
      <c r="Z1" s="146">
        <v>26</v>
      </c>
      <c r="AA1" s="145">
        <v>27</v>
      </c>
      <c r="AB1" s="145">
        <v>28</v>
      </c>
      <c r="AC1" s="146">
        <v>29</v>
      </c>
      <c r="AD1" s="145">
        <v>30</v>
      </c>
      <c r="AE1" s="145">
        <v>31</v>
      </c>
      <c r="AF1" s="146">
        <v>32</v>
      </c>
      <c r="AG1" s="145">
        <v>33</v>
      </c>
      <c r="AH1" s="145">
        <v>34</v>
      </c>
      <c r="AI1" s="146">
        <v>35</v>
      </c>
      <c r="AJ1" s="145">
        <v>36</v>
      </c>
      <c r="AK1" s="145">
        <v>37</v>
      </c>
      <c r="AL1" s="146">
        <v>38</v>
      </c>
      <c r="AM1" s="145">
        <v>39</v>
      </c>
      <c r="AN1" s="145">
        <v>40</v>
      </c>
      <c r="AO1" s="146">
        <v>41</v>
      </c>
      <c r="AP1" s="145">
        <v>42</v>
      </c>
    </row>
    <row r="2" spans="1:42" ht="18">
      <c r="A2" s="306" t="s">
        <v>52</v>
      </c>
      <c r="B2" s="306"/>
      <c r="D2" s="306" t="s">
        <v>53</v>
      </c>
      <c r="E2" s="306"/>
      <c r="F2" s="306"/>
      <c r="G2" s="306"/>
      <c r="I2" s="306" t="s">
        <v>54</v>
      </c>
      <c r="J2" s="306"/>
      <c r="K2" s="306"/>
      <c r="L2" s="306"/>
      <c r="N2" s="306" t="s">
        <v>55</v>
      </c>
      <c r="O2" s="306"/>
      <c r="P2" s="306"/>
      <c r="Q2" s="306"/>
      <c r="S2" s="306" t="s">
        <v>56</v>
      </c>
      <c r="T2" s="306"/>
      <c r="U2" s="306"/>
      <c r="V2" s="306"/>
      <c r="X2" s="306" t="s">
        <v>57</v>
      </c>
      <c r="Y2" s="306"/>
      <c r="Z2" s="306"/>
      <c r="AA2" s="306"/>
      <c r="AC2" s="306" t="s">
        <v>58</v>
      </c>
      <c r="AD2" s="306"/>
      <c r="AE2" s="306"/>
      <c r="AF2" s="306"/>
      <c r="AH2" s="306" t="s">
        <v>59</v>
      </c>
      <c r="AI2" s="306"/>
      <c r="AJ2" s="306"/>
      <c r="AK2" s="306"/>
      <c r="AM2" s="306" t="s">
        <v>60</v>
      </c>
      <c r="AN2" s="306"/>
      <c r="AO2" s="306"/>
      <c r="AP2" s="306"/>
    </row>
    <row r="4" spans="1:42" ht="81">
      <c r="A4" s="10" t="s">
        <v>61</v>
      </c>
      <c r="B4" s="10" t="s">
        <v>62</v>
      </c>
      <c r="D4" s="172" t="s">
        <v>63</v>
      </c>
      <c r="E4" s="172" t="s">
        <v>64</v>
      </c>
      <c r="F4" s="172" t="s">
        <v>65</v>
      </c>
      <c r="G4" s="172" t="s">
        <v>66</v>
      </c>
      <c r="H4" s="173"/>
      <c r="I4" s="172" t="s">
        <v>63</v>
      </c>
      <c r="J4" s="172" t="s">
        <v>64</v>
      </c>
      <c r="K4" s="172" t="s">
        <v>65</v>
      </c>
      <c r="L4" s="172" t="s">
        <v>66</v>
      </c>
      <c r="M4" s="173"/>
      <c r="N4" s="172" t="s">
        <v>63</v>
      </c>
      <c r="O4" s="172" t="s">
        <v>64</v>
      </c>
      <c r="P4" s="172" t="s">
        <v>65</v>
      </c>
      <c r="Q4" s="172" t="s">
        <v>66</v>
      </c>
      <c r="R4" s="173"/>
      <c r="S4" s="172" t="s">
        <v>63</v>
      </c>
      <c r="T4" s="172" t="s">
        <v>64</v>
      </c>
      <c r="U4" s="172" t="s">
        <v>65</v>
      </c>
      <c r="V4" s="172" t="s">
        <v>66</v>
      </c>
      <c r="W4" s="173"/>
      <c r="X4" s="172" t="s">
        <v>63</v>
      </c>
      <c r="Y4" s="172" t="s">
        <v>64</v>
      </c>
      <c r="Z4" s="172" t="s">
        <v>65</v>
      </c>
      <c r="AA4" s="172" t="s">
        <v>66</v>
      </c>
      <c r="AB4" s="173"/>
      <c r="AC4" s="172" t="s">
        <v>63</v>
      </c>
      <c r="AD4" s="172" t="s">
        <v>64</v>
      </c>
      <c r="AE4" s="172" t="s">
        <v>65</v>
      </c>
      <c r="AF4" s="172" t="s">
        <v>66</v>
      </c>
      <c r="AG4" s="173"/>
      <c r="AH4" s="172" t="s">
        <v>63</v>
      </c>
      <c r="AI4" s="172" t="s">
        <v>64</v>
      </c>
      <c r="AJ4" s="172" t="s">
        <v>65</v>
      </c>
      <c r="AK4" s="172" t="s">
        <v>66</v>
      </c>
      <c r="AM4" s="56" t="s">
        <v>67</v>
      </c>
      <c r="AN4" s="54" t="s">
        <v>68</v>
      </c>
      <c r="AO4" s="54" t="s">
        <v>69</v>
      </c>
      <c r="AP4" s="56" t="s">
        <v>70</v>
      </c>
    </row>
    <row r="5" spans="1:42">
      <c r="A5" s="11" t="s">
        <v>71</v>
      </c>
      <c r="B5" s="10" t="s">
        <v>72</v>
      </c>
      <c r="D5" s="217" t="s">
        <v>73</v>
      </c>
      <c r="E5" s="162">
        <v>0.15</v>
      </c>
      <c r="F5" s="162">
        <f>SUMIF(F7:F13,"&lt;6",E7:E13)</f>
        <v>0</v>
      </c>
      <c r="G5" s="162">
        <f>IF(COUNTIF(F7:F13,6)&lt;=Max_Nichtantworten+(COUNTA(D7:D13)-F$6),SUM(G7:G13),0)</f>
        <v>0</v>
      </c>
      <c r="I5" s="217" t="s">
        <v>73</v>
      </c>
      <c r="J5" s="162">
        <v>0.14000000000000001</v>
      </c>
      <c r="K5" s="162">
        <f>SUMIF(K7:K11,"&lt;6",J7:J11)</f>
        <v>0</v>
      </c>
      <c r="L5" s="162">
        <f>IF(COUNTIF(K7:K11,6)&lt;=Max_Nichtantworten+(COUNTA(I7:I11)-K$6),SUM(L7:L11),0)</f>
        <v>0</v>
      </c>
      <c r="N5" s="217" t="s">
        <v>73</v>
      </c>
      <c r="O5" s="162">
        <v>0.15</v>
      </c>
      <c r="P5" s="162">
        <f>SUMIF(P7:P12,"&lt;6",O7:O12)</f>
        <v>0</v>
      </c>
      <c r="Q5" s="162">
        <f>IF(COUNTIF(P7:P12,6)&lt;=Max_Nichtantworten+(COUNTA(N7:N12)-P$6),SUM(Q7:Q12),0)</f>
        <v>0</v>
      </c>
      <c r="S5" s="217" t="s">
        <v>73</v>
      </c>
      <c r="T5" s="162">
        <v>0.16</v>
      </c>
      <c r="U5" s="162">
        <f>SUMIF(U7:U13,"&lt;6",T7:T13)</f>
        <v>0</v>
      </c>
      <c r="V5" s="162">
        <f>IF(COUNTIF(U7:U13,6)&lt;=Max_Nichtantworten+(COUNTA(S7:S13)-U$6),SUM(V7:V13),0)</f>
        <v>0</v>
      </c>
      <c r="X5" s="217" t="s">
        <v>73</v>
      </c>
      <c r="Y5" s="162">
        <v>0.14000000000000001</v>
      </c>
      <c r="Z5" s="162">
        <f>SUMIF(Z7:Z12,"&lt;6",Y7:Y12)</f>
        <v>0</v>
      </c>
      <c r="AA5" s="162">
        <f>IF(COUNTIF(Z7:Z12,6)&lt;=Max_Nichtantworten+(COUNTA(X7:X12)-Z$6),SUM(AA7:AA12),0)</f>
        <v>0</v>
      </c>
      <c r="AC5" s="217" t="s">
        <v>73</v>
      </c>
      <c r="AD5" s="162">
        <v>0.1</v>
      </c>
      <c r="AE5" s="162">
        <f>SUMIF(AE7:AE11,"&lt;6",AD7:AD11)</f>
        <v>0</v>
      </c>
      <c r="AF5" s="162">
        <f>IF(COUNTIF(AE7:AE11,6)&lt;=Max_Nichtantworten+(COUNTA(AC7:AC11)-AE$6),SUM(AF7:AF11),0)</f>
        <v>0</v>
      </c>
      <c r="AH5" s="217" t="s">
        <v>73</v>
      </c>
      <c r="AI5" s="162">
        <v>0.16</v>
      </c>
      <c r="AJ5" s="162">
        <f>SUMIF(AJ7:AJ12,"&lt;6",AI7:AI12)</f>
        <v>0</v>
      </c>
      <c r="AK5" s="162">
        <f>IF(COUNTIF(AJ7:AJ12,6)&lt;=Max_Nichtantworten+(COUNTA(AH7:AH12)-AJ$6),SUM(AK7:AK12),0)</f>
        <v>0</v>
      </c>
      <c r="AM5" s="1" t="s">
        <v>74</v>
      </c>
      <c r="AN5" s="1">
        <v>1</v>
      </c>
      <c r="AO5" s="1">
        <v>10</v>
      </c>
      <c r="AP5" s="90" t="s">
        <v>75</v>
      </c>
    </row>
    <row r="6" spans="1:42">
      <c r="A6" s="12" t="s">
        <v>76</v>
      </c>
      <c r="B6" s="12" t="s">
        <v>77</v>
      </c>
      <c r="D6" s="307" t="s">
        <v>78</v>
      </c>
      <c r="E6" s="307"/>
      <c r="F6" s="70">
        <v>7</v>
      </c>
      <c r="G6" s="70"/>
      <c r="I6" s="307" t="s">
        <v>78</v>
      </c>
      <c r="J6" s="307"/>
      <c r="K6" s="70">
        <v>5</v>
      </c>
      <c r="L6" s="70"/>
      <c r="N6" s="307" t="s">
        <v>78</v>
      </c>
      <c r="O6" s="307"/>
      <c r="P6" s="70">
        <v>6</v>
      </c>
      <c r="Q6" s="70"/>
      <c r="S6" s="307" t="s">
        <v>78</v>
      </c>
      <c r="T6" s="307"/>
      <c r="U6" s="70">
        <v>7</v>
      </c>
      <c r="V6" s="163"/>
      <c r="X6" s="307" t="s">
        <v>78</v>
      </c>
      <c r="Y6" s="307"/>
      <c r="Z6" s="70">
        <v>6</v>
      </c>
      <c r="AA6" s="70"/>
      <c r="AC6" s="307" t="s">
        <v>78</v>
      </c>
      <c r="AD6" s="307"/>
      <c r="AE6" s="70">
        <v>5</v>
      </c>
      <c r="AF6" s="70"/>
      <c r="AH6" s="307" t="s">
        <v>78</v>
      </c>
      <c r="AI6" s="307"/>
      <c r="AJ6" s="70">
        <v>6</v>
      </c>
      <c r="AK6" s="70"/>
      <c r="AM6" s="1" t="s">
        <v>79</v>
      </c>
      <c r="AN6" s="1">
        <v>2</v>
      </c>
      <c r="AO6" s="1">
        <f>AO5-Schrittweite*10</f>
        <v>8</v>
      </c>
      <c r="AP6" s="90" t="s">
        <v>80</v>
      </c>
    </row>
    <row r="7" spans="1:42">
      <c r="A7" s="12" t="s">
        <v>81</v>
      </c>
      <c r="B7" s="12" t="s">
        <v>82</v>
      </c>
      <c r="D7" s="55" t="s">
        <v>83</v>
      </c>
      <c r="E7" s="61">
        <v>2.1000000000000001E-2</v>
      </c>
      <c r="F7" s="60">
        <v>6</v>
      </c>
      <c r="G7" s="62">
        <f t="shared" ref="G7:G13" si="0">IFERROR(VLOOKUP(F7,$AN$5:$AO$10,2,FALSE)/10*E7,0)</f>
        <v>0</v>
      </c>
      <c r="I7" s="55" t="s">
        <v>84</v>
      </c>
      <c r="J7" s="61">
        <v>3.3000000000000002E-2</v>
      </c>
      <c r="K7" s="60">
        <v>6</v>
      </c>
      <c r="L7" s="62">
        <f>IFERROR(VLOOKUP(K7,$AN$5:$AO$10,2,FALSE)/10*J7,0)</f>
        <v>0</v>
      </c>
      <c r="N7" s="55" t="s">
        <v>85</v>
      </c>
      <c r="O7" s="61">
        <v>3.2000000000000001E-2</v>
      </c>
      <c r="P7" s="60">
        <v>6</v>
      </c>
      <c r="Q7" s="62">
        <f t="shared" ref="Q7:Q12" si="1">IFERROR(VLOOKUP(P7,$AN$5:$AO$10,2,FALSE)/10*O7,0)</f>
        <v>0</v>
      </c>
      <c r="S7" s="55" t="s">
        <v>86</v>
      </c>
      <c r="T7" s="61">
        <v>2.1999999999999999E-2</v>
      </c>
      <c r="U7" s="60">
        <v>6</v>
      </c>
      <c r="V7" s="62">
        <f t="shared" ref="V7:V12" si="2">IFERROR(VLOOKUP(U7,$AN$5:$AO$10,2,FALSE)/10*T7,0)</f>
        <v>0</v>
      </c>
      <c r="X7" s="55" t="s">
        <v>87</v>
      </c>
      <c r="Y7" s="61">
        <v>2.8000000000000001E-2</v>
      </c>
      <c r="Z7" s="60">
        <v>6</v>
      </c>
      <c r="AA7" s="62">
        <f t="shared" ref="AA7:AA12" si="3">IFERROR(VLOOKUP(Z7,$AN$5:$AO$10,2,FALSE)/10*Y7,0)</f>
        <v>0</v>
      </c>
      <c r="AC7" s="55" t="s">
        <v>88</v>
      </c>
      <c r="AD7" s="61">
        <v>2.9000000000000001E-2</v>
      </c>
      <c r="AE7" s="60">
        <v>6</v>
      </c>
      <c r="AF7" s="62">
        <f>IFERROR(VLOOKUP(AE7,$AN$5:$AO$10,2,FALSE)/10*AD7,0)</f>
        <v>0</v>
      </c>
      <c r="AH7" s="55" t="s">
        <v>89</v>
      </c>
      <c r="AI7" s="61">
        <v>0.03</v>
      </c>
      <c r="AJ7" s="60">
        <v>6</v>
      </c>
      <c r="AK7" s="62">
        <f t="shared" ref="AK7:AK12" si="4">IFERROR(VLOOKUP(AJ7,$AN$5:$AO$10,2,FALSE)/10*AI7,0)</f>
        <v>0</v>
      </c>
      <c r="AM7" s="1" t="s">
        <v>90</v>
      </c>
      <c r="AN7" s="1">
        <v>3</v>
      </c>
      <c r="AO7" s="1">
        <f>AO6-Schrittweite*10</f>
        <v>6</v>
      </c>
      <c r="AP7" s="171" t="s">
        <v>91</v>
      </c>
    </row>
    <row r="8" spans="1:42">
      <c r="A8" s="12" t="s">
        <v>92</v>
      </c>
      <c r="B8" s="12" t="s">
        <v>93</v>
      </c>
      <c r="D8" s="55" t="s">
        <v>94</v>
      </c>
      <c r="E8" s="61">
        <v>2.8000000000000001E-2</v>
      </c>
      <c r="F8" s="60">
        <v>6</v>
      </c>
      <c r="G8" s="62">
        <f t="shared" si="0"/>
        <v>0</v>
      </c>
      <c r="I8" s="55" t="s">
        <v>95</v>
      </c>
      <c r="J8" s="61">
        <v>2.9000000000000001E-2</v>
      </c>
      <c r="K8" s="60">
        <v>6</v>
      </c>
      <c r="L8" s="62">
        <f>IFERROR(VLOOKUP(K8,$AN$5:$AO$10,2,FALSE)/10*J8,0)</f>
        <v>0</v>
      </c>
      <c r="N8" s="55" t="s">
        <v>96</v>
      </c>
      <c r="O8" s="61">
        <v>1.9E-2</v>
      </c>
      <c r="P8" s="60">
        <v>6</v>
      </c>
      <c r="Q8" s="62">
        <f t="shared" si="1"/>
        <v>0</v>
      </c>
      <c r="S8" s="55" t="s">
        <v>97</v>
      </c>
      <c r="T8" s="61">
        <v>1.7000000000000001E-2</v>
      </c>
      <c r="U8" s="60">
        <v>6</v>
      </c>
      <c r="V8" s="62">
        <f t="shared" si="2"/>
        <v>0</v>
      </c>
      <c r="X8" s="55" t="s">
        <v>98</v>
      </c>
      <c r="Y8" s="61">
        <v>0.03</v>
      </c>
      <c r="Z8" s="60">
        <v>6</v>
      </c>
      <c r="AA8" s="62">
        <f t="shared" si="3"/>
        <v>0</v>
      </c>
      <c r="AC8" s="55" t="s">
        <v>99</v>
      </c>
      <c r="AD8" s="61">
        <v>8.9999999999999993E-3</v>
      </c>
      <c r="AE8" s="60">
        <v>6</v>
      </c>
      <c r="AF8" s="62">
        <f t="shared" ref="AF8" si="5">IFERROR(VLOOKUP(AE8,$AN$5:$AO$10,2,FALSE)/10*AD8,0)</f>
        <v>0</v>
      </c>
      <c r="AH8" s="55" t="s">
        <v>100</v>
      </c>
      <c r="AI8" s="61">
        <v>2.5999999999999999E-2</v>
      </c>
      <c r="AJ8" s="60">
        <v>6</v>
      </c>
      <c r="AK8" s="62">
        <f t="shared" si="4"/>
        <v>0</v>
      </c>
      <c r="AM8" s="1" t="s">
        <v>101</v>
      </c>
      <c r="AN8" s="1">
        <v>4</v>
      </c>
      <c r="AO8" s="1">
        <f>AO7-Schrittweite*10</f>
        <v>4</v>
      </c>
      <c r="AP8" s="90" t="s">
        <v>102</v>
      </c>
    </row>
    <row r="9" spans="1:42">
      <c r="A9" s="12" t="s">
        <v>103</v>
      </c>
      <c r="B9" s="12" t="s">
        <v>104</v>
      </c>
      <c r="D9" s="55" t="s">
        <v>105</v>
      </c>
      <c r="E9" s="61">
        <v>1.7999999999999999E-2</v>
      </c>
      <c r="F9" s="60">
        <v>6</v>
      </c>
      <c r="G9" s="62">
        <f t="shared" si="0"/>
        <v>0</v>
      </c>
      <c r="I9" s="55" t="s">
        <v>106</v>
      </c>
      <c r="J9" s="61">
        <v>3.4000000000000002E-2</v>
      </c>
      <c r="K9" s="60">
        <v>6</v>
      </c>
      <c r="L9" s="62">
        <f>IFERROR(VLOOKUP(K9,$AN$5:$AO$10,2,FALSE)/10*J9,0)</f>
        <v>0</v>
      </c>
      <c r="N9" s="55" t="s">
        <v>107</v>
      </c>
      <c r="O9" s="61">
        <v>0.02</v>
      </c>
      <c r="P9" s="60">
        <v>6</v>
      </c>
      <c r="Q9" s="62">
        <f t="shared" si="1"/>
        <v>0</v>
      </c>
      <c r="S9" s="55" t="s">
        <v>108</v>
      </c>
      <c r="T9" s="61">
        <v>2.5000000000000001E-2</v>
      </c>
      <c r="U9" s="60">
        <v>6</v>
      </c>
      <c r="V9" s="62">
        <f t="shared" si="2"/>
        <v>0</v>
      </c>
      <c r="X9" s="55" t="s">
        <v>109</v>
      </c>
      <c r="Y9" s="61">
        <v>0.02</v>
      </c>
      <c r="Z9" s="60">
        <v>6</v>
      </c>
      <c r="AA9" s="62">
        <f t="shared" si="3"/>
        <v>0</v>
      </c>
      <c r="AC9" s="55" t="s">
        <v>110</v>
      </c>
      <c r="AD9" s="61">
        <v>2.1000000000000001E-2</v>
      </c>
      <c r="AE9" s="60">
        <v>6</v>
      </c>
      <c r="AF9" s="62">
        <f>IFERROR(VLOOKUP(AE9,$AN$5:$AO$10,2,FALSE)/10*AD9,0)</f>
        <v>0</v>
      </c>
      <c r="AH9" s="55" t="s">
        <v>111</v>
      </c>
      <c r="AI9" s="61">
        <v>3.4000000000000002E-2</v>
      </c>
      <c r="AJ9" s="60">
        <v>6</v>
      </c>
      <c r="AK9" s="62">
        <f t="shared" si="4"/>
        <v>0</v>
      </c>
      <c r="AM9" s="1" t="s">
        <v>112</v>
      </c>
      <c r="AN9" s="1">
        <v>5</v>
      </c>
      <c r="AO9" s="1">
        <v>0</v>
      </c>
      <c r="AP9" s="90" t="s">
        <v>113</v>
      </c>
    </row>
    <row r="10" spans="1:42">
      <c r="A10" s="12" t="s">
        <v>114</v>
      </c>
      <c r="B10" s="12" t="s">
        <v>115</v>
      </c>
      <c r="D10" s="55" t="s">
        <v>116</v>
      </c>
      <c r="E10" s="61">
        <v>1.9E-2</v>
      </c>
      <c r="F10" s="60">
        <v>6</v>
      </c>
      <c r="G10" s="62">
        <f t="shared" si="0"/>
        <v>0</v>
      </c>
      <c r="I10" s="55" t="s">
        <v>117</v>
      </c>
      <c r="J10" s="61">
        <v>2.1999999999999999E-2</v>
      </c>
      <c r="K10" s="60">
        <v>6</v>
      </c>
      <c r="L10" s="62">
        <f>IFERROR(VLOOKUP(K10,$AN$5:$AO$10,2,FALSE)/10*J10,0)</f>
        <v>0</v>
      </c>
      <c r="N10" s="55" t="s">
        <v>118</v>
      </c>
      <c r="O10" s="61">
        <v>2.4E-2</v>
      </c>
      <c r="P10" s="60">
        <v>6</v>
      </c>
      <c r="Q10" s="62">
        <f t="shared" si="1"/>
        <v>0</v>
      </c>
      <c r="S10" s="55" t="s">
        <v>119</v>
      </c>
      <c r="T10" s="61">
        <v>3.5000000000000003E-2</v>
      </c>
      <c r="U10" s="60">
        <v>6</v>
      </c>
      <c r="V10" s="62">
        <f>IFERROR(VLOOKUP(U10,$AN$5:$AO$10,2,FALSE)/10*T10,0)</f>
        <v>0</v>
      </c>
      <c r="X10" s="55" t="s">
        <v>120</v>
      </c>
      <c r="Y10" s="61">
        <v>1.4999999999999999E-2</v>
      </c>
      <c r="Z10" s="60">
        <v>6</v>
      </c>
      <c r="AA10" s="62">
        <f t="shared" si="3"/>
        <v>0</v>
      </c>
      <c r="AC10" s="55" t="s">
        <v>121</v>
      </c>
      <c r="AD10" s="61">
        <v>2.1000000000000001E-2</v>
      </c>
      <c r="AE10" s="60">
        <v>6</v>
      </c>
      <c r="AF10" s="62">
        <f>IFERROR(VLOOKUP(AE10,$AN$5:$AO$10,2,FALSE)/10*AD10,0)</f>
        <v>0</v>
      </c>
      <c r="AH10" s="55" t="s">
        <v>122</v>
      </c>
      <c r="AI10" s="61">
        <v>0.02</v>
      </c>
      <c r="AJ10" s="60">
        <v>6</v>
      </c>
      <c r="AK10" s="62">
        <f t="shared" si="4"/>
        <v>0</v>
      </c>
      <c r="AM10" s="1" t="s">
        <v>123</v>
      </c>
      <c r="AN10" s="1">
        <v>6</v>
      </c>
      <c r="AO10" s="57">
        <v>0</v>
      </c>
      <c r="AP10" s="1" t="s">
        <v>124</v>
      </c>
    </row>
    <row r="11" spans="1:42">
      <c r="A11" s="12" t="s">
        <v>125</v>
      </c>
      <c r="B11" s="12" t="s">
        <v>126</v>
      </c>
      <c r="D11" s="55" t="s">
        <v>127</v>
      </c>
      <c r="E11" s="61">
        <v>2.1000000000000001E-2</v>
      </c>
      <c r="F11" s="60">
        <v>6</v>
      </c>
      <c r="G11" s="62">
        <f t="shared" si="0"/>
        <v>0</v>
      </c>
      <c r="I11" s="55" t="s">
        <v>128</v>
      </c>
      <c r="J11" s="61">
        <v>2.1999999999999999E-2</v>
      </c>
      <c r="K11" s="60">
        <v>6</v>
      </c>
      <c r="L11" s="62">
        <f>IFERROR(VLOOKUP(K11,$AN$5:$AO$10,2,FALSE)/10*J11,0)</f>
        <v>0</v>
      </c>
      <c r="N11" s="55" t="s">
        <v>129</v>
      </c>
      <c r="O11" s="61">
        <v>2.5999999999999999E-2</v>
      </c>
      <c r="P11" s="60">
        <v>6</v>
      </c>
      <c r="Q11" s="62">
        <f t="shared" si="1"/>
        <v>0</v>
      </c>
      <c r="S11" s="55" t="s">
        <v>130</v>
      </c>
      <c r="T11" s="61">
        <v>2.1000000000000001E-2</v>
      </c>
      <c r="U11" s="60">
        <v>6</v>
      </c>
      <c r="V11" s="62">
        <f t="shared" si="2"/>
        <v>0</v>
      </c>
      <c r="X11" s="55" t="s">
        <v>131</v>
      </c>
      <c r="Y11" s="61">
        <v>2.5000000000000001E-2</v>
      </c>
      <c r="Z11" s="60">
        <v>6</v>
      </c>
      <c r="AA11" s="62">
        <f t="shared" si="3"/>
        <v>0</v>
      </c>
      <c r="AC11" s="55" t="s">
        <v>132</v>
      </c>
      <c r="AD11" s="61">
        <v>0.02</v>
      </c>
      <c r="AE11" s="60">
        <v>6</v>
      </c>
      <c r="AF11" s="62">
        <f>IFERROR(VLOOKUP(AE11,$AN$5:$AO$10,2,FALSE)/10*AD11,0)</f>
        <v>0</v>
      </c>
      <c r="AH11" s="55" t="s">
        <v>133</v>
      </c>
      <c r="AI11" s="61">
        <v>2.1000000000000001E-2</v>
      </c>
      <c r="AJ11" s="60">
        <v>6</v>
      </c>
      <c r="AK11" s="62">
        <f t="shared" si="4"/>
        <v>0</v>
      </c>
      <c r="AM11" s="176" t="s">
        <v>134</v>
      </c>
      <c r="AN11" s="176">
        <v>7</v>
      </c>
      <c r="AO11" s="176">
        <v>0</v>
      </c>
      <c r="AP11" s="176" t="s">
        <v>135</v>
      </c>
    </row>
    <row r="12" spans="1:42">
      <c r="A12" s="12" t="s">
        <v>136</v>
      </c>
      <c r="B12" s="12" t="s">
        <v>137</v>
      </c>
      <c r="D12" s="55" t="s">
        <v>138</v>
      </c>
      <c r="E12" s="61">
        <v>1.4999999999999999E-2</v>
      </c>
      <c r="F12" s="60">
        <v>6</v>
      </c>
      <c r="G12" s="62">
        <f t="shared" si="0"/>
        <v>0</v>
      </c>
      <c r="I12" s="55"/>
      <c r="J12" s="61"/>
      <c r="K12" s="60"/>
      <c r="L12" s="62"/>
      <c r="N12" s="55" t="s">
        <v>139</v>
      </c>
      <c r="O12" s="61">
        <v>2.9000000000000001E-2</v>
      </c>
      <c r="P12" s="60">
        <v>6</v>
      </c>
      <c r="Q12" s="62">
        <f t="shared" si="1"/>
        <v>0</v>
      </c>
      <c r="S12" s="55" t="s">
        <v>140</v>
      </c>
      <c r="T12" s="61">
        <v>0.02</v>
      </c>
      <c r="U12" s="60">
        <v>6</v>
      </c>
      <c r="V12" s="62">
        <f t="shared" si="2"/>
        <v>0</v>
      </c>
      <c r="X12" s="55" t="s">
        <v>141</v>
      </c>
      <c r="Y12" s="61">
        <v>2.1999999999999999E-2</v>
      </c>
      <c r="Z12" s="60">
        <v>6</v>
      </c>
      <c r="AA12" s="62">
        <f t="shared" si="3"/>
        <v>0</v>
      </c>
      <c r="AC12" s="177"/>
      <c r="AD12" s="177"/>
      <c r="AE12" s="177"/>
      <c r="AF12" s="62"/>
      <c r="AH12" s="55" t="s">
        <v>142</v>
      </c>
      <c r="AI12" s="61">
        <v>2.9000000000000001E-2</v>
      </c>
      <c r="AJ12" s="60">
        <v>6</v>
      </c>
      <c r="AK12" s="62">
        <f t="shared" si="4"/>
        <v>0</v>
      </c>
      <c r="AM12" s="234" t="b">
        <v>1</v>
      </c>
      <c r="AN12" s="57" t="b">
        <v>1</v>
      </c>
      <c r="AO12" s="1">
        <v>10</v>
      </c>
      <c r="AP12" s="90" t="s">
        <v>75</v>
      </c>
    </row>
    <row r="13" spans="1:42">
      <c r="A13" s="12" t="s">
        <v>143</v>
      </c>
      <c r="B13" s="12" t="s">
        <v>144</v>
      </c>
      <c r="D13" s="55" t="s">
        <v>145</v>
      </c>
      <c r="E13" s="61">
        <v>2.8000000000000001E-2</v>
      </c>
      <c r="F13" s="60">
        <v>6</v>
      </c>
      <c r="G13" s="62">
        <f t="shared" si="0"/>
        <v>0</v>
      </c>
      <c r="I13" s="55"/>
      <c r="J13" s="61"/>
      <c r="K13" s="60"/>
      <c r="L13" s="62"/>
      <c r="N13" s="55"/>
      <c r="O13" s="61"/>
      <c r="P13" s="60"/>
      <c r="Q13" s="62"/>
      <c r="S13" s="55" t="s">
        <v>146</v>
      </c>
      <c r="T13" s="61">
        <v>0.02</v>
      </c>
      <c r="U13" s="60">
        <v>6</v>
      </c>
      <c r="V13" s="62">
        <f>IFERROR(VLOOKUP(U13,$AN$5:$AO$10,2,FALSE)/10*T13,0)</f>
        <v>0</v>
      </c>
      <c r="X13" s="61"/>
      <c r="Y13" s="61"/>
      <c r="Z13" s="60"/>
      <c r="AA13" s="62"/>
      <c r="AC13" s="177"/>
      <c r="AD13" s="177"/>
      <c r="AE13" s="177"/>
      <c r="AM13" s="234" t="b">
        <v>0</v>
      </c>
      <c r="AN13" s="57" t="b">
        <v>0</v>
      </c>
      <c r="AO13" s="1">
        <v>0</v>
      </c>
      <c r="AP13" s="90" t="s">
        <v>113</v>
      </c>
    </row>
    <row r="14" spans="1:42">
      <c r="A14" s="12" t="s">
        <v>147</v>
      </c>
      <c r="B14" s="12" t="s">
        <v>148</v>
      </c>
      <c r="N14" s="55"/>
      <c r="O14" s="61"/>
      <c r="P14" s="60"/>
      <c r="Q14" s="62"/>
      <c r="X14" s="61"/>
      <c r="AC14" s="55"/>
      <c r="AD14" s="174"/>
      <c r="AE14" s="60"/>
      <c r="AH14" s="55"/>
      <c r="AI14" s="174"/>
      <c r="AJ14" s="60"/>
      <c r="AK14" s="62"/>
      <c r="AM14" s="308"/>
      <c r="AN14" s="308"/>
      <c r="AO14" s="308"/>
      <c r="AP14" s="308"/>
    </row>
    <row r="15" spans="1:42">
      <c r="A15" s="12" t="s">
        <v>149</v>
      </c>
      <c r="B15" s="12" t="s">
        <v>150</v>
      </c>
      <c r="N15" s="55"/>
      <c r="O15" s="61"/>
      <c r="P15" s="60"/>
      <c r="Q15" s="62"/>
      <c r="X15" s="61"/>
      <c r="AC15" s="55"/>
      <c r="AD15" s="174"/>
      <c r="AE15" s="60"/>
      <c r="AF15" s="62"/>
      <c r="AH15" s="55"/>
      <c r="AI15" s="174"/>
      <c r="AJ15" s="60"/>
      <c r="AK15" s="62"/>
      <c r="AM15" s="143"/>
    </row>
    <row r="16" spans="1:42">
      <c r="A16" s="12" t="s">
        <v>151</v>
      </c>
      <c r="B16" s="12" t="s">
        <v>152</v>
      </c>
      <c r="N16" s="55"/>
      <c r="O16" s="61"/>
      <c r="P16" s="60"/>
      <c r="Q16" s="62"/>
      <c r="X16" s="61"/>
      <c r="Z16" s="60"/>
      <c r="AA16" s="62"/>
      <c r="AC16" s="55"/>
      <c r="AD16" s="174"/>
      <c r="AE16" s="60"/>
      <c r="AF16" s="175"/>
      <c r="AH16" s="55"/>
      <c r="AI16" s="174"/>
      <c r="AJ16" s="60"/>
      <c r="AK16" s="62"/>
      <c r="AO16" s="142"/>
      <c r="AP16" s="57"/>
    </row>
    <row r="17" spans="1:41">
      <c r="A17" s="12" t="s">
        <v>153</v>
      </c>
      <c r="B17" s="12" t="s">
        <v>154</v>
      </c>
      <c r="N17" s="55"/>
      <c r="O17" s="61"/>
      <c r="P17" s="60"/>
      <c r="Q17" s="62"/>
      <c r="Z17" s="60"/>
      <c r="AA17" s="62"/>
      <c r="AC17" s="55"/>
      <c r="AD17" s="174"/>
      <c r="AE17" s="60"/>
      <c r="AH17" s="55"/>
      <c r="AI17" s="174"/>
      <c r="AJ17" s="60"/>
      <c r="AK17" s="62"/>
      <c r="AO17" s="142"/>
    </row>
    <row r="18" spans="1:41">
      <c r="A18" s="12" t="s">
        <v>155</v>
      </c>
      <c r="B18" s="12" t="s">
        <v>156</v>
      </c>
      <c r="X18" s="61"/>
      <c r="Z18" s="60"/>
      <c r="AA18" s="62"/>
      <c r="AC18" s="55"/>
      <c r="AD18" s="174"/>
      <c r="AE18" s="60"/>
      <c r="AF18" s="175"/>
      <c r="AH18" s="55"/>
      <c r="AI18" s="174"/>
      <c r="AJ18" s="60"/>
      <c r="AK18" s="62"/>
      <c r="AM18" s="126"/>
      <c r="AO18" s="142"/>
    </row>
    <row r="19" spans="1:41">
      <c r="A19" s="12"/>
      <c r="B19" s="12"/>
      <c r="D19" s="216" t="s">
        <v>157</v>
      </c>
      <c r="E19" s="305">
        <f>E5+J5+O5+T5+Y5+AD5+AI5</f>
        <v>1</v>
      </c>
      <c r="F19" s="305"/>
      <c r="X19" s="61"/>
      <c r="Z19" s="60"/>
      <c r="AA19" s="62"/>
      <c r="AC19" s="55"/>
      <c r="AD19" s="174"/>
      <c r="AE19" s="60"/>
      <c r="AF19" s="175"/>
      <c r="AH19" s="55"/>
      <c r="AI19" s="174"/>
      <c r="AJ19" s="60"/>
      <c r="AK19" s="62"/>
    </row>
    <row r="20" spans="1:41">
      <c r="A20" s="12" t="s">
        <v>158</v>
      </c>
      <c r="B20" s="12" t="s">
        <v>159</v>
      </c>
      <c r="X20" s="61"/>
      <c r="Z20" s="60"/>
      <c r="AA20" s="62"/>
      <c r="AC20" s="55"/>
      <c r="AD20" s="174"/>
      <c r="AE20" s="60"/>
      <c r="AF20" s="175"/>
      <c r="AH20" s="55"/>
      <c r="AI20" s="174"/>
      <c r="AJ20" s="60"/>
      <c r="AK20" s="62"/>
    </row>
    <row r="21" spans="1:41">
      <c r="A21" s="12" t="s">
        <v>160</v>
      </c>
      <c r="B21" s="12" t="s">
        <v>161</v>
      </c>
      <c r="X21" s="61"/>
      <c r="AC21" s="55"/>
      <c r="AD21" s="174"/>
      <c r="AE21" s="60"/>
      <c r="AF21" s="175"/>
      <c r="AH21" s="55"/>
      <c r="AI21" s="174"/>
      <c r="AJ21" s="60"/>
      <c r="AK21" s="62"/>
      <c r="AN21" s="142"/>
    </row>
    <row r="22" spans="1:41">
      <c r="A22" s="12" t="s">
        <v>162</v>
      </c>
      <c r="B22" s="12" t="s">
        <v>163</v>
      </c>
      <c r="X22" s="61"/>
      <c r="Z22" s="60"/>
      <c r="AA22" s="62"/>
      <c r="AC22" s="55"/>
      <c r="AD22" s="174"/>
      <c r="AE22" s="60"/>
      <c r="AF22" s="175"/>
      <c r="AH22" s="55"/>
      <c r="AI22" s="174"/>
      <c r="AJ22" s="60"/>
      <c r="AK22" s="62"/>
    </row>
    <row r="23" spans="1:41">
      <c r="A23" s="12" t="s">
        <v>164</v>
      </c>
      <c r="B23" s="12" t="s">
        <v>165</v>
      </c>
      <c r="X23" s="61"/>
      <c r="Z23" s="60"/>
      <c r="AA23" s="62"/>
      <c r="AC23" s="55"/>
      <c r="AD23" s="174"/>
      <c r="AE23" s="60"/>
      <c r="AF23" s="175"/>
      <c r="AH23" s="55"/>
      <c r="AI23" s="174"/>
      <c r="AJ23" s="60"/>
      <c r="AK23" s="62"/>
      <c r="AM23" s="56" t="s">
        <v>166</v>
      </c>
    </row>
    <row r="24" spans="1:41">
      <c r="A24" s="12" t="s">
        <v>167</v>
      </c>
      <c r="B24" s="12" t="s">
        <v>168</v>
      </c>
      <c r="X24" s="61"/>
      <c r="Z24" s="60"/>
      <c r="AA24" s="62"/>
      <c r="AC24" s="55"/>
      <c r="AD24" s="174"/>
      <c r="AE24" s="60"/>
      <c r="AF24" s="175"/>
      <c r="AH24" s="55"/>
      <c r="AI24" s="174"/>
      <c r="AJ24" s="60"/>
      <c r="AK24" s="62"/>
      <c r="AM24" s="1" t="s">
        <v>169</v>
      </c>
    </row>
    <row r="25" spans="1:41">
      <c r="A25" s="12" t="s">
        <v>170</v>
      </c>
      <c r="B25" s="12" t="s">
        <v>171</v>
      </c>
      <c r="X25" s="61"/>
      <c r="Z25" s="60"/>
      <c r="AA25" s="62"/>
      <c r="AC25" s="55"/>
      <c r="AD25" s="174"/>
      <c r="AE25" s="60"/>
      <c r="AF25" s="175"/>
      <c r="AH25" s="55"/>
      <c r="AI25" s="174"/>
      <c r="AJ25" s="60"/>
      <c r="AK25" s="62"/>
      <c r="AM25" s="1" t="s">
        <v>172</v>
      </c>
    </row>
    <row r="26" spans="1:41">
      <c r="A26" s="12" t="s">
        <v>173</v>
      </c>
      <c r="B26" s="12" t="s">
        <v>174</v>
      </c>
      <c r="X26" s="61"/>
      <c r="Z26" s="60"/>
      <c r="AA26" s="62"/>
      <c r="AC26" s="55"/>
      <c r="AD26" s="174"/>
      <c r="AE26" s="60"/>
      <c r="AF26" s="175"/>
      <c r="AH26" s="55"/>
      <c r="AI26" s="174"/>
      <c r="AJ26" s="60"/>
      <c r="AK26" s="62"/>
      <c r="AM26" s="1" t="s">
        <v>175</v>
      </c>
    </row>
    <row r="27" spans="1:41">
      <c r="A27" s="12" t="s">
        <v>176</v>
      </c>
      <c r="B27" s="12" t="s">
        <v>177</v>
      </c>
      <c r="Z27" s="60"/>
      <c r="AA27" s="62"/>
      <c r="AC27" s="55"/>
      <c r="AD27" s="174"/>
      <c r="AE27" s="60"/>
      <c r="AF27" s="175"/>
      <c r="AH27" s="55"/>
      <c r="AI27" s="174"/>
      <c r="AJ27" s="60"/>
      <c r="AK27" s="62"/>
    </row>
    <row r="28" spans="1:41">
      <c r="A28" s="12" t="s">
        <v>178</v>
      </c>
      <c r="B28" s="12" t="s">
        <v>179</v>
      </c>
      <c r="Z28" s="60"/>
      <c r="AA28" s="62"/>
      <c r="AC28" s="55"/>
      <c r="AD28" s="174"/>
      <c r="AE28" s="60"/>
      <c r="AF28" s="175"/>
      <c r="AH28" s="55"/>
      <c r="AI28" s="174"/>
      <c r="AJ28" s="60"/>
      <c r="AK28" s="62"/>
    </row>
    <row r="29" spans="1:41">
      <c r="A29" s="12" t="s">
        <v>180</v>
      </c>
      <c r="B29" s="12" t="s">
        <v>181</v>
      </c>
      <c r="Z29" s="60"/>
      <c r="AA29" s="62"/>
      <c r="AC29" s="55"/>
      <c r="AD29" s="174"/>
      <c r="AE29" s="60"/>
      <c r="AF29" s="175"/>
      <c r="AH29" s="55"/>
      <c r="AI29" s="174"/>
      <c r="AJ29" s="60"/>
      <c r="AK29" s="62"/>
    </row>
    <row r="30" spans="1:41">
      <c r="A30" s="12" t="s">
        <v>182</v>
      </c>
      <c r="B30" s="12" t="s">
        <v>183</v>
      </c>
      <c r="Z30" s="60"/>
      <c r="AA30" s="62"/>
      <c r="AC30" s="55"/>
      <c r="AD30" s="174"/>
      <c r="AE30" s="60"/>
      <c r="AF30" s="175"/>
      <c r="AH30" s="55"/>
      <c r="AI30" s="174"/>
      <c r="AJ30" s="60"/>
      <c r="AK30" s="62"/>
    </row>
    <row r="31" spans="1:41">
      <c r="A31" s="12" t="s">
        <v>184</v>
      </c>
      <c r="B31" s="12" t="s">
        <v>185</v>
      </c>
      <c r="AC31" s="55"/>
      <c r="AD31" s="174"/>
      <c r="AE31" s="60"/>
      <c r="AF31" s="175"/>
      <c r="AH31" s="55"/>
      <c r="AI31" s="174"/>
      <c r="AJ31" s="60"/>
      <c r="AK31" s="62"/>
    </row>
    <row r="32" spans="1:41">
      <c r="A32" s="12" t="s">
        <v>186</v>
      </c>
      <c r="B32" s="12" t="s">
        <v>187</v>
      </c>
      <c r="AC32" s="55"/>
      <c r="AD32" s="174"/>
      <c r="AE32" s="60"/>
      <c r="AF32" s="175"/>
      <c r="AH32" s="55"/>
      <c r="AI32" s="174"/>
      <c r="AJ32" s="60"/>
      <c r="AK32" s="62"/>
    </row>
    <row r="33" spans="1:37">
      <c r="A33" s="12" t="s">
        <v>188</v>
      </c>
      <c r="B33" s="12" t="s">
        <v>189</v>
      </c>
      <c r="AC33" s="55"/>
      <c r="AD33" s="174"/>
      <c r="AE33" s="60"/>
      <c r="AF33" s="175"/>
      <c r="AH33" s="55"/>
      <c r="AI33" s="174"/>
      <c r="AJ33" s="60"/>
      <c r="AK33" s="62"/>
    </row>
    <row r="34" spans="1:37">
      <c r="A34" s="12" t="s">
        <v>190</v>
      </c>
      <c r="B34" s="12" t="s">
        <v>191</v>
      </c>
      <c r="AC34" s="55"/>
      <c r="AD34" s="174"/>
      <c r="AE34" s="60"/>
      <c r="AF34" s="175"/>
      <c r="AH34" s="55"/>
      <c r="AI34" s="174"/>
      <c r="AJ34" s="60"/>
      <c r="AK34" s="62"/>
    </row>
    <row r="35" spans="1:37">
      <c r="A35" s="12" t="s">
        <v>192</v>
      </c>
      <c r="B35" s="12" t="s">
        <v>193</v>
      </c>
      <c r="AC35" s="55"/>
      <c r="AD35" s="174"/>
      <c r="AE35" s="60"/>
      <c r="AF35" s="175"/>
      <c r="AH35" s="55"/>
      <c r="AI35" s="174"/>
      <c r="AJ35" s="60"/>
      <c r="AK35" s="62"/>
    </row>
    <row r="36" spans="1:37">
      <c r="A36" s="12" t="s">
        <v>194</v>
      </c>
      <c r="B36" s="12" t="s">
        <v>195</v>
      </c>
      <c r="D36" s="148"/>
      <c r="E36" s="148"/>
      <c r="F36" s="148"/>
      <c r="G36" s="148"/>
      <c r="H36" s="148"/>
      <c r="I36" s="148"/>
      <c r="J36" s="148"/>
      <c r="K36" s="148"/>
      <c r="L36" s="148"/>
      <c r="M36" s="148"/>
      <c r="N36" s="148"/>
      <c r="O36" s="148"/>
      <c r="P36" s="148"/>
    </row>
    <row r="37" spans="1:37">
      <c r="A37" s="12" t="s">
        <v>196</v>
      </c>
      <c r="B37" s="12" t="s">
        <v>197</v>
      </c>
      <c r="D37" s="148"/>
      <c r="E37" s="148"/>
      <c r="F37" s="148"/>
      <c r="G37" s="158"/>
      <c r="H37" s="148"/>
      <c r="I37" s="148"/>
      <c r="J37" s="158"/>
      <c r="K37" s="158"/>
      <c r="L37" s="158"/>
      <c r="M37" s="148"/>
      <c r="N37" s="158"/>
      <c r="O37" s="148"/>
      <c r="P37" s="148"/>
    </row>
    <row r="38" spans="1:37">
      <c r="A38" s="12" t="s">
        <v>198</v>
      </c>
      <c r="B38" s="12" t="s">
        <v>199</v>
      </c>
      <c r="D38" s="148"/>
      <c r="E38" s="148"/>
      <c r="F38" s="148"/>
      <c r="G38" s="158"/>
      <c r="H38" s="148"/>
      <c r="I38" s="148"/>
      <c r="J38" s="158"/>
      <c r="K38" s="158"/>
      <c r="L38" s="158"/>
      <c r="M38" s="148"/>
      <c r="N38" s="158"/>
      <c r="O38" s="148"/>
      <c r="P38" s="148"/>
    </row>
    <row r="39" spans="1:37">
      <c r="A39" s="12" t="s">
        <v>200</v>
      </c>
      <c r="B39" s="12" t="s">
        <v>201</v>
      </c>
      <c r="D39" s="148"/>
      <c r="E39" s="148"/>
      <c r="F39" s="148"/>
      <c r="G39" s="148"/>
      <c r="H39" s="148"/>
      <c r="I39" s="148"/>
      <c r="J39" s="158"/>
      <c r="K39" s="158"/>
      <c r="L39" s="158"/>
      <c r="M39" s="148"/>
      <c r="N39" s="158"/>
      <c r="O39" s="148"/>
      <c r="P39" s="148"/>
    </row>
    <row r="40" spans="1:37">
      <c r="A40" s="12" t="s">
        <v>202</v>
      </c>
      <c r="B40" s="12" t="s">
        <v>203</v>
      </c>
      <c r="D40" s="148"/>
      <c r="E40" s="148"/>
      <c r="F40" s="148"/>
      <c r="G40" s="148"/>
      <c r="H40" s="148"/>
      <c r="I40" s="148"/>
      <c r="J40" s="158"/>
      <c r="K40" s="158"/>
      <c r="L40" s="158"/>
      <c r="M40" s="148"/>
      <c r="N40" s="158"/>
      <c r="O40" s="148"/>
      <c r="P40" s="148"/>
    </row>
    <row r="41" spans="1:37">
      <c r="A41" s="12" t="s">
        <v>204</v>
      </c>
      <c r="B41" s="12" t="s">
        <v>205</v>
      </c>
      <c r="D41" s="148"/>
      <c r="E41" s="148"/>
      <c r="F41" s="148"/>
      <c r="G41" s="148"/>
      <c r="H41" s="148"/>
      <c r="I41" s="148"/>
      <c r="J41" s="158"/>
      <c r="K41" s="158"/>
      <c r="L41" s="158"/>
      <c r="M41" s="148"/>
      <c r="N41" s="158"/>
      <c r="O41" s="148"/>
      <c r="P41" s="148"/>
    </row>
    <row r="42" spans="1:37">
      <c r="A42" s="12" t="s">
        <v>206</v>
      </c>
      <c r="B42" s="12" t="s">
        <v>207</v>
      </c>
      <c r="D42" s="148"/>
      <c r="E42" s="148"/>
      <c r="F42" s="148"/>
      <c r="G42" s="148"/>
      <c r="H42" s="148"/>
      <c r="I42" s="148"/>
      <c r="J42" s="158"/>
      <c r="K42" s="158"/>
      <c r="L42" s="158"/>
      <c r="M42" s="148"/>
      <c r="N42" s="158"/>
      <c r="O42" s="148"/>
      <c r="P42" s="148"/>
    </row>
    <row r="43" spans="1:37">
      <c r="A43" s="12" t="s">
        <v>208</v>
      </c>
      <c r="B43" s="12" t="s">
        <v>209</v>
      </c>
      <c r="D43" s="148"/>
      <c r="E43" s="148"/>
      <c r="F43" s="148"/>
      <c r="G43" s="148"/>
      <c r="H43" s="148"/>
      <c r="I43" s="148"/>
      <c r="J43" s="148"/>
      <c r="K43" s="148"/>
      <c r="L43" s="158"/>
      <c r="M43" s="148"/>
      <c r="N43" s="148"/>
      <c r="O43" s="148"/>
      <c r="P43" s="148"/>
    </row>
    <row r="44" spans="1:37">
      <c r="A44" s="12" t="s">
        <v>210</v>
      </c>
      <c r="B44" s="12" t="s">
        <v>211</v>
      </c>
      <c r="D44" s="148"/>
      <c r="E44" s="148"/>
      <c r="F44" s="148"/>
      <c r="G44" s="148"/>
      <c r="H44" s="148"/>
      <c r="I44" s="148"/>
      <c r="J44" s="148"/>
      <c r="K44" s="148"/>
      <c r="L44" s="148"/>
      <c r="M44" s="148"/>
      <c r="N44" s="148"/>
      <c r="O44" s="148"/>
      <c r="P44" s="148"/>
    </row>
    <row r="45" spans="1:37">
      <c r="A45" s="12" t="s">
        <v>212</v>
      </c>
      <c r="B45" s="12" t="s">
        <v>213</v>
      </c>
      <c r="D45" s="148"/>
      <c r="E45" s="148"/>
      <c r="F45" s="148"/>
      <c r="G45" s="158"/>
      <c r="H45" s="148"/>
      <c r="I45" s="148"/>
      <c r="J45" s="148"/>
      <c r="K45" s="148"/>
      <c r="L45" s="148"/>
      <c r="M45" s="148"/>
      <c r="N45" s="148"/>
      <c r="O45" s="148"/>
      <c r="P45" s="148"/>
    </row>
    <row r="46" spans="1:37">
      <c r="A46" s="12" t="s">
        <v>214</v>
      </c>
      <c r="B46" s="12" t="s">
        <v>215</v>
      </c>
      <c r="D46" s="148"/>
      <c r="E46" s="148"/>
      <c r="F46" s="148"/>
      <c r="G46" s="148"/>
      <c r="H46" s="148"/>
      <c r="I46" s="148"/>
      <c r="J46" s="148"/>
      <c r="K46" s="148"/>
      <c r="L46" s="148"/>
      <c r="M46" s="148"/>
      <c r="N46" s="148"/>
      <c r="O46" s="148"/>
      <c r="P46" s="148"/>
    </row>
    <row r="47" spans="1:37">
      <c r="A47" s="12" t="s">
        <v>216</v>
      </c>
      <c r="B47" s="12" t="s">
        <v>217</v>
      </c>
      <c r="D47" s="148"/>
      <c r="E47" s="148"/>
      <c r="F47" s="148"/>
      <c r="G47" s="158"/>
      <c r="H47" s="148"/>
      <c r="I47" s="148"/>
      <c r="J47" s="148"/>
      <c r="K47" s="148"/>
      <c r="L47" s="148"/>
      <c r="M47" s="148"/>
      <c r="N47" s="148"/>
      <c r="O47" s="148"/>
      <c r="P47" s="148"/>
    </row>
    <row r="48" spans="1:37">
      <c r="A48" s="12" t="s">
        <v>218</v>
      </c>
      <c r="B48" s="12" t="s">
        <v>219</v>
      </c>
      <c r="D48" s="148"/>
      <c r="E48" s="148"/>
      <c r="F48" s="148"/>
      <c r="G48" s="148"/>
      <c r="H48" s="148"/>
      <c r="I48" s="148"/>
      <c r="J48" s="148"/>
      <c r="K48" s="148"/>
      <c r="L48" s="148"/>
      <c r="M48" s="148"/>
      <c r="N48" s="148"/>
      <c r="O48" s="148"/>
      <c r="P48" s="148"/>
    </row>
    <row r="49" spans="1:2">
      <c r="A49" s="12" t="s">
        <v>220</v>
      </c>
      <c r="B49" s="12" t="s">
        <v>221</v>
      </c>
    </row>
    <row r="50" spans="1:2">
      <c r="A50" s="12" t="s">
        <v>222</v>
      </c>
      <c r="B50" s="12" t="s">
        <v>223</v>
      </c>
    </row>
    <row r="51" spans="1:2">
      <c r="A51" s="12" t="s">
        <v>224</v>
      </c>
      <c r="B51" s="12" t="s">
        <v>225</v>
      </c>
    </row>
    <row r="52" spans="1:2">
      <c r="A52" s="12" t="s">
        <v>226</v>
      </c>
      <c r="B52" s="12" t="s">
        <v>227</v>
      </c>
    </row>
    <row r="53" spans="1:2">
      <c r="A53" s="12" t="s">
        <v>228</v>
      </c>
      <c r="B53" s="12" t="s">
        <v>229</v>
      </c>
    </row>
    <row r="54" spans="1:2">
      <c r="A54" s="12" t="s">
        <v>230</v>
      </c>
      <c r="B54" s="12" t="s">
        <v>231</v>
      </c>
    </row>
    <row r="55" spans="1:2">
      <c r="A55" s="12" t="s">
        <v>232</v>
      </c>
      <c r="B55" s="12" t="s">
        <v>233</v>
      </c>
    </row>
    <row r="56" spans="1:2">
      <c r="A56" s="12" t="s">
        <v>234</v>
      </c>
      <c r="B56" s="12" t="s">
        <v>235</v>
      </c>
    </row>
    <row r="57" spans="1:2">
      <c r="A57" s="12" t="s">
        <v>236</v>
      </c>
      <c r="B57" s="12" t="s">
        <v>237</v>
      </c>
    </row>
    <row r="58" spans="1:2">
      <c r="A58" s="12" t="s">
        <v>238</v>
      </c>
      <c r="B58" s="12" t="s">
        <v>239</v>
      </c>
    </row>
    <row r="59" spans="1:2">
      <c r="A59" s="12" t="s">
        <v>240</v>
      </c>
      <c r="B59" s="12" t="s">
        <v>241</v>
      </c>
    </row>
    <row r="60" spans="1:2">
      <c r="A60" s="12" t="s">
        <v>242</v>
      </c>
      <c r="B60" s="12" t="s">
        <v>243</v>
      </c>
    </row>
    <row r="61" spans="1:2">
      <c r="A61" s="12" t="s">
        <v>244</v>
      </c>
      <c r="B61" s="12" t="s">
        <v>245</v>
      </c>
    </row>
    <row r="62" spans="1:2">
      <c r="A62" s="12" t="s">
        <v>246</v>
      </c>
      <c r="B62" s="12" t="s">
        <v>247</v>
      </c>
    </row>
    <row r="63" spans="1:2">
      <c r="A63" s="12" t="s">
        <v>248</v>
      </c>
      <c r="B63" s="12" t="s">
        <v>249</v>
      </c>
    </row>
    <row r="64" spans="1:2">
      <c r="A64" s="12" t="s">
        <v>250</v>
      </c>
      <c r="B64" s="12" t="s">
        <v>251</v>
      </c>
    </row>
    <row r="65" spans="1:2">
      <c r="A65" s="12" t="s">
        <v>252</v>
      </c>
      <c r="B65" s="12" t="s">
        <v>253</v>
      </c>
    </row>
    <row r="66" spans="1:2">
      <c r="A66" s="12" t="s">
        <v>254</v>
      </c>
      <c r="B66" s="12" t="s">
        <v>255</v>
      </c>
    </row>
    <row r="67" spans="1:2">
      <c r="A67" s="12" t="s">
        <v>256</v>
      </c>
      <c r="B67" s="12" t="s">
        <v>257</v>
      </c>
    </row>
    <row r="68" spans="1:2">
      <c r="A68" s="12" t="s">
        <v>258</v>
      </c>
      <c r="B68" s="12" t="s">
        <v>259</v>
      </c>
    </row>
    <row r="69" spans="1:2">
      <c r="A69" s="12" t="s">
        <v>260</v>
      </c>
      <c r="B69" s="12" t="s">
        <v>261</v>
      </c>
    </row>
    <row r="70" spans="1:2">
      <c r="A70" s="12" t="s">
        <v>262</v>
      </c>
      <c r="B70" s="12" t="s">
        <v>263</v>
      </c>
    </row>
    <row r="71" spans="1:2">
      <c r="A71" s="12" t="s">
        <v>264</v>
      </c>
      <c r="B71" s="12" t="s">
        <v>265</v>
      </c>
    </row>
    <row r="72" spans="1:2">
      <c r="A72" s="12" t="s">
        <v>266</v>
      </c>
      <c r="B72" s="12" t="s">
        <v>267</v>
      </c>
    </row>
    <row r="73" spans="1:2">
      <c r="A73" s="12" t="s">
        <v>268</v>
      </c>
      <c r="B73" s="12" t="s">
        <v>269</v>
      </c>
    </row>
    <row r="74" spans="1:2">
      <c r="A74" s="12" t="s">
        <v>270</v>
      </c>
      <c r="B74" s="12" t="s">
        <v>271</v>
      </c>
    </row>
    <row r="75" spans="1:2">
      <c r="A75" s="12" t="s">
        <v>272</v>
      </c>
      <c r="B75" s="12" t="s">
        <v>273</v>
      </c>
    </row>
    <row r="76" spans="1:2">
      <c r="A76" s="12" t="s">
        <v>274</v>
      </c>
      <c r="B76" s="12" t="s">
        <v>275</v>
      </c>
    </row>
    <row r="77" spans="1:2">
      <c r="A77" s="12" t="s">
        <v>276</v>
      </c>
      <c r="B77" s="12" t="s">
        <v>277</v>
      </c>
    </row>
    <row r="78" spans="1:2">
      <c r="A78" s="12" t="s">
        <v>278</v>
      </c>
      <c r="B78" s="12" t="s">
        <v>279</v>
      </c>
    </row>
    <row r="79" spans="1:2">
      <c r="A79" s="12" t="s">
        <v>280</v>
      </c>
      <c r="B79" s="12" t="s">
        <v>281</v>
      </c>
    </row>
    <row r="80" spans="1:2">
      <c r="A80" s="12" t="s">
        <v>282</v>
      </c>
      <c r="B80" s="12" t="s">
        <v>283</v>
      </c>
    </row>
    <row r="81" spans="1:2">
      <c r="A81" s="12" t="s">
        <v>284</v>
      </c>
      <c r="B81" s="12" t="s">
        <v>285</v>
      </c>
    </row>
    <row r="82" spans="1:2">
      <c r="A82" s="12" t="s">
        <v>286</v>
      </c>
      <c r="B82" s="12" t="s">
        <v>287</v>
      </c>
    </row>
    <row r="83" spans="1:2">
      <c r="A83" s="12" t="s">
        <v>288</v>
      </c>
      <c r="B83" s="12" t="s">
        <v>289</v>
      </c>
    </row>
    <row r="84" spans="1:2">
      <c r="A84" s="12" t="s">
        <v>290</v>
      </c>
      <c r="B84" s="12" t="s">
        <v>291</v>
      </c>
    </row>
    <row r="85" spans="1:2">
      <c r="A85" s="12" t="s">
        <v>292</v>
      </c>
      <c r="B85" s="12" t="s">
        <v>293</v>
      </c>
    </row>
    <row r="86" spans="1:2">
      <c r="A86" s="12" t="s">
        <v>294</v>
      </c>
      <c r="B86" s="12" t="s">
        <v>295</v>
      </c>
    </row>
    <row r="87" spans="1:2">
      <c r="A87" s="12" t="s">
        <v>296</v>
      </c>
      <c r="B87" s="12" t="s">
        <v>297</v>
      </c>
    </row>
    <row r="88" spans="1:2">
      <c r="A88" s="12" t="s">
        <v>298</v>
      </c>
      <c r="B88" s="12" t="s">
        <v>299</v>
      </c>
    </row>
    <row r="89" spans="1:2">
      <c r="A89" s="12" t="s">
        <v>300</v>
      </c>
      <c r="B89" s="12" t="s">
        <v>301</v>
      </c>
    </row>
    <row r="90" spans="1:2">
      <c r="A90" s="12" t="s">
        <v>302</v>
      </c>
      <c r="B90" s="12" t="s">
        <v>303</v>
      </c>
    </row>
    <row r="91" spans="1:2">
      <c r="A91" s="12" t="s">
        <v>304</v>
      </c>
      <c r="B91" s="12" t="s">
        <v>305</v>
      </c>
    </row>
    <row r="92" spans="1:2">
      <c r="A92" s="12" t="s">
        <v>306</v>
      </c>
      <c r="B92" s="12" t="s">
        <v>307</v>
      </c>
    </row>
    <row r="93" spans="1:2">
      <c r="A93" s="12" t="s">
        <v>308</v>
      </c>
      <c r="B93" s="12" t="s">
        <v>309</v>
      </c>
    </row>
    <row r="94" spans="1:2">
      <c r="A94" s="12" t="s">
        <v>310</v>
      </c>
      <c r="B94" s="12" t="s">
        <v>311</v>
      </c>
    </row>
    <row r="95" spans="1:2">
      <c r="A95" s="12" t="s">
        <v>312</v>
      </c>
      <c r="B95" s="12" t="s">
        <v>313</v>
      </c>
    </row>
    <row r="96" spans="1:2">
      <c r="A96" s="12" t="s">
        <v>314</v>
      </c>
      <c r="B96" s="12" t="s">
        <v>315</v>
      </c>
    </row>
    <row r="97" spans="1:2">
      <c r="A97" s="12" t="s">
        <v>316</v>
      </c>
      <c r="B97" s="12" t="s">
        <v>317</v>
      </c>
    </row>
    <row r="98" spans="1:2">
      <c r="A98" s="12" t="s">
        <v>318</v>
      </c>
      <c r="B98" s="12" t="s">
        <v>319</v>
      </c>
    </row>
    <row r="99" spans="1:2">
      <c r="A99" s="12" t="s">
        <v>320</v>
      </c>
      <c r="B99" s="12" t="s">
        <v>321</v>
      </c>
    </row>
    <row r="100" spans="1:2">
      <c r="A100" s="12" t="s">
        <v>322</v>
      </c>
      <c r="B100" s="12" t="s">
        <v>323</v>
      </c>
    </row>
    <row r="101" spans="1:2">
      <c r="A101" s="12" t="s">
        <v>324</v>
      </c>
      <c r="B101" s="12" t="s">
        <v>325</v>
      </c>
    </row>
    <row r="102" spans="1:2">
      <c r="A102" s="12" t="s">
        <v>326</v>
      </c>
      <c r="B102" s="12" t="s">
        <v>327</v>
      </c>
    </row>
    <row r="103" spans="1:2">
      <c r="A103" s="12" t="s">
        <v>328</v>
      </c>
      <c r="B103" s="12" t="s">
        <v>329</v>
      </c>
    </row>
    <row r="104" spans="1:2">
      <c r="A104" s="12" t="s">
        <v>330</v>
      </c>
      <c r="B104" s="12" t="s">
        <v>331</v>
      </c>
    </row>
    <row r="105" spans="1:2">
      <c r="A105" s="12" t="s">
        <v>332</v>
      </c>
      <c r="B105" s="12" t="s">
        <v>333</v>
      </c>
    </row>
    <row r="106" spans="1:2">
      <c r="A106" s="12" t="s">
        <v>334</v>
      </c>
      <c r="B106" s="12" t="s">
        <v>335</v>
      </c>
    </row>
    <row r="107" spans="1:2">
      <c r="A107" s="12" t="s">
        <v>336</v>
      </c>
      <c r="B107" s="12" t="s">
        <v>337</v>
      </c>
    </row>
    <row r="108" spans="1:2">
      <c r="A108" s="12" t="s">
        <v>338</v>
      </c>
      <c r="B108" s="12" t="s">
        <v>339</v>
      </c>
    </row>
    <row r="109" spans="1:2">
      <c r="A109" s="12" t="s">
        <v>340</v>
      </c>
      <c r="B109" s="12" t="s">
        <v>341</v>
      </c>
    </row>
    <row r="110" spans="1:2">
      <c r="A110" s="12" t="s">
        <v>342</v>
      </c>
      <c r="B110" s="12" t="s">
        <v>343</v>
      </c>
    </row>
    <row r="111" spans="1:2">
      <c r="A111" s="12" t="s">
        <v>344</v>
      </c>
      <c r="B111" s="12" t="s">
        <v>345</v>
      </c>
    </row>
    <row r="112" spans="1:2">
      <c r="A112" s="12" t="s">
        <v>346</v>
      </c>
      <c r="B112" s="12" t="s">
        <v>347</v>
      </c>
    </row>
    <row r="113" spans="1:2">
      <c r="A113" s="12" t="s">
        <v>348</v>
      </c>
      <c r="B113" s="12" t="s">
        <v>349</v>
      </c>
    </row>
    <row r="114" spans="1:2">
      <c r="A114" s="12" t="s">
        <v>350</v>
      </c>
      <c r="B114" s="12" t="s">
        <v>351</v>
      </c>
    </row>
    <row r="115" spans="1:2">
      <c r="A115" s="12" t="s">
        <v>352</v>
      </c>
      <c r="B115" s="12" t="s">
        <v>353</v>
      </c>
    </row>
    <row r="116" spans="1:2">
      <c r="A116" s="12" t="s">
        <v>354</v>
      </c>
      <c r="B116" s="12" t="s">
        <v>355</v>
      </c>
    </row>
    <row r="117" spans="1:2">
      <c r="A117" s="12" t="s">
        <v>356</v>
      </c>
      <c r="B117" s="12" t="s">
        <v>357</v>
      </c>
    </row>
    <row r="118" spans="1:2">
      <c r="A118" s="12" t="s">
        <v>358</v>
      </c>
      <c r="B118" s="12" t="s">
        <v>359</v>
      </c>
    </row>
    <row r="119" spans="1:2">
      <c r="A119" s="12" t="s">
        <v>360</v>
      </c>
      <c r="B119" s="12" t="s">
        <v>361</v>
      </c>
    </row>
    <row r="120" spans="1:2">
      <c r="A120" s="12" t="s">
        <v>362</v>
      </c>
      <c r="B120" s="12" t="s">
        <v>363</v>
      </c>
    </row>
    <row r="121" spans="1:2">
      <c r="A121" s="12" t="s">
        <v>364</v>
      </c>
      <c r="B121" s="12" t="s">
        <v>365</v>
      </c>
    </row>
    <row r="122" spans="1:2">
      <c r="A122" s="12" t="s">
        <v>366</v>
      </c>
      <c r="B122" s="12" t="s">
        <v>367</v>
      </c>
    </row>
    <row r="123" spans="1:2">
      <c r="A123" s="12" t="s">
        <v>368</v>
      </c>
      <c r="B123" s="12" t="s">
        <v>369</v>
      </c>
    </row>
    <row r="124" spans="1:2">
      <c r="A124" s="12" t="s">
        <v>370</v>
      </c>
      <c r="B124" s="12" t="s">
        <v>371</v>
      </c>
    </row>
    <row r="125" spans="1:2">
      <c r="A125" s="12" t="s">
        <v>372</v>
      </c>
      <c r="B125" s="12" t="s">
        <v>373</v>
      </c>
    </row>
    <row r="126" spans="1:2">
      <c r="A126" s="12" t="s">
        <v>374</v>
      </c>
      <c r="B126" s="12" t="s">
        <v>375</v>
      </c>
    </row>
    <row r="127" spans="1:2">
      <c r="A127" s="12" t="s">
        <v>376</v>
      </c>
      <c r="B127" s="12" t="s">
        <v>377</v>
      </c>
    </row>
    <row r="128" spans="1:2">
      <c r="A128" s="12" t="s">
        <v>378</v>
      </c>
      <c r="B128" s="12" t="s">
        <v>379</v>
      </c>
    </row>
    <row r="129" spans="1:2">
      <c r="A129" s="12" t="s">
        <v>380</v>
      </c>
      <c r="B129" s="12" t="s">
        <v>381</v>
      </c>
    </row>
    <row r="130" spans="1:2">
      <c r="A130" s="12" t="s">
        <v>382</v>
      </c>
      <c r="B130" s="12" t="s">
        <v>383</v>
      </c>
    </row>
    <row r="131" spans="1:2">
      <c r="A131" s="12" t="s">
        <v>384</v>
      </c>
      <c r="B131" s="12" t="s">
        <v>385</v>
      </c>
    </row>
    <row r="132" spans="1:2">
      <c r="A132" s="12" t="s">
        <v>386</v>
      </c>
      <c r="B132" s="12" t="s">
        <v>387</v>
      </c>
    </row>
    <row r="133" spans="1:2">
      <c r="A133" s="12" t="s">
        <v>388</v>
      </c>
      <c r="B133" s="12" t="s">
        <v>389</v>
      </c>
    </row>
    <row r="134" spans="1:2">
      <c r="A134" s="12" t="s">
        <v>390</v>
      </c>
      <c r="B134" s="12" t="s">
        <v>391</v>
      </c>
    </row>
    <row r="135" spans="1:2">
      <c r="A135" s="12" t="s">
        <v>392</v>
      </c>
      <c r="B135" s="12" t="s">
        <v>393</v>
      </c>
    </row>
    <row r="136" spans="1:2">
      <c r="A136" s="12" t="s">
        <v>394</v>
      </c>
      <c r="B136" s="12" t="s">
        <v>395</v>
      </c>
    </row>
    <row r="137" spans="1:2">
      <c r="A137" s="12" t="s">
        <v>396</v>
      </c>
      <c r="B137" s="12" t="s">
        <v>397</v>
      </c>
    </row>
    <row r="138" spans="1:2">
      <c r="A138" s="12" t="s">
        <v>398</v>
      </c>
      <c r="B138" s="12" t="s">
        <v>399</v>
      </c>
    </row>
    <row r="139" spans="1:2">
      <c r="A139" s="12" t="s">
        <v>400</v>
      </c>
      <c r="B139" s="12" t="s">
        <v>401</v>
      </c>
    </row>
    <row r="140" spans="1:2">
      <c r="A140" s="12" t="s">
        <v>402</v>
      </c>
      <c r="B140" s="12" t="s">
        <v>403</v>
      </c>
    </row>
    <row r="141" spans="1:2">
      <c r="A141" s="12" t="s">
        <v>404</v>
      </c>
      <c r="B141" s="12" t="s">
        <v>405</v>
      </c>
    </row>
    <row r="142" spans="1:2">
      <c r="A142" s="12" t="s">
        <v>406</v>
      </c>
      <c r="B142" s="12" t="s">
        <v>407</v>
      </c>
    </row>
    <row r="143" spans="1:2">
      <c r="A143" s="12" t="s">
        <v>408</v>
      </c>
      <c r="B143" s="12" t="s">
        <v>409</v>
      </c>
    </row>
    <row r="144" spans="1:2">
      <c r="A144" s="12" t="s">
        <v>410</v>
      </c>
      <c r="B144" s="12" t="s">
        <v>411</v>
      </c>
    </row>
    <row r="145" spans="1:2">
      <c r="A145" s="12" t="s">
        <v>412</v>
      </c>
      <c r="B145" s="12" t="s">
        <v>413</v>
      </c>
    </row>
    <row r="146" spans="1:2">
      <c r="A146" s="12" t="s">
        <v>414</v>
      </c>
      <c r="B146" s="12" t="s">
        <v>415</v>
      </c>
    </row>
    <row r="147" spans="1:2">
      <c r="A147" s="12" t="s">
        <v>416</v>
      </c>
      <c r="B147" s="12" t="s">
        <v>417</v>
      </c>
    </row>
    <row r="148" spans="1:2">
      <c r="A148" s="12" t="s">
        <v>418</v>
      </c>
      <c r="B148" s="12" t="s">
        <v>419</v>
      </c>
    </row>
    <row r="149" spans="1:2">
      <c r="A149" s="12" t="s">
        <v>420</v>
      </c>
      <c r="B149" s="12" t="s">
        <v>421</v>
      </c>
    </row>
    <row r="150" spans="1:2">
      <c r="A150" s="12" t="s">
        <v>422</v>
      </c>
      <c r="B150" s="12" t="s">
        <v>423</v>
      </c>
    </row>
    <row r="151" spans="1:2">
      <c r="A151" s="12" t="s">
        <v>424</v>
      </c>
      <c r="B151" s="12" t="s">
        <v>425</v>
      </c>
    </row>
    <row r="152" spans="1:2">
      <c r="A152" s="12" t="s">
        <v>426</v>
      </c>
      <c r="B152" s="12" t="s">
        <v>135</v>
      </c>
    </row>
    <row r="153" spans="1:2">
      <c r="A153" s="12" t="s">
        <v>427</v>
      </c>
      <c r="B153" s="12" t="s">
        <v>428</v>
      </c>
    </row>
    <row r="154" spans="1:2">
      <c r="A154" s="12" t="s">
        <v>429</v>
      </c>
      <c r="B154" s="12" t="s">
        <v>430</v>
      </c>
    </row>
    <row r="155" spans="1:2">
      <c r="A155" s="12" t="s">
        <v>431</v>
      </c>
      <c r="B155" s="12" t="s">
        <v>432</v>
      </c>
    </row>
    <row r="156" spans="1:2">
      <c r="A156" s="12" t="s">
        <v>433</v>
      </c>
      <c r="B156" s="12" t="s">
        <v>434</v>
      </c>
    </row>
    <row r="157" spans="1:2">
      <c r="A157" s="12" t="s">
        <v>435</v>
      </c>
      <c r="B157" s="12" t="s">
        <v>436</v>
      </c>
    </row>
    <row r="158" spans="1:2">
      <c r="A158" s="12" t="s">
        <v>437</v>
      </c>
      <c r="B158" s="12" t="s">
        <v>438</v>
      </c>
    </row>
    <row r="159" spans="1:2">
      <c r="A159" s="12" t="s">
        <v>439</v>
      </c>
      <c r="B159" s="12" t="s">
        <v>440</v>
      </c>
    </row>
    <row r="160" spans="1:2">
      <c r="A160" s="12" t="s">
        <v>441</v>
      </c>
      <c r="B160" s="12" t="s">
        <v>442</v>
      </c>
    </row>
    <row r="161" spans="1:2">
      <c r="A161" s="12" t="s">
        <v>443</v>
      </c>
      <c r="B161" s="12" t="s">
        <v>444</v>
      </c>
    </row>
    <row r="162" spans="1:2">
      <c r="A162" s="12" t="s">
        <v>445</v>
      </c>
      <c r="B162" s="12" t="s">
        <v>446</v>
      </c>
    </row>
    <row r="163" spans="1:2">
      <c r="A163" s="12" t="s">
        <v>447</v>
      </c>
      <c r="B163" s="12" t="s">
        <v>448</v>
      </c>
    </row>
    <row r="164" spans="1:2">
      <c r="A164" s="12" t="s">
        <v>449</v>
      </c>
      <c r="B164" s="12" t="s">
        <v>450</v>
      </c>
    </row>
    <row r="165" spans="1:2">
      <c r="A165" s="12" t="s">
        <v>451</v>
      </c>
      <c r="B165" s="12" t="s">
        <v>452</v>
      </c>
    </row>
    <row r="166" spans="1:2">
      <c r="A166" s="12" t="s">
        <v>453</v>
      </c>
      <c r="B166" s="12" t="s">
        <v>454</v>
      </c>
    </row>
    <row r="167" spans="1:2">
      <c r="A167" s="12" t="s">
        <v>455</v>
      </c>
      <c r="B167" s="12" t="s">
        <v>456</v>
      </c>
    </row>
    <row r="168" spans="1:2">
      <c r="A168" s="12" t="s">
        <v>457</v>
      </c>
      <c r="B168" s="12" t="s">
        <v>458</v>
      </c>
    </row>
    <row r="169" spans="1:2">
      <c r="A169" s="12" t="s">
        <v>459</v>
      </c>
      <c r="B169" s="12" t="s">
        <v>460</v>
      </c>
    </row>
    <row r="170" spans="1:2">
      <c r="A170" s="12" t="s">
        <v>461</v>
      </c>
      <c r="B170" s="12" t="s">
        <v>462</v>
      </c>
    </row>
    <row r="171" spans="1:2">
      <c r="A171" s="12" t="s">
        <v>463</v>
      </c>
      <c r="B171" s="12" t="s">
        <v>464</v>
      </c>
    </row>
    <row r="172" spans="1:2">
      <c r="A172" s="12" t="s">
        <v>465</v>
      </c>
      <c r="B172" s="12" t="s">
        <v>466</v>
      </c>
    </row>
    <row r="173" spans="1:2">
      <c r="A173" s="12" t="s">
        <v>467</v>
      </c>
      <c r="B173" s="12" t="s">
        <v>468</v>
      </c>
    </row>
    <row r="174" spans="1:2">
      <c r="A174" s="12" t="s">
        <v>469</v>
      </c>
      <c r="B174" s="12" t="s">
        <v>470</v>
      </c>
    </row>
    <row r="175" spans="1:2">
      <c r="A175" s="12" t="s">
        <v>471</v>
      </c>
      <c r="B175" s="12" t="s">
        <v>472</v>
      </c>
    </row>
    <row r="176" spans="1:2">
      <c r="A176" s="12" t="s">
        <v>473</v>
      </c>
      <c r="B176" s="12" t="s">
        <v>474</v>
      </c>
    </row>
    <row r="177" spans="1:2">
      <c r="A177" s="12" t="s">
        <v>475</v>
      </c>
      <c r="B177" s="12" t="s">
        <v>476</v>
      </c>
    </row>
    <row r="178" spans="1:2">
      <c r="A178" s="12" t="s">
        <v>477</v>
      </c>
      <c r="B178" s="12" t="s">
        <v>478</v>
      </c>
    </row>
    <row r="179" spans="1:2">
      <c r="A179" s="12" t="s">
        <v>479</v>
      </c>
      <c r="B179" s="12" t="s">
        <v>480</v>
      </c>
    </row>
    <row r="180" spans="1:2">
      <c r="A180" s="12" t="s">
        <v>481</v>
      </c>
      <c r="B180" s="12" t="s">
        <v>482</v>
      </c>
    </row>
    <row r="181" spans="1:2">
      <c r="A181" s="12" t="s">
        <v>483</v>
      </c>
      <c r="B181" s="12" t="s">
        <v>484</v>
      </c>
    </row>
    <row r="182" spans="1:2">
      <c r="A182" s="12" t="s">
        <v>485</v>
      </c>
      <c r="B182" s="12" t="s">
        <v>486</v>
      </c>
    </row>
    <row r="183" spans="1:2">
      <c r="A183" s="12" t="s">
        <v>485</v>
      </c>
      <c r="B183" s="12" t="s">
        <v>487</v>
      </c>
    </row>
    <row r="184" spans="1:2">
      <c r="A184" s="12" t="s">
        <v>488</v>
      </c>
      <c r="B184" s="12" t="s">
        <v>489</v>
      </c>
    </row>
    <row r="185" spans="1:2">
      <c r="A185" s="12" t="s">
        <v>490</v>
      </c>
      <c r="B185" s="12" t="s">
        <v>491</v>
      </c>
    </row>
    <row r="186" spans="1:2">
      <c r="A186" s="12" t="s">
        <v>492</v>
      </c>
      <c r="B186" s="12" t="s">
        <v>493</v>
      </c>
    </row>
    <row r="187" spans="1:2">
      <c r="A187" s="12" t="s">
        <v>494</v>
      </c>
      <c r="B187" s="12" t="s">
        <v>495</v>
      </c>
    </row>
    <row r="188" spans="1:2">
      <c r="A188" s="12" t="s">
        <v>496</v>
      </c>
      <c r="B188" s="12" t="s">
        <v>497</v>
      </c>
    </row>
    <row r="189" spans="1:2">
      <c r="A189" s="12" t="s">
        <v>498</v>
      </c>
      <c r="B189" s="12" t="s">
        <v>499</v>
      </c>
    </row>
    <row r="190" spans="1:2">
      <c r="A190" s="12" t="s">
        <v>500</v>
      </c>
      <c r="B190" s="12" t="s">
        <v>501</v>
      </c>
    </row>
    <row r="191" spans="1:2">
      <c r="A191" s="12" t="s">
        <v>502</v>
      </c>
      <c r="B191" s="12" t="s">
        <v>503</v>
      </c>
    </row>
    <row r="192" spans="1:2">
      <c r="A192" s="12" t="s">
        <v>504</v>
      </c>
      <c r="B192" s="12" t="s">
        <v>505</v>
      </c>
    </row>
    <row r="193" spans="1:2">
      <c r="A193" s="12" t="s">
        <v>506</v>
      </c>
      <c r="B193" s="12" t="s">
        <v>507</v>
      </c>
    </row>
    <row r="194" spans="1:2">
      <c r="A194" s="12" t="s">
        <v>508</v>
      </c>
      <c r="B194" s="12" t="s">
        <v>509</v>
      </c>
    </row>
    <row r="195" spans="1:2">
      <c r="A195" s="12" t="s">
        <v>510</v>
      </c>
      <c r="B195" s="12" t="s">
        <v>511</v>
      </c>
    </row>
    <row r="196" spans="1:2">
      <c r="A196" s="12" t="s">
        <v>512</v>
      </c>
      <c r="B196" s="12" t="s">
        <v>513</v>
      </c>
    </row>
    <row r="197" spans="1:2">
      <c r="A197" s="12" t="s">
        <v>514</v>
      </c>
      <c r="B197" s="12" t="s">
        <v>515</v>
      </c>
    </row>
    <row r="198" spans="1:2">
      <c r="A198" s="12" t="s">
        <v>516</v>
      </c>
      <c r="B198" s="12" t="s">
        <v>517</v>
      </c>
    </row>
    <row r="199" spans="1:2">
      <c r="A199" s="12" t="s">
        <v>518</v>
      </c>
      <c r="B199" s="12" t="s">
        <v>519</v>
      </c>
    </row>
    <row r="200" spans="1:2">
      <c r="A200" s="12" t="s">
        <v>520</v>
      </c>
      <c r="B200" s="12" t="s">
        <v>521</v>
      </c>
    </row>
    <row r="201" spans="1:2">
      <c r="A201" s="12" t="s">
        <v>522</v>
      </c>
      <c r="B201" s="12" t="s">
        <v>523</v>
      </c>
    </row>
    <row r="202" spans="1:2">
      <c r="A202" s="12" t="s">
        <v>524</v>
      </c>
      <c r="B202" s="12" t="s">
        <v>525</v>
      </c>
    </row>
    <row r="203" spans="1:2">
      <c r="A203" s="12" t="s">
        <v>526</v>
      </c>
      <c r="B203" s="12" t="s">
        <v>527</v>
      </c>
    </row>
    <row r="204" spans="1:2">
      <c r="A204" s="12" t="s">
        <v>528</v>
      </c>
      <c r="B204" s="12" t="s">
        <v>529</v>
      </c>
    </row>
    <row r="205" spans="1:2">
      <c r="A205" s="12" t="s">
        <v>530</v>
      </c>
      <c r="B205" s="12" t="s">
        <v>531</v>
      </c>
    </row>
    <row r="206" spans="1:2">
      <c r="A206" s="12" t="s">
        <v>532</v>
      </c>
      <c r="B206" s="12" t="s">
        <v>533</v>
      </c>
    </row>
    <row r="207" spans="1:2">
      <c r="A207" s="12" t="s">
        <v>534</v>
      </c>
      <c r="B207" s="12" t="s">
        <v>535</v>
      </c>
    </row>
    <row r="208" spans="1:2">
      <c r="A208" s="12" t="s">
        <v>536</v>
      </c>
      <c r="B208" s="12" t="s">
        <v>537</v>
      </c>
    </row>
    <row r="209" spans="1:2">
      <c r="A209" s="12" t="s">
        <v>538</v>
      </c>
      <c r="B209" s="12" t="s">
        <v>539</v>
      </c>
    </row>
    <row r="210" spans="1:2">
      <c r="A210" s="12" t="s">
        <v>540</v>
      </c>
      <c r="B210" s="12" t="s">
        <v>541</v>
      </c>
    </row>
    <row r="211" spans="1:2">
      <c r="A211" s="12" t="s">
        <v>542</v>
      </c>
      <c r="B211" s="12" t="s">
        <v>543</v>
      </c>
    </row>
    <row r="212" spans="1:2">
      <c r="A212" s="12" t="s">
        <v>544</v>
      </c>
      <c r="B212" s="12" t="s">
        <v>545</v>
      </c>
    </row>
    <row r="213" spans="1:2">
      <c r="A213" s="12" t="s">
        <v>546</v>
      </c>
      <c r="B213" s="12" t="s">
        <v>547</v>
      </c>
    </row>
    <row r="214" spans="1:2">
      <c r="A214" s="12" t="s">
        <v>548</v>
      </c>
      <c r="B214" s="12" t="s">
        <v>549</v>
      </c>
    </row>
    <row r="215" spans="1:2">
      <c r="A215" s="12" t="s">
        <v>550</v>
      </c>
      <c r="B215" s="12" t="s">
        <v>551</v>
      </c>
    </row>
    <row r="216" spans="1:2">
      <c r="A216" s="12" t="s">
        <v>552</v>
      </c>
      <c r="B216" s="12" t="s">
        <v>553</v>
      </c>
    </row>
    <row r="217" spans="1:2">
      <c r="A217" s="12" t="s">
        <v>554</v>
      </c>
      <c r="B217" s="12" t="s">
        <v>555</v>
      </c>
    </row>
    <row r="218" spans="1:2">
      <c r="A218" s="12" t="s">
        <v>556</v>
      </c>
      <c r="B218" s="12" t="s">
        <v>557</v>
      </c>
    </row>
    <row r="219" spans="1:2">
      <c r="A219" s="12" t="s">
        <v>558</v>
      </c>
      <c r="B219" s="12" t="s">
        <v>559</v>
      </c>
    </row>
    <row r="220" spans="1:2">
      <c r="A220" s="12" t="s">
        <v>560</v>
      </c>
      <c r="B220" s="12" t="s">
        <v>561</v>
      </c>
    </row>
    <row r="221" spans="1:2">
      <c r="A221" s="12" t="s">
        <v>562</v>
      </c>
      <c r="B221" s="12" t="s">
        <v>563</v>
      </c>
    </row>
    <row r="222" spans="1:2">
      <c r="A222" s="12" t="s">
        <v>564</v>
      </c>
      <c r="B222" s="12" t="s">
        <v>565</v>
      </c>
    </row>
    <row r="223" spans="1:2">
      <c r="A223" s="12" t="s">
        <v>566</v>
      </c>
      <c r="B223" s="12" t="s">
        <v>567</v>
      </c>
    </row>
    <row r="224" spans="1:2">
      <c r="A224" s="12" t="s">
        <v>568</v>
      </c>
      <c r="B224" s="12" t="s">
        <v>569</v>
      </c>
    </row>
    <row r="225" spans="1:2">
      <c r="A225" s="12" t="s">
        <v>570</v>
      </c>
      <c r="B225" s="12" t="s">
        <v>571</v>
      </c>
    </row>
    <row r="226" spans="1:2">
      <c r="A226" s="12" t="s">
        <v>572</v>
      </c>
      <c r="B226" s="12" t="s">
        <v>573</v>
      </c>
    </row>
    <row r="227" spans="1:2">
      <c r="A227" s="12" t="s">
        <v>574</v>
      </c>
      <c r="B227" s="12" t="s">
        <v>575</v>
      </c>
    </row>
    <row r="228" spans="1:2">
      <c r="A228" s="12" t="s">
        <v>576</v>
      </c>
      <c r="B228" s="12" t="s">
        <v>577</v>
      </c>
    </row>
    <row r="229" spans="1:2">
      <c r="A229" s="12" t="s">
        <v>578</v>
      </c>
      <c r="B229" s="12" t="s">
        <v>579</v>
      </c>
    </row>
    <row r="230" spans="1:2">
      <c r="A230" s="12" t="s">
        <v>580</v>
      </c>
      <c r="B230" s="12" t="s">
        <v>581</v>
      </c>
    </row>
    <row r="231" spans="1:2">
      <c r="A231" s="12" t="s">
        <v>582</v>
      </c>
      <c r="B231" s="12" t="s">
        <v>583</v>
      </c>
    </row>
    <row r="232" spans="1:2">
      <c r="A232" s="12" t="s">
        <v>584</v>
      </c>
      <c r="B232" s="12" t="s">
        <v>585</v>
      </c>
    </row>
    <row r="233" spans="1:2">
      <c r="A233" s="12" t="s">
        <v>586</v>
      </c>
      <c r="B233" s="12" t="s">
        <v>587</v>
      </c>
    </row>
    <row r="234" spans="1:2">
      <c r="A234" s="12" t="s">
        <v>588</v>
      </c>
      <c r="B234" s="12" t="s">
        <v>589</v>
      </c>
    </row>
    <row r="235" spans="1:2">
      <c r="A235" s="12" t="s">
        <v>590</v>
      </c>
      <c r="B235" s="12" t="s">
        <v>591</v>
      </c>
    </row>
    <row r="236" spans="1:2">
      <c r="A236" s="12" t="s">
        <v>592</v>
      </c>
      <c r="B236" s="12" t="s">
        <v>593</v>
      </c>
    </row>
    <row r="237" spans="1:2">
      <c r="A237" s="12" t="s">
        <v>594</v>
      </c>
      <c r="B237" s="12" t="s">
        <v>595</v>
      </c>
    </row>
    <row r="238" spans="1:2">
      <c r="A238" s="12" t="s">
        <v>596</v>
      </c>
      <c r="B238" s="12" t="s">
        <v>597</v>
      </c>
    </row>
    <row r="239" spans="1:2">
      <c r="A239" s="12" t="s">
        <v>598</v>
      </c>
      <c r="B239" s="12" t="s">
        <v>599</v>
      </c>
    </row>
    <row r="240" spans="1:2">
      <c r="A240" s="12" t="s">
        <v>600</v>
      </c>
      <c r="B240" s="12" t="s">
        <v>601</v>
      </c>
    </row>
    <row r="241" spans="1:2">
      <c r="A241" s="12" t="s">
        <v>602</v>
      </c>
      <c r="B241" s="12" t="s">
        <v>603</v>
      </c>
    </row>
    <row r="242" spans="1:2">
      <c r="A242" s="12" t="s">
        <v>604</v>
      </c>
      <c r="B242" s="12" t="s">
        <v>605</v>
      </c>
    </row>
  </sheetData>
  <mergeCells count="18">
    <mergeCell ref="A2:B2"/>
    <mergeCell ref="AM14:AP14"/>
    <mergeCell ref="AM2:AP2"/>
    <mergeCell ref="AC2:AF2"/>
    <mergeCell ref="E19:F19"/>
    <mergeCell ref="AH2:AK2"/>
    <mergeCell ref="D2:G2"/>
    <mergeCell ref="I2:L2"/>
    <mergeCell ref="N2:Q2"/>
    <mergeCell ref="S2:V2"/>
    <mergeCell ref="X2:AA2"/>
    <mergeCell ref="AC6:AD6"/>
    <mergeCell ref="AH6:AI6"/>
    <mergeCell ref="D6:E6"/>
    <mergeCell ref="I6:J6"/>
    <mergeCell ref="N6:O6"/>
    <mergeCell ref="S6:T6"/>
    <mergeCell ref="X6:Y6"/>
  </mergeCells>
  <printOptions horizontalCentered="1"/>
  <pageMargins left="0.70866141732283472" right="0.70866141732283472" top="0.9055118110236221" bottom="0.78740157480314965" header="0.31496062992125984" footer="0.31496062992125984"/>
  <pageSetup paperSize="9" scale="23" orientation="portrait" r:id="rId1"/>
  <headerFooter>
    <oddHeader>&amp;R&amp;G&amp;L&amp;"Audi Type,Fett"Logistische Lieferantenbewertung&amp;"Audi Type,Standard"
&amp;A</oddHeader>
    <oddFooter>&amp;L&amp;"Audi Type,Standard"&amp;8&amp;F&amp;C&amp;"Audi Type,Standard"&amp;8&amp;P von &amp;N&amp;R&amp;"Audi Type,Standard"&amp;8Audi AG - &amp;D</oddFooter>
  </headerFooter>
  <drawing r:id="rId2"/>
  <legacyDrawingHF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4">
    <pageSetUpPr fitToPage="1"/>
  </sheetPr>
  <dimension ref="A1:Q70"/>
  <sheetViews>
    <sheetView topLeftCell="A12" zoomScale="85" zoomScaleNormal="85" workbookViewId="0">
      <selection activeCell="D7" sqref="D7"/>
    </sheetView>
  </sheetViews>
  <sheetFormatPr defaultColWidth="11" defaultRowHeight="12.75"/>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7"/>
    <col min="18" max="16384" width="11" style="2"/>
  </cols>
  <sheetData>
    <row r="1" spans="1:17" ht="36" thickBot="1">
      <c r="A1" s="298" t="s">
        <v>606</v>
      </c>
      <c r="B1" s="298"/>
      <c r="C1" s="298"/>
      <c r="D1" s="298"/>
      <c r="E1" s="298"/>
      <c r="F1" s="298"/>
      <c r="G1" s="298"/>
      <c r="J1" s="43"/>
    </row>
    <row r="2" spans="1:17" s="22" customFormat="1" ht="8.25">
      <c r="A2" s="65"/>
      <c r="B2" s="66"/>
      <c r="C2" s="66"/>
      <c r="D2" s="66"/>
      <c r="E2" s="66"/>
      <c r="F2" s="316" t="s">
        <v>607</v>
      </c>
      <c r="G2" s="155" t="str">
        <f>Datenquelle!$AP$6</f>
        <v>+</v>
      </c>
      <c r="Q2" s="138"/>
    </row>
    <row r="3" spans="1:17">
      <c r="A3" s="7"/>
      <c r="B3" s="310" t="s">
        <v>608</v>
      </c>
      <c r="C3" s="311" t="s">
        <v>609</v>
      </c>
      <c r="D3" s="312" t="s">
        <v>610</v>
      </c>
      <c r="F3" s="317"/>
      <c r="G3" s="156" t="str">
        <f>Datenquelle!$AP$7</f>
        <v>○</v>
      </c>
    </row>
    <row r="4" spans="1:17">
      <c r="A4" s="7"/>
      <c r="B4" s="310"/>
      <c r="C4" s="311"/>
      <c r="D4" s="312"/>
      <c r="F4" s="318" t="s">
        <v>611</v>
      </c>
      <c r="G4" s="156" t="str">
        <f>Datenquelle!$AP$8</f>
        <v>-</v>
      </c>
    </row>
    <row r="5" spans="1:17" s="22" customFormat="1" ht="8.4499999999999993" customHeight="1" thickBot="1">
      <c r="A5" s="21"/>
      <c r="F5" s="319"/>
      <c r="G5" s="23"/>
      <c r="Q5" s="138"/>
    </row>
    <row r="6" spans="1:17" ht="25.5">
      <c r="A6" s="3"/>
      <c r="B6" s="88" t="s">
        <v>83</v>
      </c>
      <c r="C6" s="152" t="s">
        <v>612</v>
      </c>
      <c r="D6" s="89"/>
      <c r="E6" s="89"/>
      <c r="F6" s="91">
        <f>Datenquelle!E7</f>
        <v>2.1000000000000001E-2</v>
      </c>
      <c r="G6" s="6"/>
      <c r="J6" s="63"/>
    </row>
    <row r="7" spans="1:17" ht="45" customHeight="1">
      <c r="A7" s="7"/>
      <c r="B7" s="67"/>
      <c r="C7" s="95" t="s">
        <v>613</v>
      </c>
      <c r="D7" s="15"/>
      <c r="E7" s="125" t="s">
        <v>614</v>
      </c>
      <c r="F7" s="93">
        <f>Datenquelle!G7</f>
        <v>0</v>
      </c>
      <c r="G7" s="153"/>
      <c r="J7" s="43"/>
      <c r="Q7" s="137" t="s">
        <v>615</v>
      </c>
    </row>
    <row r="8" spans="1:17" ht="22.5">
      <c r="A8" s="86"/>
      <c r="B8" s="81"/>
      <c r="C8" s="82" t="s">
        <v>616</v>
      </c>
      <c r="D8" s="83"/>
      <c r="E8" s="83"/>
      <c r="F8" s="157" t="str">
        <f>VLOOKUP(Datenquelle!F7,Datenquelle!$AN$5:$AP$13,3,FALSE)</f>
        <v>NB</v>
      </c>
      <c r="G8" s="87"/>
    </row>
    <row r="9" spans="1:17" ht="27.75">
      <c r="A9" s="84"/>
      <c r="B9" s="78" t="s">
        <v>94</v>
      </c>
      <c r="C9" s="150" t="s">
        <v>617</v>
      </c>
      <c r="D9" s="80"/>
      <c r="E9" s="80"/>
      <c r="F9" s="92">
        <f>Datenquelle!E8</f>
        <v>2.8000000000000001E-2</v>
      </c>
      <c r="G9" s="149"/>
      <c r="J9" s="63"/>
    </row>
    <row r="10" spans="1:17" ht="57.75" customHeight="1">
      <c r="A10" s="7"/>
      <c r="B10" s="67"/>
      <c r="C10" s="16" t="s">
        <v>618</v>
      </c>
      <c r="D10" s="15"/>
      <c r="E10" s="125" t="s">
        <v>614</v>
      </c>
      <c r="F10" s="93">
        <f>Datenquelle!G8</f>
        <v>0</v>
      </c>
      <c r="G10" s="8"/>
      <c r="J10" s="43"/>
      <c r="Q10" s="137" t="s">
        <v>619</v>
      </c>
    </row>
    <row r="11" spans="1:17" ht="22.5">
      <c r="A11" s="86"/>
      <c r="B11" s="81"/>
      <c r="C11" s="82" t="s">
        <v>620</v>
      </c>
      <c r="D11" s="83"/>
      <c r="E11" s="83"/>
      <c r="F11" s="157" t="str">
        <f>VLOOKUP(Datenquelle!F8,Datenquelle!$AN$5:$AP$13,3,FALSE)</f>
        <v>NB</v>
      </c>
      <c r="G11" s="87"/>
    </row>
    <row r="12" spans="1:17" ht="25.5">
      <c r="A12" s="84"/>
      <c r="B12" s="78" t="s">
        <v>105</v>
      </c>
      <c r="C12" s="150" t="s">
        <v>621</v>
      </c>
      <c r="D12" s="80"/>
      <c r="E12" s="80"/>
      <c r="F12" s="92">
        <f>Datenquelle!E9</f>
        <v>1.7999999999999999E-2</v>
      </c>
      <c r="G12" s="85"/>
      <c r="J12" s="63"/>
    </row>
    <row r="13" spans="1:17" ht="57.75" customHeight="1">
      <c r="A13" s="7"/>
      <c r="B13" s="67"/>
      <c r="C13" s="16" t="s">
        <v>622</v>
      </c>
      <c r="D13" s="59"/>
      <c r="E13" s="125" t="s">
        <v>614</v>
      </c>
      <c r="F13" s="93">
        <f>Datenquelle!G9</f>
        <v>0</v>
      </c>
      <c r="G13" s="113"/>
      <c r="J13" s="43"/>
      <c r="Q13" s="137" t="s">
        <v>623</v>
      </c>
    </row>
    <row r="14" spans="1:17" ht="22.5">
      <c r="A14" s="86"/>
      <c r="B14" s="81"/>
      <c r="C14" s="82" t="s">
        <v>624</v>
      </c>
      <c r="D14" s="83"/>
      <c r="E14" s="83"/>
      <c r="F14" s="157" t="str">
        <f>VLOOKUP(Datenquelle!F9,Datenquelle!$AN$5:$AP$13,3,FALSE)</f>
        <v>NB</v>
      </c>
      <c r="G14" s="87"/>
    </row>
    <row r="15" spans="1:17" ht="25.5">
      <c r="A15" s="84"/>
      <c r="B15" s="78" t="s">
        <v>116</v>
      </c>
      <c r="C15" s="150" t="s">
        <v>625</v>
      </c>
      <c r="D15" s="80"/>
      <c r="E15" s="80"/>
      <c r="F15" s="92">
        <f>Datenquelle!E10</f>
        <v>1.9E-2</v>
      </c>
      <c r="G15" s="85"/>
      <c r="J15" s="63"/>
    </row>
    <row r="16" spans="1:17" ht="45.75">
      <c r="A16" s="7"/>
      <c r="B16" s="67"/>
      <c r="C16" s="240" t="s">
        <v>626</v>
      </c>
      <c r="D16" s="59"/>
      <c r="E16" s="125" t="s">
        <v>614</v>
      </c>
      <c r="F16" s="94">
        <f>Datenquelle!G10</f>
        <v>0</v>
      </c>
      <c r="G16" s="113"/>
      <c r="J16" s="43"/>
      <c r="Q16" s="137" t="s">
        <v>627</v>
      </c>
    </row>
    <row r="17" spans="1:17" ht="33.75">
      <c r="A17" s="86"/>
      <c r="B17" s="81"/>
      <c r="C17" s="82" t="s">
        <v>628</v>
      </c>
      <c r="D17" s="83"/>
      <c r="E17" s="83"/>
      <c r="F17" s="157" t="str">
        <f>VLOOKUP(Datenquelle!F10,Datenquelle!$AN$5:$AP$13,3,FALSE)</f>
        <v>NB</v>
      </c>
      <c r="G17" s="87"/>
    </row>
    <row r="18" spans="1:17" ht="25.5">
      <c r="A18" s="84"/>
      <c r="B18" s="78" t="s">
        <v>127</v>
      </c>
      <c r="C18" s="150" t="s">
        <v>629</v>
      </c>
      <c r="D18" s="80"/>
      <c r="E18" s="80"/>
      <c r="F18" s="92">
        <f>Datenquelle!E11</f>
        <v>2.1000000000000001E-2</v>
      </c>
      <c r="G18" s="85"/>
      <c r="J18" s="63"/>
    </row>
    <row r="19" spans="1:17" ht="45.75">
      <c r="A19" s="7"/>
      <c r="B19" s="67"/>
      <c r="C19" s="16" t="s">
        <v>630</v>
      </c>
      <c r="D19" s="59"/>
      <c r="E19" s="125" t="s">
        <v>614</v>
      </c>
      <c r="F19" s="93">
        <f>Datenquelle!G11</f>
        <v>0</v>
      </c>
      <c r="G19" s="113"/>
      <c r="J19" s="43"/>
      <c r="Q19" s="137" t="s">
        <v>631</v>
      </c>
    </row>
    <row r="20" spans="1:17" ht="22.5">
      <c r="A20" s="86"/>
      <c r="B20" s="81"/>
      <c r="C20" s="82" t="s">
        <v>632</v>
      </c>
      <c r="D20" s="83"/>
      <c r="E20" s="83"/>
      <c r="F20" s="157" t="str">
        <f>VLOOKUP(Datenquelle!F11,Datenquelle!$AN$5:$AP$13,3,FALSE)</f>
        <v>NB</v>
      </c>
      <c r="G20" s="87"/>
    </row>
    <row r="21" spans="1:17" ht="25.5">
      <c r="A21" s="84"/>
      <c r="B21" s="78" t="s">
        <v>138</v>
      </c>
      <c r="C21" s="79" t="s">
        <v>633</v>
      </c>
      <c r="D21" s="80"/>
      <c r="E21" s="80"/>
      <c r="F21" s="92">
        <f>Datenquelle!E12</f>
        <v>1.4999999999999999E-2</v>
      </c>
      <c r="G21" s="85"/>
      <c r="J21" s="63"/>
    </row>
    <row r="22" spans="1:17" ht="60">
      <c r="A22" s="7"/>
      <c r="B22" s="67"/>
      <c r="C22" s="16" t="s">
        <v>634</v>
      </c>
      <c r="D22" s="59"/>
      <c r="E22" s="125" t="s">
        <v>614</v>
      </c>
      <c r="F22" s="96">
        <f>Datenquelle!G12</f>
        <v>0</v>
      </c>
      <c r="G22" s="151"/>
      <c r="J22" s="43"/>
      <c r="Q22" s="137" t="s">
        <v>635</v>
      </c>
    </row>
    <row r="23" spans="1:17" ht="22.5">
      <c r="A23" s="86"/>
      <c r="B23" s="81"/>
      <c r="C23" s="82" t="s">
        <v>636</v>
      </c>
      <c r="D23" s="83"/>
      <c r="E23" s="83"/>
      <c r="F23" s="157" t="str">
        <f>VLOOKUP(Datenquelle!F12,Datenquelle!$AN$5:$AP$13,3,FALSE)</f>
        <v>NB</v>
      </c>
      <c r="G23" s="87"/>
    </row>
    <row r="24" spans="1:17" ht="25.5">
      <c r="A24" s="84"/>
      <c r="B24" s="78" t="s">
        <v>145</v>
      </c>
      <c r="C24" s="79" t="s">
        <v>637</v>
      </c>
      <c r="D24" s="80"/>
      <c r="E24" s="80"/>
      <c r="F24" s="92">
        <f>Datenquelle!E13</f>
        <v>2.8000000000000001E-2</v>
      </c>
      <c r="G24" s="85"/>
      <c r="J24" s="63"/>
    </row>
    <row r="25" spans="1:17" ht="45.75">
      <c r="A25" s="7"/>
      <c r="B25" s="67"/>
      <c r="C25" s="16" t="s">
        <v>638</v>
      </c>
      <c r="D25" s="59"/>
      <c r="E25" s="125" t="s">
        <v>614</v>
      </c>
      <c r="F25" s="96">
        <f>Datenquelle!G13</f>
        <v>0</v>
      </c>
      <c r="G25" s="113"/>
      <c r="J25" s="43"/>
      <c r="Q25" s="137" t="s">
        <v>639</v>
      </c>
    </row>
    <row r="26" spans="1:17" ht="34.5" thickBot="1">
      <c r="A26" s="86"/>
      <c r="B26" s="81"/>
      <c r="C26" s="82" t="s">
        <v>640</v>
      </c>
      <c r="D26" s="83"/>
      <c r="E26" s="83"/>
      <c r="F26" s="157" t="str">
        <f>VLOOKUP(Datenquelle!F13,Datenquelle!$AN$5:$AP$13,3,FALSE)</f>
        <v>NB</v>
      </c>
      <c r="G26" s="87"/>
    </row>
    <row r="27" spans="1:17" ht="24" thickBot="1">
      <c r="A27" s="313" t="str">
        <f>IF(COUNTIF(Datenquelle!F7:F13,6)&lt;=Max_Nichtantworten,"",CONCATENATE("Module currently not assessable! ",COUNTIF(Datenquelle!F7:F13,6)," of ",Datenquelle!F6, " questions have not been rated yet." ))</f>
        <v>Module currently not assessable! 7 of 7 questions have not been rated yet.</v>
      </c>
      <c r="B27" s="314"/>
      <c r="C27" s="314"/>
      <c r="D27" s="314"/>
      <c r="E27" s="314"/>
      <c r="F27" s="314"/>
      <c r="G27" s="315"/>
      <c r="J27" s="64"/>
    </row>
    <row r="28" spans="1:17" ht="27.75">
      <c r="A28" s="69"/>
      <c r="B28" s="70"/>
      <c r="C28" s="309" t="s">
        <v>641</v>
      </c>
      <c r="D28" s="309"/>
      <c r="E28" s="309"/>
      <c r="F28" s="71">
        <f>IF(AND(Datenquelle!F5&lt;&gt;0, COUNTIF(Datenquelle!F7:F13,6)&lt;=Max_Nichtantworten),Datenquelle!G5/Datenquelle!F5*Datenquelle!E5,0)</f>
        <v>0</v>
      </c>
      <c r="G28" s="72"/>
      <c r="J28" s="68"/>
    </row>
    <row r="29" spans="1:17" ht="16.5">
      <c r="A29" s="69"/>
      <c r="B29" s="70"/>
      <c r="C29" s="73" t="str">
        <f>CONCATENATE("Maximum: ",ROUND(Datenquelle!E5*100,2), "%")</f>
        <v>Maximum: 15%</v>
      </c>
      <c r="D29" s="70"/>
      <c r="E29" s="70"/>
      <c r="F29" s="70"/>
      <c r="G29" s="72"/>
    </row>
    <row r="30" spans="1:17" ht="13.5" thickBot="1">
      <c r="A30" s="74"/>
      <c r="B30" s="75"/>
      <c r="C30" s="76"/>
      <c r="D30" s="75"/>
      <c r="E30" s="75"/>
      <c r="F30" s="75"/>
      <c r="G30" s="77"/>
    </row>
    <row r="67" spans="5:5" ht="18">
      <c r="E67" s="168"/>
    </row>
    <row r="70" spans="5:5" ht="18">
      <c r="E70" s="168"/>
    </row>
  </sheetData>
  <sheetProtection sheet="1" objects="1" scenarios="1"/>
  <mergeCells count="8">
    <mergeCell ref="C28:E28"/>
    <mergeCell ref="A1:G1"/>
    <mergeCell ref="B3:B4"/>
    <mergeCell ref="C3:C4"/>
    <mergeCell ref="D3:D4"/>
    <mergeCell ref="A27:G27"/>
    <mergeCell ref="F2:F3"/>
    <mergeCell ref="F4:F5"/>
  </mergeCells>
  <conditionalFormatting sqref="F6:F8">
    <cfRule type="expression" dxfId="131" priority="10">
      <formula>OR($F$8=$G$2, RIGHT($F$8,1)=$G$2)</formula>
    </cfRule>
    <cfRule type="expression" dxfId="130" priority="11">
      <formula>OR($F$8=$G$3, RIGHT($F$8,1)=$G$3)</formula>
    </cfRule>
    <cfRule type="expression" dxfId="129" priority="12">
      <formula>OR($F$8=$G$4, RIGHT($F$8,1)=$G$4)</formula>
    </cfRule>
  </conditionalFormatting>
  <conditionalFormatting sqref="F9:F11">
    <cfRule type="expression" dxfId="128" priority="13">
      <formula>OR($F$11=$G$2, RIGHT($F$11,1)=$G$2)</formula>
    </cfRule>
    <cfRule type="expression" dxfId="127" priority="14">
      <formula>OR($F$11=$G$3, RIGHT($F$11,1)=$G$3)</formula>
    </cfRule>
    <cfRule type="expression" dxfId="126" priority="15">
      <formula>OR($F$11=$G$4, RIGHT($F$11,1)=$G$4)</formula>
    </cfRule>
  </conditionalFormatting>
  <conditionalFormatting sqref="F12:F14">
    <cfRule type="expression" dxfId="125" priority="22">
      <formula>OR($F$14=$G$2, RIGHT($F$14,1)=$G$2)</formula>
    </cfRule>
    <cfRule type="expression" dxfId="124" priority="23">
      <formula>OR($F$14=$G$3, RIGHT($F$14,1)=$G$3)</formula>
    </cfRule>
    <cfRule type="expression" dxfId="123" priority="24">
      <formula>OR($F$14=$G$4, RIGHT($F$14,1)=$G$4)</formula>
    </cfRule>
  </conditionalFormatting>
  <conditionalFormatting sqref="F15:F17">
    <cfRule type="expression" dxfId="122" priority="25">
      <formula>OR($F$17=$G$2, RIGHT($F$17,1)=$G$2)</formula>
    </cfRule>
    <cfRule type="expression" dxfId="121" priority="26">
      <formula>OR($F$17=$G$3, RIGHT($F$17,1)=$G$3)</formula>
    </cfRule>
    <cfRule type="expression" dxfId="120" priority="27">
      <formula>OR($F$17=$G$4, RIGHT($F$17,1)=$G$4)</formula>
    </cfRule>
  </conditionalFormatting>
  <conditionalFormatting sqref="F18:F20">
    <cfRule type="expression" dxfId="119" priority="28">
      <formula>OR($F$20=$G$2, RIGHT($F$20,1)=$G$2)</formula>
    </cfRule>
    <cfRule type="expression" dxfId="118" priority="29">
      <formula>OR($F$20=$G$3, RIGHT($F$20,1)=$G$3)</formula>
    </cfRule>
    <cfRule type="expression" dxfId="117" priority="30">
      <formula>OR($F$20=$G$4, RIGHT($F$20,1)=$G$4)</formula>
    </cfRule>
  </conditionalFormatting>
  <conditionalFormatting sqref="F21:F23">
    <cfRule type="expression" dxfId="116" priority="31">
      <formula>OR($F$23=$G$2, RIGHT($F$23,1)=$G$2)</formula>
    </cfRule>
    <cfRule type="expression" dxfId="115" priority="32">
      <formula>OR($F$23=$G$3, RIGHT($F$23,1)=$G$3)</formula>
    </cfRule>
    <cfRule type="expression" dxfId="114" priority="33">
      <formula>OR($F$23=$G$4, RIGHT($F$23,1)=$G$4)</formula>
    </cfRule>
  </conditionalFormatting>
  <conditionalFormatting sqref="F24:F26">
    <cfRule type="expression" dxfId="113" priority="34">
      <formula>OR($F$26=$G$2, RIGHT($F$26,1)=$G$2)</formula>
    </cfRule>
    <cfRule type="expression" dxfId="112" priority="35">
      <formula>OR($F$26=$G$3, RIGHT($F$26,1)=$G$3)</formula>
    </cfRule>
    <cfRule type="expression" dxfId="111" priority="36">
      <formula>OR($F$26=$G$4, RIGHT($F$26,1)=$G$4)</formula>
    </cfRule>
  </conditionalFormatting>
  <hyperlinks>
    <hyperlink ref="E7" location="'Remarks'!E6" display="»" xr:uid="{00000000-0004-0000-0300-000000000000}"/>
    <hyperlink ref="E10" location="'Remarks'!E7" display="»" xr:uid="{00000000-0004-0000-0300-000001000000}"/>
    <hyperlink ref="E13" location="'Remarks'!E8" display="»" xr:uid="{00000000-0004-0000-0300-000002000000}"/>
    <hyperlink ref="E16" location="'Remarks'!E9" display="»" xr:uid="{00000000-0004-0000-0300-000003000000}"/>
    <hyperlink ref="E19" location="'Remarks'!E10" display="»" xr:uid="{00000000-0004-0000-0300-000004000000}"/>
    <hyperlink ref="E22" location="'Remarks'!E11" display="»" xr:uid="{00000000-0004-0000-0300-000005000000}"/>
    <hyperlink ref="E25" location="'Remarks'!E12" display="»" xr:uid="{00000000-0004-0000-0300-000006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2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1038" r:id="rId4" name="Drop Down 14">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1040" r:id="rId5" name="Drop Down 16">
              <controlPr defaultSize="0" autoLine="0" autoPict="0">
                <anchor moveWithCells="1">
                  <from>
                    <xdr:col>3</xdr:col>
                    <xdr:colOff>104775</xdr:colOff>
                    <xdr:row>9</xdr:row>
                    <xdr:rowOff>76200</xdr:rowOff>
                  </from>
                  <to>
                    <xdr:col>3</xdr:col>
                    <xdr:colOff>1362075</xdr:colOff>
                    <xdr:row>9</xdr:row>
                    <xdr:rowOff>295275</xdr:rowOff>
                  </to>
                </anchor>
              </controlPr>
            </control>
          </mc:Choice>
        </mc:AlternateContent>
        <mc:AlternateContent xmlns:mc="http://schemas.openxmlformats.org/markup-compatibility/2006">
          <mc:Choice Requires="x14">
            <control shapeId="1043" r:id="rId6" name="Drop Down 19">
              <controlPr defaultSize="0" autoLine="0" autoPict="0">
                <anchor moveWithCells="1">
                  <from>
                    <xdr:col>3</xdr:col>
                    <xdr:colOff>104775</xdr:colOff>
                    <xdr:row>12</xdr:row>
                    <xdr:rowOff>85725</xdr:rowOff>
                  </from>
                  <to>
                    <xdr:col>3</xdr:col>
                    <xdr:colOff>1362075</xdr:colOff>
                    <xdr:row>12</xdr:row>
                    <xdr:rowOff>304800</xdr:rowOff>
                  </to>
                </anchor>
              </controlPr>
            </control>
          </mc:Choice>
        </mc:AlternateContent>
        <mc:AlternateContent xmlns:mc="http://schemas.openxmlformats.org/markup-compatibility/2006">
          <mc:Choice Requires="x14">
            <control shapeId="1044" r:id="rId7" name="Drop Down 20">
              <controlPr defaultSize="0" autoLine="0" autoPict="0">
                <anchor moveWithCells="1">
                  <from>
                    <xdr:col>3</xdr:col>
                    <xdr:colOff>104775</xdr:colOff>
                    <xdr:row>15</xdr:row>
                    <xdr:rowOff>85725</xdr:rowOff>
                  </from>
                  <to>
                    <xdr:col>3</xdr:col>
                    <xdr:colOff>1362075</xdr:colOff>
                    <xdr:row>15</xdr:row>
                    <xdr:rowOff>304800</xdr:rowOff>
                  </to>
                </anchor>
              </controlPr>
            </control>
          </mc:Choice>
        </mc:AlternateContent>
        <mc:AlternateContent xmlns:mc="http://schemas.openxmlformats.org/markup-compatibility/2006">
          <mc:Choice Requires="x14">
            <control shapeId="1045" r:id="rId8" name="Drop Down 21">
              <controlPr defaultSize="0" autoLine="0" autoPict="0">
                <anchor moveWithCells="1">
                  <from>
                    <xdr:col>3</xdr:col>
                    <xdr:colOff>104775</xdr:colOff>
                    <xdr:row>18</xdr:row>
                    <xdr:rowOff>95250</xdr:rowOff>
                  </from>
                  <to>
                    <xdr:col>3</xdr:col>
                    <xdr:colOff>1362075</xdr:colOff>
                    <xdr:row>18</xdr:row>
                    <xdr:rowOff>314325</xdr:rowOff>
                  </to>
                </anchor>
              </controlPr>
            </control>
          </mc:Choice>
        </mc:AlternateContent>
        <mc:AlternateContent xmlns:mc="http://schemas.openxmlformats.org/markup-compatibility/2006">
          <mc:Choice Requires="x14">
            <control shapeId="1046" r:id="rId9" name="Drop Down 22">
              <controlPr defaultSize="0" autoLine="0" autoPict="0">
                <anchor moveWithCells="1">
                  <from>
                    <xdr:col>3</xdr:col>
                    <xdr:colOff>104775</xdr:colOff>
                    <xdr:row>21</xdr:row>
                    <xdr:rowOff>104775</xdr:rowOff>
                  </from>
                  <to>
                    <xdr:col>3</xdr:col>
                    <xdr:colOff>1362075</xdr:colOff>
                    <xdr:row>21</xdr:row>
                    <xdr:rowOff>323850</xdr:rowOff>
                  </to>
                </anchor>
              </controlPr>
            </control>
          </mc:Choice>
        </mc:AlternateContent>
        <mc:AlternateContent xmlns:mc="http://schemas.openxmlformats.org/markup-compatibility/2006">
          <mc:Choice Requires="x14">
            <control shapeId="1047" r:id="rId10" name="Drop Down 23">
              <controlPr defaultSize="0" autoLine="0" autoPict="0">
                <anchor moveWithCells="1">
                  <from>
                    <xdr:col>3</xdr:col>
                    <xdr:colOff>104775</xdr:colOff>
                    <xdr:row>24</xdr:row>
                    <xdr:rowOff>104775</xdr:rowOff>
                  </from>
                  <to>
                    <xdr:col>3</xdr:col>
                    <xdr:colOff>1362075</xdr:colOff>
                    <xdr:row>24</xdr:row>
                    <xdr:rowOff>323850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0">
    <pageSetUpPr fitToPage="1"/>
  </sheetPr>
  <dimension ref="A1:Q55"/>
  <sheetViews>
    <sheetView zoomScaleNormal="100" workbookViewId="0">
      <selection activeCell="B3" sqref="B3:B4"/>
    </sheetView>
  </sheetViews>
  <sheetFormatPr defaultColWidth="11" defaultRowHeight="12.75"/>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7"/>
    <col min="18" max="16384" width="11" style="2"/>
  </cols>
  <sheetData>
    <row r="1" spans="1:17" ht="36" thickBot="1">
      <c r="A1" s="298" t="s">
        <v>642</v>
      </c>
      <c r="B1" s="298"/>
      <c r="C1" s="298"/>
      <c r="D1" s="298"/>
      <c r="E1" s="298"/>
      <c r="F1" s="298"/>
      <c r="G1" s="298"/>
      <c r="J1" s="43"/>
    </row>
    <row r="2" spans="1:17" s="22" customFormat="1" ht="8.25">
      <c r="A2" s="65"/>
      <c r="B2" s="66"/>
      <c r="C2" s="66"/>
      <c r="D2" s="66"/>
      <c r="E2" s="66"/>
      <c r="F2" s="316" t="s">
        <v>607</v>
      </c>
      <c r="G2" s="155" t="str">
        <f>Datenquelle!$AP$6</f>
        <v>+</v>
      </c>
      <c r="Q2" s="138"/>
    </row>
    <row r="3" spans="1:17">
      <c r="A3" s="7"/>
      <c r="B3" s="312" t="s">
        <v>608</v>
      </c>
      <c r="C3" s="311" t="s">
        <v>609</v>
      </c>
      <c r="D3" s="312" t="s">
        <v>610</v>
      </c>
      <c r="F3" s="317"/>
      <c r="G3" s="156" t="str">
        <f>Datenquelle!$AP$7</f>
        <v>○</v>
      </c>
    </row>
    <row r="4" spans="1:17">
      <c r="A4" s="7"/>
      <c r="B4" s="312"/>
      <c r="C4" s="311"/>
      <c r="D4" s="312"/>
      <c r="F4" s="318" t="s">
        <v>611</v>
      </c>
      <c r="G4" s="156" t="str">
        <f>Datenquelle!$AP$8</f>
        <v>-</v>
      </c>
    </row>
    <row r="5" spans="1:17" s="22" customFormat="1" ht="8.4499999999999993" customHeight="1" thickBot="1">
      <c r="A5" s="28"/>
      <c r="B5" s="29"/>
      <c r="C5" s="29"/>
      <c r="D5" s="29"/>
      <c r="E5" s="29"/>
      <c r="F5" s="319"/>
      <c r="G5" s="31"/>
      <c r="Q5" s="138"/>
    </row>
    <row r="6" spans="1:17" ht="25.5">
      <c r="A6" s="7"/>
      <c r="B6" s="67" t="s">
        <v>84</v>
      </c>
      <c r="C6" s="152" t="s">
        <v>643</v>
      </c>
      <c r="D6" s="15"/>
      <c r="E6" s="15"/>
      <c r="F6" s="92">
        <f>Datenquelle!J7</f>
        <v>3.3000000000000002E-2</v>
      </c>
      <c r="G6" s="8"/>
      <c r="I6" s="100"/>
      <c r="J6" s="63"/>
      <c r="Q6" s="239"/>
    </row>
    <row r="7" spans="1:17" ht="85.5" customHeight="1">
      <c r="A7" s="7"/>
      <c r="B7" s="67"/>
      <c r="C7" s="95" t="s">
        <v>644</v>
      </c>
      <c r="D7" s="15"/>
      <c r="E7" s="125" t="s">
        <v>614</v>
      </c>
      <c r="F7" s="93">
        <f>Datenquelle!L7</f>
        <v>0</v>
      </c>
      <c r="G7" s="113"/>
      <c r="I7" s="100"/>
      <c r="J7" s="43"/>
      <c r="Q7" s="137" t="s">
        <v>645</v>
      </c>
    </row>
    <row r="8" spans="1:17" ht="22.5">
      <c r="A8" s="86"/>
      <c r="B8" s="81"/>
      <c r="C8" s="82" t="s">
        <v>646</v>
      </c>
      <c r="D8" s="83"/>
      <c r="E8" s="83"/>
      <c r="F8" s="157" t="str">
        <f>VLOOKUP(Datenquelle!K7,Datenquelle!$AN$5:$AP$13,3,FALSE)</f>
        <v>NB</v>
      </c>
      <c r="G8" s="87"/>
      <c r="I8" s="100"/>
    </row>
    <row r="9" spans="1:17" ht="25.5">
      <c r="A9" s="84"/>
      <c r="B9" s="218" t="s">
        <v>95</v>
      </c>
      <c r="C9" s="150" t="s">
        <v>647</v>
      </c>
      <c r="D9" s="80"/>
      <c r="E9" s="80"/>
      <c r="F9" s="92">
        <f>Datenquelle!J8</f>
        <v>2.9000000000000001E-2</v>
      </c>
      <c r="G9" s="85"/>
      <c r="I9" s="100"/>
      <c r="J9" s="63"/>
    </row>
    <row r="10" spans="1:17" ht="45.75">
      <c r="A10" s="7"/>
      <c r="B10" s="67"/>
      <c r="C10" s="95" t="s">
        <v>648</v>
      </c>
      <c r="D10" s="15"/>
      <c r="E10" s="125" t="s">
        <v>614</v>
      </c>
      <c r="F10" s="93">
        <f>Datenquelle!L8</f>
        <v>0</v>
      </c>
      <c r="G10" s="113"/>
      <c r="I10" s="100"/>
      <c r="J10" s="43"/>
      <c r="Q10" s="137" t="s">
        <v>649</v>
      </c>
    </row>
    <row r="11" spans="1:17" ht="22.5">
      <c r="A11" s="86"/>
      <c r="B11" s="81"/>
      <c r="C11" s="82" t="s">
        <v>650</v>
      </c>
      <c r="D11" s="83"/>
      <c r="E11" s="83"/>
      <c r="F11" s="157" t="str">
        <f>VLOOKUP(Datenquelle!K8,Datenquelle!$AN$5:$AP$13,3,FALSE)</f>
        <v>NB</v>
      </c>
      <c r="G11" s="87"/>
      <c r="I11" s="100"/>
    </row>
    <row r="12" spans="1:17" ht="25.5">
      <c r="A12" s="84"/>
      <c r="B12" s="218" t="s">
        <v>106</v>
      </c>
      <c r="C12" s="215" t="s">
        <v>651</v>
      </c>
      <c r="D12" s="80"/>
      <c r="E12" s="80"/>
      <c r="F12" s="92">
        <f>Datenquelle!J9</f>
        <v>3.4000000000000002E-2</v>
      </c>
      <c r="G12" s="85"/>
      <c r="I12" s="100"/>
      <c r="J12" s="63"/>
    </row>
    <row r="13" spans="1:17" ht="45.75">
      <c r="A13" s="7"/>
      <c r="B13" s="67"/>
      <c r="C13" s="95" t="s">
        <v>652</v>
      </c>
      <c r="D13" s="15"/>
      <c r="E13" s="125" t="s">
        <v>614</v>
      </c>
      <c r="F13" s="93">
        <f>Datenquelle!L9</f>
        <v>0</v>
      </c>
      <c r="G13" s="113"/>
      <c r="I13" s="100"/>
      <c r="J13" s="43"/>
      <c r="Q13" s="137" t="s">
        <v>653</v>
      </c>
    </row>
    <row r="14" spans="1:17" ht="22.5">
      <c r="A14" s="86"/>
      <c r="B14" s="81"/>
      <c r="C14" s="82" t="s">
        <v>654</v>
      </c>
      <c r="D14" s="83"/>
      <c r="E14" s="83"/>
      <c r="F14" s="157" t="str">
        <f>VLOOKUP(Datenquelle!K9,Datenquelle!$AN$5:$AP$13,3,FALSE)</f>
        <v>NB</v>
      </c>
      <c r="G14" s="87"/>
      <c r="I14" s="100"/>
    </row>
    <row r="15" spans="1:17" ht="25.5">
      <c r="A15" s="84"/>
      <c r="B15" s="218" t="s">
        <v>117</v>
      </c>
      <c r="C15" s="150" t="s">
        <v>655</v>
      </c>
      <c r="D15" s="80"/>
      <c r="E15" s="80"/>
      <c r="F15" s="92">
        <f>Datenquelle!J10</f>
        <v>2.1999999999999999E-2</v>
      </c>
      <c r="G15" s="85"/>
      <c r="I15" s="100"/>
      <c r="J15" s="63"/>
    </row>
    <row r="16" spans="1:17" ht="45.75">
      <c r="A16" s="7"/>
      <c r="B16" s="67"/>
      <c r="C16" s="16" t="s">
        <v>656</v>
      </c>
      <c r="D16" s="15"/>
      <c r="E16" s="125" t="s">
        <v>614</v>
      </c>
      <c r="F16" s="93">
        <f>Datenquelle!L10</f>
        <v>0</v>
      </c>
      <c r="G16" s="113"/>
      <c r="I16" s="100"/>
      <c r="J16" s="43"/>
      <c r="Q16" s="137" t="s">
        <v>657</v>
      </c>
    </row>
    <row r="17" spans="1:17" ht="22.5">
      <c r="A17" s="86"/>
      <c r="B17" s="81"/>
      <c r="C17" s="82" t="s">
        <v>658</v>
      </c>
      <c r="D17" s="83"/>
      <c r="E17" s="83"/>
      <c r="F17" s="157" t="str">
        <f>VLOOKUP(Datenquelle!K10,Datenquelle!$AN$5:$AP$13,3,FALSE)</f>
        <v>NB</v>
      </c>
      <c r="G17" s="87"/>
      <c r="I17" s="100"/>
    </row>
    <row r="18" spans="1:17" ht="25.5">
      <c r="A18" s="7"/>
      <c r="B18" s="67" t="s">
        <v>128</v>
      </c>
      <c r="C18" s="215" t="s">
        <v>659</v>
      </c>
      <c r="D18" s="15"/>
      <c r="E18" s="15"/>
      <c r="F18" s="92">
        <f>Datenquelle!J11</f>
        <v>2.1999999999999999E-2</v>
      </c>
      <c r="G18" s="8"/>
      <c r="J18" s="63"/>
    </row>
    <row r="19" spans="1:17" ht="102.75" customHeight="1">
      <c r="A19" s="7"/>
      <c r="B19" s="67"/>
      <c r="C19" s="16" t="s">
        <v>660</v>
      </c>
      <c r="D19" s="59"/>
      <c r="E19" s="125" t="s">
        <v>614</v>
      </c>
      <c r="F19" s="93">
        <f>Datenquelle!L11</f>
        <v>0</v>
      </c>
      <c r="G19" s="237"/>
      <c r="J19" s="43"/>
      <c r="Q19" s="137" t="s">
        <v>661</v>
      </c>
    </row>
    <row r="20" spans="1:17" ht="27.75" customHeight="1" thickBot="1">
      <c r="A20" s="86"/>
      <c r="B20" s="81"/>
      <c r="C20" s="82" t="s">
        <v>662</v>
      </c>
      <c r="D20" s="83"/>
      <c r="E20" s="83"/>
      <c r="F20" s="157" t="str">
        <f>VLOOKUP(Datenquelle!K11,Datenquelle!$AN$5:$AP$13,3,FALSE)</f>
        <v>NB</v>
      </c>
      <c r="G20" s="87"/>
    </row>
    <row r="21" spans="1:17" ht="24" thickBot="1">
      <c r="A21" s="313" t="str">
        <f>IF(COUNTIF(Datenquelle!K7:K11,6)&lt;=Max_Nichtantworten,"",CONCATENATE("Module currently not assessable! ",COUNTIF(Datenquelle!K7:K11,6)," of ",Datenquelle!K6, " questions have not been rated yet." ))</f>
        <v>Module currently not assessable! 5 of 5 questions have not been rated yet.</v>
      </c>
      <c r="B21" s="314"/>
      <c r="C21" s="314"/>
      <c r="D21" s="314"/>
      <c r="E21" s="314"/>
      <c r="F21" s="314"/>
      <c r="G21" s="315"/>
      <c r="J21" s="64"/>
    </row>
    <row r="22" spans="1:17" ht="27.75">
      <c r="A22" s="69"/>
      <c r="B22" s="70"/>
      <c r="C22" s="320" t="s">
        <v>663</v>
      </c>
      <c r="D22" s="320"/>
      <c r="E22" s="320"/>
      <c r="F22" s="71">
        <f>IF(AND(Datenquelle!K5&lt;&gt;0, COUNTIF(Datenquelle!K7:K11,6)&lt;=Max_Nichtantworten),Datenquelle!L5/Datenquelle!K5*Datenquelle!J5,0)</f>
        <v>0</v>
      </c>
      <c r="G22" s="191"/>
      <c r="J22" s="68"/>
    </row>
    <row r="23" spans="1:17" ht="16.5">
      <c r="A23" s="69"/>
      <c r="B23" s="70"/>
      <c r="C23" s="73" t="str">
        <f>CONCATENATE("Maximum: ",ROUND(Datenquelle!J5*100,2), "%")</f>
        <v>Maximum: 14%</v>
      </c>
      <c r="D23" s="70"/>
      <c r="E23" s="70"/>
      <c r="F23" s="70"/>
      <c r="G23" s="72"/>
    </row>
    <row r="24" spans="1:17" ht="13.5" thickBot="1">
      <c r="A24" s="74"/>
      <c r="B24" s="75"/>
      <c r="C24" s="76"/>
      <c r="D24" s="75"/>
      <c r="E24" s="75"/>
      <c r="F24" s="75"/>
      <c r="G24" s="77"/>
    </row>
    <row r="55" spans="5:5" ht="18">
      <c r="E55" s="168"/>
    </row>
  </sheetData>
  <sheetProtection sheet="1" objects="1" scenarios="1"/>
  <mergeCells count="8">
    <mergeCell ref="A21:G21"/>
    <mergeCell ref="C22:E22"/>
    <mergeCell ref="A1:G1"/>
    <mergeCell ref="F2:F3"/>
    <mergeCell ref="B3:B4"/>
    <mergeCell ref="C3:C4"/>
    <mergeCell ref="D3:D4"/>
    <mergeCell ref="F4:F5"/>
  </mergeCells>
  <conditionalFormatting sqref="F6:F8">
    <cfRule type="expression" dxfId="110" priority="140">
      <formula>OR($F$8=$G$2, RIGHT($F$8,1)=$G$2)</formula>
    </cfRule>
    <cfRule type="expression" dxfId="109" priority="141">
      <formula>OR($F$8=$G$3, RIGHT($F$8,1)=$G$3)</formula>
    </cfRule>
    <cfRule type="expression" dxfId="108" priority="142">
      <formula>OR($F$8=$G$4, RIGHT($F$8,1)=$G$4)</formula>
    </cfRule>
  </conditionalFormatting>
  <conditionalFormatting sqref="F9:F11">
    <cfRule type="expression" dxfId="107" priority="143">
      <formula>OR($F$11=$G$2, RIGHT($F$11,1)=$G$2)</formula>
    </cfRule>
    <cfRule type="expression" dxfId="106" priority="144">
      <formula>OR($F$11=$G$3, RIGHT($F$11,1)=$G$3)</formula>
    </cfRule>
    <cfRule type="expression" dxfId="105" priority="145">
      <formula>OR($F$11=$G$4, RIGHT($F$11,1)=$G$4)</formula>
    </cfRule>
  </conditionalFormatting>
  <conditionalFormatting sqref="F12:F14">
    <cfRule type="expression" dxfId="104" priority="146">
      <formula>OR($F$14=$G$2, RIGHT($F$14,1)=$G$2)</formula>
    </cfRule>
    <cfRule type="expression" dxfId="103" priority="147">
      <formula>OR($F$14=$G$3, RIGHT($F$14,1)=$G$3)</formula>
    </cfRule>
    <cfRule type="expression" dxfId="102" priority="148">
      <formula>OR($F$14=$G$4, RIGHT($F$14,1)=$G$4)</formula>
    </cfRule>
  </conditionalFormatting>
  <conditionalFormatting sqref="F15:F17">
    <cfRule type="expression" dxfId="101" priority="149">
      <formula>OR($F$17=$G$2, RIGHT($F$17,1)=$G$2)</formula>
    </cfRule>
    <cfRule type="expression" dxfId="100" priority="150">
      <formula>OR($F$17=$G$3, RIGHT($F$17,1)=$G$3)</formula>
    </cfRule>
    <cfRule type="expression" dxfId="99" priority="151">
      <formula>OR($F$17=$G$4, RIGHT($F$17,1)=$G$4)</formula>
    </cfRule>
  </conditionalFormatting>
  <conditionalFormatting sqref="F18:F20">
    <cfRule type="expression" dxfId="98" priority="152">
      <formula>OR($F$20=$G$2, RIGHT($F$20,1)=$G$2)</formula>
    </cfRule>
    <cfRule type="expression" dxfId="97" priority="153">
      <formula>OR($F$20=$G$3, RIGHT($F$20,1)=$G$3)</formula>
    </cfRule>
    <cfRule type="expression" dxfId="96" priority="154">
      <formula>OR($F$20=$G$4, RIGHT($F$20,1)=$G$4)</formula>
    </cfRule>
  </conditionalFormatting>
  <hyperlinks>
    <hyperlink ref="E19" location="'Remarks'!E19" display="»" xr:uid="{00000000-0004-0000-0400-000000000000}"/>
    <hyperlink ref="E7" location="'Remarks'!E15" display="»" xr:uid="{00000000-0004-0000-0400-000001000000}"/>
    <hyperlink ref="E10" location="'Remarks'!E16" display="»" xr:uid="{00000000-0004-0000-0400-000002000000}"/>
    <hyperlink ref="E13" location="'Remarks'!E17" display="»" xr:uid="{00000000-0004-0000-0400-000003000000}"/>
    <hyperlink ref="E16" location="'Remarks'!E18" display="»" xr:uid="{00000000-0004-0000-0400-000004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22"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45097" r:id="rId4" name="Drop Down 41">
              <controlPr defaultSize="0" autoLine="0" autoPict="0">
                <anchor moveWithCells="1">
                  <from>
                    <xdr:col>3</xdr:col>
                    <xdr:colOff>104775</xdr:colOff>
                    <xdr:row>9</xdr:row>
                    <xdr:rowOff>76200</xdr:rowOff>
                  </from>
                  <to>
                    <xdr:col>3</xdr:col>
                    <xdr:colOff>1362075</xdr:colOff>
                    <xdr:row>9</xdr:row>
                    <xdr:rowOff>295275</xdr:rowOff>
                  </to>
                </anchor>
              </controlPr>
            </control>
          </mc:Choice>
        </mc:AlternateContent>
        <mc:AlternateContent xmlns:mc="http://schemas.openxmlformats.org/markup-compatibility/2006">
          <mc:Choice Requires="x14">
            <control shapeId="45099" r:id="rId5" name="Drop Down 43">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45100" r:id="rId6" name="Drop Down 44">
              <controlPr defaultSize="0" autoLine="0" autoPict="0">
                <anchor moveWithCells="1">
                  <from>
                    <xdr:col>3</xdr:col>
                    <xdr:colOff>104775</xdr:colOff>
                    <xdr:row>12</xdr:row>
                    <xdr:rowOff>76200</xdr:rowOff>
                  </from>
                  <to>
                    <xdr:col>3</xdr:col>
                    <xdr:colOff>1362075</xdr:colOff>
                    <xdr:row>12</xdr:row>
                    <xdr:rowOff>295275</xdr:rowOff>
                  </to>
                </anchor>
              </controlPr>
            </control>
          </mc:Choice>
        </mc:AlternateContent>
        <mc:AlternateContent xmlns:mc="http://schemas.openxmlformats.org/markup-compatibility/2006">
          <mc:Choice Requires="x14">
            <control shapeId="45101" r:id="rId7" name="Drop Down 45">
              <controlPr defaultSize="0" autoLine="0" autoPict="0">
                <anchor moveWithCells="1">
                  <from>
                    <xdr:col>3</xdr:col>
                    <xdr:colOff>104775</xdr:colOff>
                    <xdr:row>15</xdr:row>
                    <xdr:rowOff>85725</xdr:rowOff>
                  </from>
                  <to>
                    <xdr:col>3</xdr:col>
                    <xdr:colOff>1362075</xdr:colOff>
                    <xdr:row>15</xdr:row>
                    <xdr:rowOff>304800</xdr:rowOff>
                  </to>
                </anchor>
              </controlPr>
            </control>
          </mc:Choice>
        </mc:AlternateContent>
        <mc:AlternateContent xmlns:mc="http://schemas.openxmlformats.org/markup-compatibility/2006">
          <mc:Choice Requires="x14">
            <control shapeId="45102" r:id="rId8" name="Drop Down 46">
              <controlPr defaultSize="0" autoLine="0" autoPict="0">
                <anchor moveWithCells="1">
                  <from>
                    <xdr:col>3</xdr:col>
                    <xdr:colOff>104775</xdr:colOff>
                    <xdr:row>18</xdr:row>
                    <xdr:rowOff>85725</xdr:rowOff>
                  </from>
                  <to>
                    <xdr:col>3</xdr:col>
                    <xdr:colOff>1362075</xdr:colOff>
                    <xdr:row>18</xdr:row>
                    <xdr:rowOff>304800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5">
    <pageSetUpPr fitToPage="1"/>
  </sheetPr>
  <dimension ref="A1:Q27"/>
  <sheetViews>
    <sheetView zoomScale="85" zoomScaleNormal="85" workbookViewId="0">
      <selection activeCell="B3" sqref="B3:B4"/>
    </sheetView>
  </sheetViews>
  <sheetFormatPr defaultColWidth="11" defaultRowHeight="12.75"/>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7"/>
    <col min="18" max="16384" width="11" style="2"/>
  </cols>
  <sheetData>
    <row r="1" spans="1:17" ht="36" thickBot="1">
      <c r="A1" s="298" t="s">
        <v>664</v>
      </c>
      <c r="B1" s="298"/>
      <c r="C1" s="298"/>
      <c r="D1" s="298"/>
      <c r="E1" s="298"/>
      <c r="F1" s="298"/>
      <c r="G1" s="298"/>
      <c r="J1" s="43"/>
    </row>
    <row r="2" spans="1:17" s="22" customFormat="1" ht="8.25">
      <c r="A2" s="65"/>
      <c r="B2" s="66"/>
      <c r="C2" s="66"/>
      <c r="D2" s="66"/>
      <c r="E2" s="66"/>
      <c r="F2" s="316" t="s">
        <v>607</v>
      </c>
      <c r="G2" s="155" t="str">
        <f>Datenquelle!$AP$6</f>
        <v>+</v>
      </c>
      <c r="Q2" s="138"/>
    </row>
    <row r="3" spans="1:17">
      <c r="A3" s="7"/>
      <c r="B3" s="312" t="s">
        <v>608</v>
      </c>
      <c r="C3" s="311" t="s">
        <v>609</v>
      </c>
      <c r="D3" s="312" t="s">
        <v>610</v>
      </c>
      <c r="F3" s="317"/>
      <c r="G3" s="156" t="str">
        <f>Datenquelle!$AP$7</f>
        <v>○</v>
      </c>
    </row>
    <row r="4" spans="1:17">
      <c r="A4" s="7"/>
      <c r="B4" s="312"/>
      <c r="C4" s="311"/>
      <c r="D4" s="312"/>
      <c r="F4" s="318" t="s">
        <v>611</v>
      </c>
      <c r="G4" s="156" t="str">
        <f>Datenquelle!$AP$8</f>
        <v>-</v>
      </c>
    </row>
    <row r="5" spans="1:17" s="22" customFormat="1" ht="8.4499999999999993" customHeight="1" thickBot="1">
      <c r="A5" s="21"/>
      <c r="F5" s="319"/>
      <c r="G5" s="23"/>
      <c r="Q5" s="138"/>
    </row>
    <row r="6" spans="1:17" ht="25.5">
      <c r="A6" s="3"/>
      <c r="B6" s="220" t="s">
        <v>85</v>
      </c>
      <c r="C6" s="152" t="s">
        <v>665</v>
      </c>
      <c r="D6" s="89"/>
      <c r="E6" s="89"/>
      <c r="F6" s="91">
        <f>Datenquelle!O7</f>
        <v>3.2000000000000001E-2</v>
      </c>
      <c r="G6" s="6"/>
      <c r="J6" s="63"/>
    </row>
    <row r="7" spans="1:17" ht="69" customHeight="1">
      <c r="A7" s="7"/>
      <c r="B7" s="67"/>
      <c r="C7" s="241" t="s">
        <v>666</v>
      </c>
      <c r="D7" s="15"/>
      <c r="E7" s="125" t="s">
        <v>614</v>
      </c>
      <c r="F7" s="93">
        <f>Datenquelle!Q7</f>
        <v>0</v>
      </c>
      <c r="G7" s="153"/>
      <c r="J7" s="43"/>
      <c r="Q7" s="137" t="s">
        <v>667</v>
      </c>
    </row>
    <row r="8" spans="1:17" ht="25.5" customHeight="1">
      <c r="A8" s="86"/>
      <c r="B8" s="81"/>
      <c r="C8" s="82" t="s">
        <v>668</v>
      </c>
      <c r="D8" s="83"/>
      <c r="E8" s="83"/>
      <c r="F8" s="157" t="str">
        <f>VLOOKUP(Datenquelle!P7,Datenquelle!$AN$5:$AP$13,3,FALSE)</f>
        <v>NB</v>
      </c>
      <c r="G8" s="87"/>
    </row>
    <row r="9" spans="1:17" ht="25.5">
      <c r="A9" s="84"/>
      <c r="B9" s="218" t="s">
        <v>96</v>
      </c>
      <c r="C9" s="79" t="s">
        <v>669</v>
      </c>
      <c r="D9" s="80"/>
      <c r="E9" s="80"/>
      <c r="F9" s="92">
        <f>Datenquelle!O8</f>
        <v>1.9E-2</v>
      </c>
      <c r="G9" s="85"/>
      <c r="I9" s="100"/>
      <c r="J9" s="63"/>
    </row>
    <row r="10" spans="1:17" ht="35.25">
      <c r="A10" s="7"/>
      <c r="B10" s="67"/>
      <c r="C10" s="95" t="s">
        <v>670</v>
      </c>
      <c r="D10" s="15"/>
      <c r="E10" s="125" t="s">
        <v>614</v>
      </c>
      <c r="F10" s="93">
        <f>Datenquelle!Q8</f>
        <v>0</v>
      </c>
      <c r="G10" s="8"/>
      <c r="I10" s="100"/>
      <c r="J10" s="43"/>
      <c r="Q10" s="137" t="s">
        <v>671</v>
      </c>
    </row>
    <row r="11" spans="1:17" ht="22.5">
      <c r="A11" s="86"/>
      <c r="B11" s="81"/>
      <c r="C11" s="82" t="s">
        <v>672</v>
      </c>
      <c r="D11" s="83"/>
      <c r="E11" s="83"/>
      <c r="F11" s="157" t="str">
        <f>VLOOKUP(Datenquelle!P8,Datenquelle!$AN$5:$AP$13,3,FALSE)</f>
        <v>NB</v>
      </c>
      <c r="G11" s="87"/>
      <c r="I11" s="100"/>
    </row>
    <row r="12" spans="1:17" ht="25.5">
      <c r="A12" s="84"/>
      <c r="B12" s="218" t="s">
        <v>107</v>
      </c>
      <c r="C12" s="321" t="s">
        <v>673</v>
      </c>
      <c r="D12" s="321"/>
      <c r="E12" s="80"/>
      <c r="F12" s="92">
        <f>Datenquelle!O9</f>
        <v>0.02</v>
      </c>
      <c r="G12" s="85"/>
      <c r="I12" s="100"/>
      <c r="J12" s="63"/>
    </row>
    <row r="13" spans="1:17" ht="35.25">
      <c r="A13" s="7"/>
      <c r="B13" s="67"/>
      <c r="C13" s="16" t="s">
        <v>674</v>
      </c>
      <c r="D13" s="59"/>
      <c r="E13" s="125" t="s">
        <v>614</v>
      </c>
      <c r="F13" s="93">
        <f>Datenquelle!Q9</f>
        <v>0</v>
      </c>
      <c r="G13" s="8"/>
      <c r="J13" s="43"/>
      <c r="Q13" s="137" t="s">
        <v>675</v>
      </c>
    </row>
    <row r="14" spans="1:17" ht="20.25" customHeight="1">
      <c r="A14" s="86"/>
      <c r="B14" s="81"/>
      <c r="C14" s="82" t="s">
        <v>676</v>
      </c>
      <c r="D14" s="83"/>
      <c r="E14" s="83"/>
      <c r="F14" s="157" t="str">
        <f>VLOOKUP(Datenquelle!P9,Datenquelle!$AN$5:$AP$13,3,FALSE)</f>
        <v>NB</v>
      </c>
      <c r="G14" s="87"/>
    </row>
    <row r="15" spans="1:17" ht="25.5">
      <c r="A15" s="84"/>
      <c r="B15" s="218" t="s">
        <v>118</v>
      </c>
      <c r="C15" s="150" t="s">
        <v>677</v>
      </c>
      <c r="D15" s="80"/>
      <c r="E15" s="80"/>
      <c r="F15" s="92">
        <f>Datenquelle!O10</f>
        <v>2.4E-2</v>
      </c>
      <c r="G15" s="169"/>
      <c r="J15" s="63"/>
    </row>
    <row r="16" spans="1:17" ht="45.75">
      <c r="A16" s="7"/>
      <c r="B16" s="67"/>
      <c r="C16" s="16" t="s">
        <v>678</v>
      </c>
      <c r="D16" s="59"/>
      <c r="E16" s="125" t="s">
        <v>614</v>
      </c>
      <c r="F16" s="93">
        <f>Datenquelle!Q10</f>
        <v>0</v>
      </c>
      <c r="G16" s="113"/>
      <c r="J16" s="43"/>
      <c r="Q16" s="137" t="s">
        <v>679</v>
      </c>
    </row>
    <row r="17" spans="1:17" ht="27.75" customHeight="1">
      <c r="A17" s="86"/>
      <c r="B17" s="81"/>
      <c r="C17" s="82" t="s">
        <v>680</v>
      </c>
      <c r="D17" s="83"/>
      <c r="E17" s="83"/>
      <c r="F17" s="157" t="str">
        <f>VLOOKUP(Datenquelle!P10,Datenquelle!$AN$5:$AP$13,3,FALSE)</f>
        <v>NB</v>
      </c>
      <c r="G17" s="87"/>
    </row>
    <row r="18" spans="1:17" ht="25.5">
      <c r="A18" s="84"/>
      <c r="B18" s="218" t="s">
        <v>129</v>
      </c>
      <c r="C18" s="79" t="s">
        <v>681</v>
      </c>
      <c r="D18" s="80"/>
      <c r="E18" s="80"/>
      <c r="F18" s="92">
        <f>Datenquelle!O11</f>
        <v>2.5999999999999999E-2</v>
      </c>
      <c r="G18" s="85"/>
      <c r="J18" s="63"/>
    </row>
    <row r="19" spans="1:17" ht="81" customHeight="1">
      <c r="A19" s="7"/>
      <c r="B19" s="67"/>
      <c r="C19" s="16" t="s">
        <v>682</v>
      </c>
      <c r="D19" s="59"/>
      <c r="E19" s="125" t="s">
        <v>614</v>
      </c>
      <c r="F19" s="94">
        <f>Datenquelle!Q11</f>
        <v>0</v>
      </c>
      <c r="G19" s="219"/>
      <c r="J19" s="43"/>
      <c r="Q19" s="137" t="s">
        <v>615</v>
      </c>
    </row>
    <row r="20" spans="1:17" ht="27.75" customHeight="1">
      <c r="A20" s="86"/>
      <c r="B20" s="81"/>
      <c r="C20" s="82" t="s">
        <v>683</v>
      </c>
      <c r="D20" s="83"/>
      <c r="E20" s="83"/>
      <c r="F20" s="157" t="str">
        <f>VLOOKUP(Datenquelle!P11,Datenquelle!$AN$5:$AP$13,3,FALSE)</f>
        <v>NB</v>
      </c>
      <c r="G20" s="87"/>
    </row>
    <row r="21" spans="1:17" ht="35.25">
      <c r="A21" s="84"/>
      <c r="B21" s="218" t="s">
        <v>139</v>
      </c>
      <c r="C21" s="79" t="s">
        <v>684</v>
      </c>
      <c r="D21" s="80"/>
      <c r="E21" s="238"/>
      <c r="F21" s="92">
        <f>Datenquelle!O12</f>
        <v>2.9000000000000001E-2</v>
      </c>
      <c r="G21" s="85"/>
      <c r="J21" s="63"/>
    </row>
    <row r="22" spans="1:17" ht="45.75">
      <c r="A22" s="7"/>
      <c r="B22" s="67"/>
      <c r="C22" s="16" t="s">
        <v>685</v>
      </c>
      <c r="D22" s="59"/>
      <c r="E22" s="125" t="s">
        <v>614</v>
      </c>
      <c r="F22" s="94">
        <f>Datenquelle!Q12</f>
        <v>0</v>
      </c>
      <c r="G22" s="113"/>
      <c r="J22" s="43"/>
      <c r="Q22" s="137" t="s">
        <v>686</v>
      </c>
    </row>
    <row r="23" spans="1:17" ht="25.5" customHeight="1" thickBot="1">
      <c r="A23" s="86"/>
      <c r="B23" s="81"/>
      <c r="C23" s="82" t="s">
        <v>687</v>
      </c>
      <c r="D23" s="83"/>
      <c r="E23" s="83"/>
      <c r="F23" s="157" t="str">
        <f>VLOOKUP(Datenquelle!P12,Datenquelle!$AN$5:$AP$13,3,FALSE)</f>
        <v>NB</v>
      </c>
      <c r="G23" s="87"/>
    </row>
    <row r="24" spans="1:17" ht="24" thickBot="1">
      <c r="A24" s="313" t="str">
        <f>IF(COUNTIF(Datenquelle!P7:P12,6)&lt;=Max_Nichtantworten,"",CONCATENATE("Module currently not assessable! ",COUNTIF(Datenquelle!P7:P12,6)," of ",Datenquelle!P6, " questions have not been rated yet." ))</f>
        <v>Module currently not assessable! 6 of 6 questions have not been rated yet.</v>
      </c>
      <c r="B24" s="314"/>
      <c r="C24" s="314"/>
      <c r="D24" s="314"/>
      <c r="E24" s="314"/>
      <c r="F24" s="314"/>
      <c r="G24" s="315"/>
      <c r="J24" s="64"/>
    </row>
    <row r="25" spans="1:17" ht="45.75">
      <c r="A25" s="69"/>
      <c r="B25" s="70"/>
      <c r="C25" s="320" t="s">
        <v>688</v>
      </c>
      <c r="D25" s="320"/>
      <c r="E25" s="320"/>
      <c r="F25" s="71">
        <f>IF(AND(Datenquelle!P5&lt;&gt;0, COUNTIF(Datenquelle!P7:P12,6)&lt;=Max_Nichtantworten),Datenquelle!Q5/Datenquelle!P5*Datenquelle!O5,0)</f>
        <v>0</v>
      </c>
      <c r="G25" s="154"/>
      <c r="J25" s="68"/>
    </row>
    <row r="26" spans="1:17" ht="16.5">
      <c r="A26" s="69"/>
      <c r="B26" s="70"/>
      <c r="C26" s="73" t="str">
        <f>CONCATENATE("Maximum: ",ROUND(Datenquelle!O5*100,2), "%")</f>
        <v>Maximum: 15%</v>
      </c>
      <c r="D26" s="70"/>
      <c r="E26" s="70"/>
      <c r="F26" s="70"/>
      <c r="G26" s="72"/>
    </row>
    <row r="27" spans="1:17" ht="13.5" thickBot="1">
      <c r="A27" s="74"/>
      <c r="B27" s="75"/>
      <c r="C27" s="76"/>
      <c r="D27" s="75"/>
      <c r="E27" s="75"/>
      <c r="F27" s="75"/>
      <c r="G27" s="77"/>
    </row>
  </sheetData>
  <sheetProtection sheet="1" objects="1" scenarios="1"/>
  <mergeCells count="9">
    <mergeCell ref="C25:E25"/>
    <mergeCell ref="A24:G24"/>
    <mergeCell ref="A1:G1"/>
    <mergeCell ref="F2:F3"/>
    <mergeCell ref="B3:B4"/>
    <mergeCell ref="C3:C4"/>
    <mergeCell ref="D3:D4"/>
    <mergeCell ref="F4:F5"/>
    <mergeCell ref="C12:D12"/>
  </mergeCells>
  <conditionalFormatting sqref="F6:F8">
    <cfRule type="expression" dxfId="95" priority="26">
      <formula>OR($F$8=$G$2, RIGHT($F$8,1)=$G$2)</formula>
    </cfRule>
    <cfRule type="expression" dxfId="94" priority="27">
      <formula>OR($F$8=$G$3, RIGHT($F$8,1)=$G$3)</formula>
    </cfRule>
    <cfRule type="expression" dxfId="93" priority="28">
      <formula>OR($F$8=$G$4, RIGHT($F$8,1)=$G$4)</formula>
    </cfRule>
  </conditionalFormatting>
  <conditionalFormatting sqref="F9:F11">
    <cfRule type="expression" dxfId="92" priority="29">
      <formula>OR($F$11=$G$2, RIGHT($F$11,1)=$G$2)</formula>
    </cfRule>
    <cfRule type="expression" dxfId="91" priority="30">
      <formula>OR($F$11=$G$3, RIGHT($F$11,1)=$G$3)</formula>
    </cfRule>
    <cfRule type="expression" dxfId="90" priority="31">
      <formula>OR($F$11=$G$4, RIGHT($F$11,1)=$G$4)</formula>
    </cfRule>
  </conditionalFormatting>
  <conditionalFormatting sqref="F12:F14">
    <cfRule type="expression" dxfId="89" priority="32">
      <formula>OR($F$14=$G$2, RIGHT($F$14,1)=$G$2)</formula>
    </cfRule>
    <cfRule type="expression" dxfId="88" priority="33">
      <formula>OR($F$14=$G$3, RIGHT($F$14,1)=$G$3)</formula>
    </cfRule>
    <cfRule type="expression" dxfId="87" priority="34">
      <formula>OR($F$14=$G$4, RIGHT($F$14,1)=$G$4)</formula>
    </cfRule>
  </conditionalFormatting>
  <conditionalFormatting sqref="F15:F17">
    <cfRule type="expression" dxfId="86" priority="35">
      <formula>OR($F$17=$G$2, RIGHT($F$17,1)=$G$2)</formula>
    </cfRule>
    <cfRule type="expression" dxfId="85" priority="36">
      <formula>OR($F$17=$G$3, RIGHT($F$17,1)=$G$3)</formula>
    </cfRule>
    <cfRule type="expression" dxfId="84" priority="37">
      <formula>OR($F$17=$G$4, RIGHT($F$17,1)=$G$4)</formula>
    </cfRule>
  </conditionalFormatting>
  <conditionalFormatting sqref="F18:F20">
    <cfRule type="expression" dxfId="83" priority="38">
      <formula>OR($F$20=$G$2, RIGHT($F$20,1)=$G$2)</formula>
    </cfRule>
    <cfRule type="expression" dxfId="82" priority="39">
      <formula>OR($F$20=$G$3, RIGHT($F$20,1)=$G$3)</formula>
    </cfRule>
    <cfRule type="expression" dxfId="81" priority="40">
      <formula>OR($F$20=$G$4, RIGHT($F$20,1)=$G$4)</formula>
    </cfRule>
  </conditionalFormatting>
  <conditionalFormatting sqref="F21:F23">
    <cfRule type="expression" dxfId="80" priority="41">
      <formula>OR($F$23=$G$2, RIGHT($F$23,1)=$G$2)</formula>
    </cfRule>
    <cfRule type="expression" dxfId="79" priority="42">
      <formula>OR($F$23=$G$3, RIGHT($F$23,1)=$G$3)</formula>
    </cfRule>
    <cfRule type="expression" dxfId="78" priority="43">
      <formula>OR($F$23=$G$4, RIGHT($F$23,1)=$G$4)</formula>
    </cfRule>
  </conditionalFormatting>
  <hyperlinks>
    <hyperlink ref="E7" location="'Remarks'!E22" display="»" xr:uid="{00000000-0004-0000-0500-000000000000}"/>
    <hyperlink ref="E10" location="'Remarks'!E23" display="»" xr:uid="{00000000-0004-0000-0500-000001000000}"/>
    <hyperlink ref="E13" location="'Remarks'!E24" display="»" xr:uid="{00000000-0004-0000-0500-000002000000}"/>
    <hyperlink ref="E16" location="'Remarks'!E25" display="»" xr:uid="{00000000-0004-0000-0500-000003000000}"/>
    <hyperlink ref="E19" location="'Remarks'!E26" display="»" xr:uid="{00000000-0004-0000-0500-000004000000}"/>
    <hyperlink ref="E22" location="'Remarks'!E27" display="»" xr:uid="{00000000-0004-0000-0500-000005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2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3083" r:id="rId5" name="Drop Down 11">
              <controlPr defaultSize="0" autoLine="0" autoPict="0">
                <anchor moveWithCells="1">
                  <from>
                    <xdr:col>3</xdr:col>
                    <xdr:colOff>104775</xdr:colOff>
                    <xdr:row>9</xdr:row>
                    <xdr:rowOff>66675</xdr:rowOff>
                  </from>
                  <to>
                    <xdr:col>3</xdr:col>
                    <xdr:colOff>1362075</xdr:colOff>
                    <xdr:row>9</xdr:row>
                    <xdr:rowOff>285750</xdr:rowOff>
                  </to>
                </anchor>
              </controlPr>
            </control>
          </mc:Choice>
        </mc:AlternateContent>
        <mc:AlternateContent xmlns:mc="http://schemas.openxmlformats.org/markup-compatibility/2006">
          <mc:Choice Requires="x14">
            <control shapeId="3084" r:id="rId6" name="Drop Down 12">
              <controlPr defaultSize="0" autoLine="0" autoPict="0">
                <anchor moveWithCells="1">
                  <from>
                    <xdr:col>3</xdr:col>
                    <xdr:colOff>104775</xdr:colOff>
                    <xdr:row>12</xdr:row>
                    <xdr:rowOff>76200</xdr:rowOff>
                  </from>
                  <to>
                    <xdr:col>3</xdr:col>
                    <xdr:colOff>1362075</xdr:colOff>
                    <xdr:row>12</xdr:row>
                    <xdr:rowOff>295275</xdr:rowOff>
                  </to>
                </anchor>
              </controlPr>
            </control>
          </mc:Choice>
        </mc:AlternateContent>
        <mc:AlternateContent xmlns:mc="http://schemas.openxmlformats.org/markup-compatibility/2006">
          <mc:Choice Requires="x14">
            <control shapeId="3085" r:id="rId7" name="Drop Down 13">
              <controlPr defaultSize="0" autoLine="0" autoPict="0">
                <anchor moveWithCells="1">
                  <from>
                    <xdr:col>3</xdr:col>
                    <xdr:colOff>104775</xdr:colOff>
                    <xdr:row>15</xdr:row>
                    <xdr:rowOff>66675</xdr:rowOff>
                  </from>
                  <to>
                    <xdr:col>3</xdr:col>
                    <xdr:colOff>1362075</xdr:colOff>
                    <xdr:row>15</xdr:row>
                    <xdr:rowOff>285750</xdr:rowOff>
                  </to>
                </anchor>
              </controlPr>
            </control>
          </mc:Choice>
        </mc:AlternateContent>
        <mc:AlternateContent xmlns:mc="http://schemas.openxmlformats.org/markup-compatibility/2006">
          <mc:Choice Requires="x14">
            <control shapeId="3086" r:id="rId8" name="Drop Down 14">
              <controlPr defaultSize="0" autoLine="0" autoPict="0">
                <anchor moveWithCells="1">
                  <from>
                    <xdr:col>3</xdr:col>
                    <xdr:colOff>104775</xdr:colOff>
                    <xdr:row>18</xdr:row>
                    <xdr:rowOff>76200</xdr:rowOff>
                  </from>
                  <to>
                    <xdr:col>3</xdr:col>
                    <xdr:colOff>1362075</xdr:colOff>
                    <xdr:row>18</xdr:row>
                    <xdr:rowOff>295275</xdr:rowOff>
                  </to>
                </anchor>
              </controlPr>
            </control>
          </mc:Choice>
        </mc:AlternateContent>
        <mc:AlternateContent xmlns:mc="http://schemas.openxmlformats.org/markup-compatibility/2006">
          <mc:Choice Requires="x14">
            <control shapeId="3087" r:id="rId9" name="Drop Down 15">
              <controlPr defaultSize="0" autoLine="0" autoPict="0">
                <anchor moveWithCells="1">
                  <from>
                    <xdr:col>3</xdr:col>
                    <xdr:colOff>104775</xdr:colOff>
                    <xdr:row>21</xdr:row>
                    <xdr:rowOff>76200</xdr:rowOff>
                  </from>
                  <to>
                    <xdr:col>3</xdr:col>
                    <xdr:colOff>1362075</xdr:colOff>
                    <xdr:row>21</xdr:row>
                    <xdr:rowOff>295275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7">
    <pageSetUpPr fitToPage="1"/>
  </sheetPr>
  <dimension ref="A1:Q30"/>
  <sheetViews>
    <sheetView topLeftCell="A9" zoomScale="90" zoomScaleNormal="90" workbookViewId="0">
      <selection activeCell="B3" sqref="B3:B4"/>
    </sheetView>
  </sheetViews>
  <sheetFormatPr defaultColWidth="11" defaultRowHeight="12.75"/>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7"/>
    <col min="18" max="16384" width="11" style="2"/>
  </cols>
  <sheetData>
    <row r="1" spans="1:17" ht="36" thickBot="1">
      <c r="A1" s="298" t="s">
        <v>689</v>
      </c>
      <c r="B1" s="298"/>
      <c r="C1" s="298"/>
      <c r="D1" s="298"/>
      <c r="E1" s="298"/>
      <c r="F1" s="298"/>
      <c r="G1" s="298"/>
      <c r="J1" s="43"/>
    </row>
    <row r="2" spans="1:17" s="22" customFormat="1" ht="8.25">
      <c r="A2" s="65"/>
      <c r="B2" s="66"/>
      <c r="C2" s="66"/>
      <c r="D2" s="66"/>
      <c r="E2" s="66"/>
      <c r="F2" s="316" t="s">
        <v>607</v>
      </c>
      <c r="G2" s="155" t="str">
        <f>Datenquelle!$AP$6</f>
        <v>+</v>
      </c>
      <c r="Q2" s="138"/>
    </row>
    <row r="3" spans="1:17">
      <c r="A3" s="7"/>
      <c r="B3" s="312" t="s">
        <v>608</v>
      </c>
      <c r="C3" s="311" t="s">
        <v>609</v>
      </c>
      <c r="D3" s="312" t="s">
        <v>610</v>
      </c>
      <c r="F3" s="317"/>
      <c r="G3" s="156" t="str">
        <f>Datenquelle!$AP$7</f>
        <v>○</v>
      </c>
    </row>
    <row r="4" spans="1:17">
      <c r="A4" s="7"/>
      <c r="B4" s="312"/>
      <c r="C4" s="311"/>
      <c r="D4" s="312"/>
      <c r="F4" s="318" t="s">
        <v>611</v>
      </c>
      <c r="G4" s="156" t="str">
        <f>Datenquelle!$AP$8</f>
        <v>-</v>
      </c>
    </row>
    <row r="5" spans="1:17" s="22" customFormat="1" ht="8.4499999999999993" customHeight="1" thickBot="1">
      <c r="A5" s="28"/>
      <c r="B5" s="29"/>
      <c r="C5" s="29"/>
      <c r="D5" s="29"/>
      <c r="E5" s="29"/>
      <c r="F5" s="319"/>
      <c r="G5" s="31"/>
      <c r="Q5" s="138"/>
    </row>
    <row r="6" spans="1:17" ht="25.5">
      <c r="A6" s="7"/>
      <c r="B6" s="67" t="s">
        <v>86</v>
      </c>
      <c r="C6" s="215" t="s">
        <v>690</v>
      </c>
      <c r="D6" s="15"/>
      <c r="E6" s="15"/>
      <c r="F6" s="92">
        <f>Datenquelle!T7</f>
        <v>2.1999999999999999E-2</v>
      </c>
      <c r="G6" s="8"/>
      <c r="J6" s="63"/>
    </row>
    <row r="7" spans="1:17" ht="41.25" customHeight="1">
      <c r="A7" s="7"/>
      <c r="B7" s="67"/>
      <c r="C7" s="16" t="s">
        <v>691</v>
      </c>
      <c r="D7" s="15"/>
      <c r="E7" s="125" t="s">
        <v>614</v>
      </c>
      <c r="F7" s="93">
        <f>Datenquelle!V7</f>
        <v>0</v>
      </c>
      <c r="G7" s="113"/>
      <c r="J7" s="43"/>
      <c r="Q7" s="137" t="s">
        <v>667</v>
      </c>
    </row>
    <row r="8" spans="1:17" ht="15.75">
      <c r="A8" s="86"/>
      <c r="B8" s="81"/>
      <c r="C8" s="82" t="s">
        <v>692</v>
      </c>
      <c r="D8" s="83"/>
      <c r="E8" s="83"/>
      <c r="F8" s="157" t="str">
        <f>VLOOKUP(Datenquelle!U7,Datenquelle!$AN$5:$AP$13,3,FALSE)</f>
        <v>NB</v>
      </c>
      <c r="G8" s="87"/>
    </row>
    <row r="9" spans="1:17" ht="25.5">
      <c r="A9" s="84"/>
      <c r="B9" s="218" t="s">
        <v>97</v>
      </c>
      <c r="C9" s="150" t="s">
        <v>693</v>
      </c>
      <c r="D9" s="80"/>
      <c r="E9" s="80"/>
      <c r="F9" s="92">
        <f>Datenquelle!T8</f>
        <v>1.7000000000000001E-2</v>
      </c>
      <c r="G9" s="85"/>
      <c r="J9" s="63"/>
    </row>
    <row r="10" spans="1:17" ht="44.25" customHeight="1">
      <c r="A10" s="7"/>
      <c r="B10" s="67"/>
      <c r="C10" s="16" t="s">
        <v>694</v>
      </c>
      <c r="D10" s="15"/>
      <c r="E10" s="125" t="s">
        <v>614</v>
      </c>
      <c r="F10" s="93">
        <f>Datenquelle!V8</f>
        <v>0</v>
      </c>
      <c r="G10" s="113"/>
      <c r="J10" s="43"/>
      <c r="Q10" s="137" t="s">
        <v>675</v>
      </c>
    </row>
    <row r="11" spans="1:17" ht="15.75">
      <c r="A11" s="86"/>
      <c r="B11" s="81"/>
      <c r="C11" s="82" t="s">
        <v>695</v>
      </c>
      <c r="D11" s="83"/>
      <c r="E11" s="83"/>
      <c r="F11" s="157" t="str">
        <f>VLOOKUP(Datenquelle!U8,Datenquelle!$AN$5:$AP$13,3,FALSE)</f>
        <v>NB</v>
      </c>
      <c r="G11" s="87"/>
    </row>
    <row r="12" spans="1:17" ht="25.5">
      <c r="A12" s="84"/>
      <c r="B12" s="218" t="s">
        <v>108</v>
      </c>
      <c r="C12" s="215" t="s">
        <v>696</v>
      </c>
      <c r="D12" s="80"/>
      <c r="E12" s="80"/>
      <c r="F12" s="92">
        <f>Datenquelle!T9</f>
        <v>2.5000000000000001E-2</v>
      </c>
      <c r="G12" s="85"/>
      <c r="I12" s="100"/>
      <c r="J12" s="63"/>
    </row>
    <row r="13" spans="1:17" ht="59.25" customHeight="1">
      <c r="A13" s="7"/>
      <c r="B13" s="67"/>
      <c r="C13" s="95" t="s">
        <v>697</v>
      </c>
      <c r="D13" s="15"/>
      <c r="E13" s="125" t="s">
        <v>614</v>
      </c>
      <c r="F13" s="93">
        <f>Datenquelle!V9</f>
        <v>0</v>
      </c>
      <c r="G13" s="113"/>
      <c r="I13" s="100"/>
      <c r="J13" s="43"/>
      <c r="Q13" s="137" t="s">
        <v>698</v>
      </c>
    </row>
    <row r="14" spans="1:17" ht="22.5">
      <c r="A14" s="86"/>
      <c r="B14" s="81"/>
      <c r="C14" s="82" t="s">
        <v>699</v>
      </c>
      <c r="D14" s="83"/>
      <c r="E14" s="83"/>
      <c r="F14" s="157" t="str">
        <f>VLOOKUP(Datenquelle!U9,Datenquelle!$AN$5:$AP$13,3,FALSE)</f>
        <v>NB</v>
      </c>
      <c r="G14" s="87"/>
      <c r="I14" s="100"/>
    </row>
    <row r="15" spans="1:17" ht="25.5">
      <c r="A15" s="84"/>
      <c r="B15" s="218" t="s">
        <v>119</v>
      </c>
      <c r="C15" s="150" t="s">
        <v>700</v>
      </c>
      <c r="D15" s="80"/>
      <c r="E15" s="80"/>
      <c r="F15" s="92">
        <f>Datenquelle!T10</f>
        <v>3.5000000000000003E-2</v>
      </c>
      <c r="G15" s="85"/>
      <c r="I15" s="100"/>
      <c r="J15" s="63"/>
    </row>
    <row r="16" spans="1:17" ht="60" customHeight="1">
      <c r="A16" s="7"/>
      <c r="B16" s="67"/>
      <c r="C16" s="95" t="s">
        <v>701</v>
      </c>
      <c r="D16" s="15"/>
      <c r="E16" s="125" t="s">
        <v>614</v>
      </c>
      <c r="F16" s="93">
        <f>Datenquelle!V10</f>
        <v>0</v>
      </c>
      <c r="G16" s="113"/>
      <c r="I16" s="100"/>
      <c r="J16" s="43"/>
      <c r="Q16" s="137" t="s">
        <v>702</v>
      </c>
    </row>
    <row r="17" spans="1:17" ht="22.5">
      <c r="A17" s="86"/>
      <c r="B17" s="81"/>
      <c r="C17" s="82" t="s">
        <v>703</v>
      </c>
      <c r="D17" s="83"/>
      <c r="E17" s="83"/>
      <c r="F17" s="157" t="str">
        <f>VLOOKUP(Datenquelle!U10,Datenquelle!$AN$5:$AP$13,3,FALSE)</f>
        <v>NB</v>
      </c>
      <c r="G17" s="87"/>
      <c r="I17" s="100"/>
    </row>
    <row r="18" spans="1:17" ht="25.5">
      <c r="A18" s="84"/>
      <c r="B18" s="218" t="s">
        <v>130</v>
      </c>
      <c r="C18" s="150" t="s">
        <v>704</v>
      </c>
      <c r="D18" s="80"/>
      <c r="E18" s="80"/>
      <c r="F18" s="92">
        <f>Datenquelle!T11</f>
        <v>2.1000000000000001E-2</v>
      </c>
      <c r="G18" s="85"/>
      <c r="I18" s="100"/>
      <c r="J18" s="63"/>
    </row>
    <row r="19" spans="1:17" ht="45.75">
      <c r="A19" s="7"/>
      <c r="B19" s="67"/>
      <c r="C19" s="16" t="s">
        <v>705</v>
      </c>
      <c r="D19" s="15"/>
      <c r="E19" s="125" t="s">
        <v>614</v>
      </c>
      <c r="F19" s="93">
        <f>Datenquelle!V11</f>
        <v>0</v>
      </c>
      <c r="G19" s="113"/>
      <c r="I19" s="100"/>
      <c r="J19" s="43"/>
      <c r="Q19" s="137" t="s">
        <v>679</v>
      </c>
    </row>
    <row r="20" spans="1:17" ht="22.5">
      <c r="A20" s="86"/>
      <c r="B20" s="81"/>
      <c r="C20" s="82" t="s">
        <v>706</v>
      </c>
      <c r="D20" s="83"/>
      <c r="E20" s="83"/>
      <c r="F20" s="157" t="str">
        <f>VLOOKUP(Datenquelle!U11,Datenquelle!$AN$5:$AP$13,3,FALSE)</f>
        <v>NB</v>
      </c>
      <c r="G20" s="87"/>
      <c r="I20" s="100"/>
    </row>
    <row r="21" spans="1:17" ht="25.5">
      <c r="A21" s="84"/>
      <c r="B21" s="218" t="s">
        <v>140</v>
      </c>
      <c r="C21" s="150" t="s">
        <v>707</v>
      </c>
      <c r="D21" s="80"/>
      <c r="E21" s="80"/>
      <c r="F21" s="92">
        <f>Datenquelle!T12</f>
        <v>0.02</v>
      </c>
      <c r="G21" s="85"/>
      <c r="I21" s="100"/>
      <c r="J21" s="63"/>
    </row>
    <row r="22" spans="1:17" ht="69" customHeight="1">
      <c r="A22" s="7"/>
      <c r="B22" s="67"/>
      <c r="C22" s="16" t="s">
        <v>708</v>
      </c>
      <c r="D22" s="15"/>
      <c r="E22" s="125" t="s">
        <v>614</v>
      </c>
      <c r="F22" s="93">
        <f>Datenquelle!V12</f>
        <v>0</v>
      </c>
      <c r="G22" s="151"/>
      <c r="I22" s="100"/>
      <c r="J22" s="43"/>
      <c r="Q22" s="137" t="s">
        <v>709</v>
      </c>
    </row>
    <row r="23" spans="1:17" ht="15.75">
      <c r="A23" s="86"/>
      <c r="B23" s="81"/>
      <c r="C23" s="82" t="s">
        <v>710</v>
      </c>
      <c r="D23" s="83"/>
      <c r="E23" s="83"/>
      <c r="F23" s="157" t="str">
        <f>VLOOKUP(Datenquelle!U12,Datenquelle!$AN$5:$AP$13,3,FALSE)</f>
        <v>NB</v>
      </c>
      <c r="G23" s="87"/>
      <c r="I23" s="100"/>
    </row>
    <row r="24" spans="1:17" ht="25.5">
      <c r="A24" s="84"/>
      <c r="B24" s="218" t="s">
        <v>146</v>
      </c>
      <c r="C24" s="150" t="s">
        <v>711</v>
      </c>
      <c r="D24" s="80"/>
      <c r="E24" s="80"/>
      <c r="F24" s="92">
        <f>Datenquelle!T13</f>
        <v>0.02</v>
      </c>
      <c r="G24" s="85"/>
      <c r="I24" s="100"/>
      <c r="J24" s="63"/>
    </row>
    <row r="25" spans="1:17" ht="57" customHeight="1">
      <c r="A25" s="7"/>
      <c r="B25" s="67"/>
      <c r="C25" s="16" t="s">
        <v>712</v>
      </c>
      <c r="D25" s="59"/>
      <c r="E25" s="125" t="s">
        <v>614</v>
      </c>
      <c r="F25" s="93">
        <f>Datenquelle!V13</f>
        <v>0</v>
      </c>
      <c r="G25" s="151"/>
      <c r="J25" s="43"/>
      <c r="Q25" s="137" t="s">
        <v>671</v>
      </c>
    </row>
    <row r="26" spans="1:17" ht="23.25" thickBot="1">
      <c r="A26" s="86"/>
      <c r="B26" s="81"/>
      <c r="C26" s="82" t="s">
        <v>713</v>
      </c>
      <c r="D26" s="83"/>
      <c r="E26" s="83"/>
      <c r="F26" s="157" t="str">
        <f>VLOOKUP(Datenquelle!U13,Datenquelle!$AN$5:$AP$13,3,FALSE)</f>
        <v>NB</v>
      </c>
      <c r="G26" s="87"/>
    </row>
    <row r="27" spans="1:17" ht="24" thickBot="1">
      <c r="A27" s="313" t="str">
        <f>IF(COUNTIF(Datenquelle!U7:U13,6)&lt;=Max_Nichtantworten,"",CONCATENATE("Module currently not assessable! ",COUNTIF(Datenquelle!U7:U13,6)," of ",Datenquelle!U6, " questions have not been rated yet." ))</f>
        <v>Module currently not assessable! 7 of 7 questions have not been rated yet.</v>
      </c>
      <c r="B27" s="314"/>
      <c r="C27" s="314"/>
      <c r="D27" s="314"/>
      <c r="E27" s="314"/>
      <c r="F27" s="314"/>
      <c r="G27" s="315"/>
      <c r="J27" s="64"/>
    </row>
    <row r="28" spans="1:17" ht="27.75">
      <c r="A28" s="69"/>
      <c r="B28" s="70"/>
      <c r="C28" s="309" t="s">
        <v>714</v>
      </c>
      <c r="D28" s="309"/>
      <c r="E28" s="309"/>
      <c r="F28" s="71">
        <f>IF(AND(Datenquelle!U5&lt;&gt;0, COUNTIF(Datenquelle!U7:U11,6)&lt;=Max_Nichtantworten),Datenquelle!V5/Datenquelle!U5*Datenquelle!T5,0)</f>
        <v>0</v>
      </c>
      <c r="G28" s="72"/>
      <c r="J28" s="68"/>
    </row>
    <row r="29" spans="1:17" ht="16.5">
      <c r="A29" s="69"/>
      <c r="B29" s="70"/>
      <c r="C29" s="73" t="str">
        <f>CONCATENATE("Maximum: ",ROUND(Datenquelle!T5*100,2), "%")</f>
        <v>Maximum: 16%</v>
      </c>
      <c r="D29" s="70"/>
      <c r="E29" s="70"/>
      <c r="F29" s="70"/>
      <c r="G29" s="72"/>
    </row>
    <row r="30" spans="1:17" ht="13.5" thickBot="1">
      <c r="A30" s="74"/>
      <c r="B30" s="75"/>
      <c r="C30" s="76"/>
      <c r="D30" s="75"/>
      <c r="E30" s="75"/>
      <c r="F30" s="75"/>
      <c r="G30" s="77"/>
    </row>
  </sheetData>
  <sheetProtection sheet="1" objects="1" scenarios="1"/>
  <mergeCells count="8">
    <mergeCell ref="A27:G27"/>
    <mergeCell ref="C28:E28"/>
    <mergeCell ref="A1:G1"/>
    <mergeCell ref="F2:F3"/>
    <mergeCell ref="B3:B4"/>
    <mergeCell ref="C3:C4"/>
    <mergeCell ref="D3:D4"/>
    <mergeCell ref="F4:F5"/>
  </mergeCells>
  <conditionalFormatting sqref="F6:F8">
    <cfRule type="expression" dxfId="77" priority="32">
      <formula>OR($F$8=$G$2, RIGHT($F$8,1)=$G$2)</formula>
    </cfRule>
    <cfRule type="expression" dxfId="76" priority="33">
      <formula>OR($F$8=$G$3, RIGHT($F$8,1)=$G$3)</formula>
    </cfRule>
    <cfRule type="expression" dxfId="75" priority="34">
      <formula>OR($F$8=$G$4, RIGHT($F$8,1)=$G$4)</formula>
    </cfRule>
  </conditionalFormatting>
  <conditionalFormatting sqref="F9:F11">
    <cfRule type="expression" dxfId="74" priority="35">
      <formula>OR($F$11=$G$2, RIGHT($F$11,1)=$G$2)</formula>
    </cfRule>
    <cfRule type="expression" dxfId="73" priority="36">
      <formula>OR($F$11=$G$3, RIGHT($F$11,1)=$G$3)</formula>
    </cfRule>
    <cfRule type="expression" dxfId="72" priority="37">
      <formula>OR($F$11=$G$4, RIGHT($F$11,1)=$G$4)</formula>
    </cfRule>
  </conditionalFormatting>
  <conditionalFormatting sqref="F12:F14">
    <cfRule type="expression" dxfId="71" priority="38">
      <formula>OR($F$14=$G$2, RIGHT($F$14,1)=$G$2)</formula>
    </cfRule>
    <cfRule type="expression" dxfId="70" priority="39">
      <formula>OR($F$14=$G$3, RIGHT($F$14,1)=$G$3)</formula>
    </cfRule>
    <cfRule type="expression" dxfId="69" priority="40">
      <formula>OR($F$14=$G$4, RIGHT($F$14,1)=$G$4)</formula>
    </cfRule>
  </conditionalFormatting>
  <conditionalFormatting sqref="F15:F17">
    <cfRule type="expression" dxfId="68" priority="41">
      <formula>OR($F$17=$G$2, RIGHT($F$17,1)=$G$2)</formula>
    </cfRule>
    <cfRule type="expression" dxfId="67" priority="42">
      <formula>OR($F$17=$G$3, RIGHT($F$17,1)=$G$3)</formula>
    </cfRule>
    <cfRule type="expression" dxfId="66" priority="43">
      <formula>OR($F$17=$G$4, RIGHT($F$17,1)=$G$4)</formula>
    </cfRule>
  </conditionalFormatting>
  <conditionalFormatting sqref="F18:F20">
    <cfRule type="expression" dxfId="65" priority="44">
      <formula>OR($F$20=$G$2, RIGHT($F$20,1)=$G$2)</formula>
    </cfRule>
    <cfRule type="expression" dxfId="64" priority="45">
      <formula>OR($F$20=$G$3, RIGHT($F$20,1)=$G$3)</formula>
    </cfRule>
    <cfRule type="expression" dxfId="63" priority="46">
      <formula>OR($F$20=$G$4, RIGHT($F$20,1)=$G$4)</formula>
    </cfRule>
  </conditionalFormatting>
  <conditionalFormatting sqref="F21:F23">
    <cfRule type="expression" dxfId="62" priority="47">
      <formula>OR($F$23=$G$2, RIGHT($F$23,1)=$G$2)</formula>
    </cfRule>
    <cfRule type="expression" dxfId="61" priority="48">
      <formula>OR($F$23=$G$3, RIGHT($F$23,1)=$G$3)</formula>
    </cfRule>
    <cfRule type="expression" dxfId="60" priority="49">
      <formula>OR($F$23=$G$4, RIGHT($F$23,1)=$G$4)</formula>
    </cfRule>
  </conditionalFormatting>
  <conditionalFormatting sqref="F24:F26">
    <cfRule type="expression" dxfId="59" priority="50">
      <formula>OR($F$26=$G$2, RIGHT($F$26,1)=$G$2)</formula>
    </cfRule>
    <cfRule type="expression" dxfId="58" priority="51">
      <formula>OR($F$26=$G$3, RIGHT($F$26,1)=$G$3)</formula>
    </cfRule>
    <cfRule type="expression" dxfId="57" priority="52">
      <formula>OR($F$26=$G$4, RIGHT($F$26,1)=$G$4)</formula>
    </cfRule>
  </conditionalFormatting>
  <hyperlinks>
    <hyperlink ref="E7" location="'Remarks'!E30" display="»" xr:uid="{00000000-0004-0000-0600-000000000000}"/>
    <hyperlink ref="E13" location="'Remarks'!E32" display="»" xr:uid="{00000000-0004-0000-0600-000001000000}"/>
    <hyperlink ref="E22" location="'Remarks'!E35" display="»" xr:uid="{00000000-0004-0000-0600-000002000000}"/>
    <hyperlink ref="E25" location="'Remarks'!E36" display="»" xr:uid="{00000000-0004-0000-0600-000003000000}"/>
    <hyperlink ref="E16" location="'Remarks'!E33" display="»" xr:uid="{00000000-0004-0000-0600-000004000000}"/>
    <hyperlink ref="E10" location="'Remarks'!E31" display="»" xr:uid="{00000000-0004-0000-0600-000005000000}"/>
    <hyperlink ref="E19" location="'Remarks'!E34" display="»" xr:uid="{00000000-0004-0000-0600-000006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28"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6145" r:id="rId4" name="Drop Down 1">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6152" r:id="rId5" name="Drop Down 8">
              <controlPr defaultSize="0" autoLine="0" autoPict="0">
                <anchor moveWithCells="1">
                  <from>
                    <xdr:col>3</xdr:col>
                    <xdr:colOff>104775</xdr:colOff>
                    <xdr:row>12</xdr:row>
                    <xdr:rowOff>66675</xdr:rowOff>
                  </from>
                  <to>
                    <xdr:col>3</xdr:col>
                    <xdr:colOff>1362075</xdr:colOff>
                    <xdr:row>12</xdr:row>
                    <xdr:rowOff>285750</xdr:rowOff>
                  </to>
                </anchor>
              </controlPr>
            </control>
          </mc:Choice>
        </mc:AlternateContent>
        <mc:AlternateContent xmlns:mc="http://schemas.openxmlformats.org/markup-compatibility/2006">
          <mc:Choice Requires="x14">
            <control shapeId="6153" r:id="rId6" name="Drop Down 9">
              <controlPr defaultSize="0" autoLine="0" autoPict="0">
                <anchor moveWithCells="1">
                  <from>
                    <xdr:col>3</xdr:col>
                    <xdr:colOff>104775</xdr:colOff>
                    <xdr:row>15</xdr:row>
                    <xdr:rowOff>76200</xdr:rowOff>
                  </from>
                  <to>
                    <xdr:col>3</xdr:col>
                    <xdr:colOff>1362075</xdr:colOff>
                    <xdr:row>15</xdr:row>
                    <xdr:rowOff>295275</xdr:rowOff>
                  </to>
                </anchor>
              </controlPr>
            </control>
          </mc:Choice>
        </mc:AlternateContent>
        <mc:AlternateContent xmlns:mc="http://schemas.openxmlformats.org/markup-compatibility/2006">
          <mc:Choice Requires="x14">
            <control shapeId="6154" r:id="rId7" name="Drop Down 10">
              <controlPr defaultSize="0" autoLine="0" autoPict="0">
                <anchor moveWithCells="1">
                  <from>
                    <xdr:col>3</xdr:col>
                    <xdr:colOff>104775</xdr:colOff>
                    <xdr:row>21</xdr:row>
                    <xdr:rowOff>85725</xdr:rowOff>
                  </from>
                  <to>
                    <xdr:col>3</xdr:col>
                    <xdr:colOff>1362075</xdr:colOff>
                    <xdr:row>21</xdr:row>
                    <xdr:rowOff>304800</xdr:rowOff>
                  </to>
                </anchor>
              </controlPr>
            </control>
          </mc:Choice>
        </mc:AlternateContent>
        <mc:AlternateContent xmlns:mc="http://schemas.openxmlformats.org/markup-compatibility/2006">
          <mc:Choice Requires="x14">
            <control shapeId="6155" r:id="rId8" name="Drop Down 11">
              <controlPr defaultSize="0" autoLine="0" autoPict="0">
                <anchor moveWithCells="1">
                  <from>
                    <xdr:col>3</xdr:col>
                    <xdr:colOff>104775</xdr:colOff>
                    <xdr:row>24</xdr:row>
                    <xdr:rowOff>76200</xdr:rowOff>
                  </from>
                  <to>
                    <xdr:col>3</xdr:col>
                    <xdr:colOff>1362075</xdr:colOff>
                    <xdr:row>24</xdr:row>
                    <xdr:rowOff>295275</xdr:rowOff>
                  </to>
                </anchor>
              </controlPr>
            </control>
          </mc:Choice>
        </mc:AlternateContent>
        <mc:AlternateContent xmlns:mc="http://schemas.openxmlformats.org/markup-compatibility/2006">
          <mc:Choice Requires="x14">
            <control shapeId="6156" r:id="rId9" name="Drop Down 12">
              <controlPr defaultSize="0" autoLine="0" autoPict="0">
                <anchor moveWithCells="1">
                  <from>
                    <xdr:col>3</xdr:col>
                    <xdr:colOff>104775</xdr:colOff>
                    <xdr:row>9</xdr:row>
                    <xdr:rowOff>66675</xdr:rowOff>
                  </from>
                  <to>
                    <xdr:col>3</xdr:col>
                    <xdr:colOff>1362075</xdr:colOff>
                    <xdr:row>9</xdr:row>
                    <xdr:rowOff>285750</xdr:rowOff>
                  </to>
                </anchor>
              </controlPr>
            </control>
          </mc:Choice>
        </mc:AlternateContent>
        <mc:AlternateContent xmlns:mc="http://schemas.openxmlformats.org/markup-compatibility/2006">
          <mc:Choice Requires="x14">
            <control shapeId="6157" r:id="rId10" name="Drop Down 13">
              <controlPr defaultSize="0" autoLine="0" autoPict="0">
                <anchor moveWithCells="1">
                  <from>
                    <xdr:col>3</xdr:col>
                    <xdr:colOff>104775</xdr:colOff>
                    <xdr:row>18</xdr:row>
                    <xdr:rowOff>76200</xdr:rowOff>
                  </from>
                  <to>
                    <xdr:col>3</xdr:col>
                    <xdr:colOff>1362075</xdr:colOff>
                    <xdr:row>18</xdr:row>
                    <xdr:rowOff>295275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pageSetUpPr fitToPage="1"/>
  </sheetPr>
  <dimension ref="A1:Q27"/>
  <sheetViews>
    <sheetView zoomScale="85" zoomScaleNormal="85" workbookViewId="0">
      <selection activeCell="B3" sqref="B3:B4"/>
    </sheetView>
  </sheetViews>
  <sheetFormatPr defaultColWidth="11" defaultRowHeight="12.75"/>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7"/>
    <col min="18" max="16384" width="11" style="2"/>
  </cols>
  <sheetData>
    <row r="1" spans="1:17" ht="36" thickBot="1">
      <c r="A1" s="298" t="s">
        <v>715</v>
      </c>
      <c r="B1" s="298"/>
      <c r="C1" s="298"/>
      <c r="D1" s="298"/>
      <c r="E1" s="298"/>
      <c r="F1" s="298"/>
      <c r="G1" s="298"/>
      <c r="J1" s="43"/>
    </row>
    <row r="2" spans="1:17" s="22" customFormat="1" ht="8.25">
      <c r="A2" s="65"/>
      <c r="B2" s="66"/>
      <c r="C2" s="66"/>
      <c r="D2" s="66"/>
      <c r="E2" s="66"/>
      <c r="F2" s="316" t="s">
        <v>607</v>
      </c>
      <c r="G2" s="155" t="str">
        <f>Datenquelle!$AP$6</f>
        <v>+</v>
      </c>
      <c r="Q2" s="138"/>
    </row>
    <row r="3" spans="1:17">
      <c r="A3" s="7"/>
      <c r="B3" s="312" t="s">
        <v>608</v>
      </c>
      <c r="C3" s="311" t="s">
        <v>609</v>
      </c>
      <c r="D3" s="312" t="s">
        <v>610</v>
      </c>
      <c r="F3" s="317"/>
      <c r="G3" s="156" t="str">
        <f>Datenquelle!$AP$7</f>
        <v>○</v>
      </c>
    </row>
    <row r="4" spans="1:17">
      <c r="A4" s="7"/>
      <c r="B4" s="312"/>
      <c r="C4" s="311"/>
      <c r="D4" s="312"/>
      <c r="F4" s="318" t="s">
        <v>611</v>
      </c>
      <c r="G4" s="156" t="str">
        <f>Datenquelle!$AP$8</f>
        <v>-</v>
      </c>
    </row>
    <row r="5" spans="1:17" s="22" customFormat="1" ht="8.4499999999999993" customHeight="1" thickBot="1">
      <c r="A5" s="28"/>
      <c r="B5" s="29"/>
      <c r="C5" s="29"/>
      <c r="D5" s="29"/>
      <c r="E5" s="29"/>
      <c r="F5" s="319"/>
      <c r="G5" s="31"/>
      <c r="Q5" s="138"/>
    </row>
    <row r="6" spans="1:17" ht="25.5">
      <c r="A6" s="223"/>
      <c r="B6" s="67" t="s">
        <v>87</v>
      </c>
      <c r="C6" s="79" t="s">
        <v>716</v>
      </c>
      <c r="D6" s="15"/>
      <c r="E6" s="15"/>
      <c r="F6" s="92">
        <f>Datenquelle!Y7</f>
        <v>2.8000000000000001E-2</v>
      </c>
      <c r="G6" s="224"/>
      <c r="J6" s="63"/>
    </row>
    <row r="7" spans="1:17" ht="45.75" customHeight="1">
      <c r="A7" s="7"/>
      <c r="B7" s="67"/>
      <c r="C7" s="95" t="s">
        <v>717</v>
      </c>
      <c r="D7" s="15"/>
      <c r="E7" s="125" t="s">
        <v>614</v>
      </c>
      <c r="F7" s="93">
        <f>Datenquelle!AA7</f>
        <v>0</v>
      </c>
      <c r="G7" s="151"/>
      <c r="J7" s="43"/>
      <c r="Q7" s="137" t="s">
        <v>667</v>
      </c>
    </row>
    <row r="8" spans="1:17" ht="27.75" customHeight="1">
      <c r="A8" s="86"/>
      <c r="B8" s="81"/>
      <c r="C8" s="82" t="s">
        <v>718</v>
      </c>
      <c r="D8" s="83"/>
      <c r="E8" s="83"/>
      <c r="F8" s="157" t="str">
        <f>VLOOKUP(Datenquelle!Z7,Datenquelle!$AN$5:$AP$13,3,FALSE)</f>
        <v>NB</v>
      </c>
      <c r="G8" s="87"/>
    </row>
    <row r="9" spans="1:17" ht="25.5">
      <c r="A9" s="84"/>
      <c r="B9" s="218" t="s">
        <v>98</v>
      </c>
      <c r="C9" s="79" t="s">
        <v>719</v>
      </c>
      <c r="D9" s="80"/>
      <c r="E9" s="80"/>
      <c r="F9" s="92">
        <f>Datenquelle!Y8</f>
        <v>0.03</v>
      </c>
      <c r="G9" s="85"/>
      <c r="I9" s="100"/>
      <c r="J9" s="63"/>
    </row>
    <row r="10" spans="1:17" ht="72.75" customHeight="1">
      <c r="A10" s="7"/>
      <c r="B10" s="67"/>
      <c r="C10" s="241" t="s">
        <v>720</v>
      </c>
      <c r="D10" s="15"/>
      <c r="E10" s="125" t="s">
        <v>614</v>
      </c>
      <c r="F10" s="93">
        <f>Datenquelle!AA8</f>
        <v>0</v>
      </c>
      <c r="G10" s="8"/>
      <c r="I10" s="100"/>
      <c r="J10" s="43"/>
      <c r="Q10" s="137" t="s">
        <v>721</v>
      </c>
    </row>
    <row r="11" spans="1:17" ht="27" customHeight="1">
      <c r="A11" s="86"/>
      <c r="B11" s="81"/>
      <c r="C11" s="82" t="s">
        <v>722</v>
      </c>
      <c r="D11" s="83"/>
      <c r="E11" s="83"/>
      <c r="F11" s="157" t="str">
        <f>VLOOKUP(Datenquelle!Z8,Datenquelle!$AN$5:$AP$13,3,FALSE)</f>
        <v>NB</v>
      </c>
      <c r="G11" s="87"/>
      <c r="I11" s="100"/>
    </row>
    <row r="12" spans="1:17" ht="25.5">
      <c r="A12" s="84"/>
      <c r="B12" s="218" t="s">
        <v>109</v>
      </c>
      <c r="C12" s="150" t="s">
        <v>723</v>
      </c>
      <c r="D12" s="80"/>
      <c r="E12" s="80"/>
      <c r="F12" s="92">
        <f>Datenquelle!Y9</f>
        <v>0.02</v>
      </c>
      <c r="G12" s="85"/>
      <c r="I12" s="100"/>
      <c r="J12" s="63"/>
    </row>
    <row r="13" spans="1:17" ht="56.25" customHeight="1">
      <c r="A13" s="7"/>
      <c r="B13" s="67"/>
      <c r="C13" s="16" t="s">
        <v>724</v>
      </c>
      <c r="D13" s="15"/>
      <c r="E13" s="125" t="s">
        <v>614</v>
      </c>
      <c r="F13" s="93">
        <f>Datenquelle!AA9</f>
        <v>0</v>
      </c>
      <c r="G13" s="151"/>
      <c r="I13" s="100"/>
      <c r="J13" s="43"/>
      <c r="Q13" s="137" t="s">
        <v>725</v>
      </c>
    </row>
    <row r="14" spans="1:17" ht="22.5">
      <c r="A14" s="86"/>
      <c r="B14" s="81"/>
      <c r="C14" s="82" t="s">
        <v>726</v>
      </c>
      <c r="D14" s="83"/>
      <c r="E14" s="83"/>
      <c r="F14" s="157" t="str">
        <f>VLOOKUP(Datenquelle!Z9,Datenquelle!$AN$5:$AP$13,3,FALSE)</f>
        <v>NB</v>
      </c>
      <c r="G14" s="87"/>
      <c r="I14" s="100"/>
    </row>
    <row r="15" spans="1:17" ht="25.5">
      <c r="A15" s="84"/>
      <c r="B15" s="218" t="s">
        <v>120</v>
      </c>
      <c r="C15" s="150" t="s">
        <v>727</v>
      </c>
      <c r="D15" s="80"/>
      <c r="E15" s="80"/>
      <c r="F15" s="92">
        <f>Datenquelle!Y10</f>
        <v>1.4999999999999999E-2</v>
      </c>
      <c r="G15" s="85"/>
      <c r="I15" s="100"/>
      <c r="J15" s="63"/>
    </row>
    <row r="16" spans="1:17" ht="45" customHeight="1">
      <c r="A16" s="7"/>
      <c r="B16" s="67"/>
      <c r="C16" s="16" t="s">
        <v>728</v>
      </c>
      <c r="D16" s="15"/>
      <c r="E16" s="125" t="s">
        <v>614</v>
      </c>
      <c r="F16" s="93">
        <f>Datenquelle!AA10</f>
        <v>0</v>
      </c>
      <c r="G16" s="113"/>
      <c r="I16" s="100"/>
      <c r="J16" s="43"/>
      <c r="Q16" s="137" t="s">
        <v>635</v>
      </c>
    </row>
    <row r="17" spans="1:17" ht="22.5">
      <c r="A17" s="86"/>
      <c r="B17" s="81"/>
      <c r="C17" s="82" t="s">
        <v>729</v>
      </c>
      <c r="D17" s="83"/>
      <c r="E17" s="83"/>
      <c r="F17" s="157" t="str">
        <f>VLOOKUP(Datenquelle!Z10,Datenquelle!$AN$5:$AP$13,3,FALSE)</f>
        <v>NB</v>
      </c>
      <c r="G17" s="87"/>
      <c r="I17" s="100"/>
    </row>
    <row r="18" spans="1:17" ht="25.5">
      <c r="A18" s="221"/>
      <c r="B18" s="218" t="s">
        <v>131</v>
      </c>
      <c r="C18" s="150" t="s">
        <v>730</v>
      </c>
      <c r="D18" s="80"/>
      <c r="E18" s="222"/>
      <c r="F18" s="92">
        <f>Datenquelle!Y11</f>
        <v>2.5000000000000001E-2</v>
      </c>
      <c r="G18" s="85"/>
      <c r="I18" s="100"/>
      <c r="J18" s="63"/>
    </row>
    <row r="19" spans="1:17" ht="45.75">
      <c r="A19" s="7"/>
      <c r="B19" s="67"/>
      <c r="C19" s="16" t="s">
        <v>731</v>
      </c>
      <c r="D19" s="15"/>
      <c r="E19" s="125" t="s">
        <v>614</v>
      </c>
      <c r="F19" s="93">
        <f>Datenquelle!AA11</f>
        <v>0</v>
      </c>
      <c r="G19" s="113"/>
      <c r="I19" s="100"/>
      <c r="J19" s="43"/>
      <c r="Q19" s="137" t="s">
        <v>623</v>
      </c>
    </row>
    <row r="20" spans="1:17" ht="15.75">
      <c r="A20" s="86"/>
      <c r="B20" s="81"/>
      <c r="C20" s="82" t="s">
        <v>732</v>
      </c>
      <c r="D20" s="83"/>
      <c r="E20" s="83"/>
      <c r="F20" s="157" t="str">
        <f>VLOOKUP(Datenquelle!Z11,Datenquelle!$AN$5:$AP$13,3,FALSE)</f>
        <v>NB</v>
      </c>
      <c r="G20" s="87"/>
      <c r="I20" s="100"/>
    </row>
    <row r="21" spans="1:17" ht="25.5">
      <c r="A21" s="84"/>
      <c r="B21" s="218" t="s">
        <v>141</v>
      </c>
      <c r="C21" s="79" t="s">
        <v>733</v>
      </c>
      <c r="D21" s="80"/>
      <c r="E21" s="80"/>
      <c r="F21" s="92">
        <f>Datenquelle!Y12</f>
        <v>2.1999999999999999E-2</v>
      </c>
      <c r="G21" s="85"/>
      <c r="I21" s="100"/>
      <c r="J21" s="63"/>
    </row>
    <row r="22" spans="1:17" ht="45" customHeight="1">
      <c r="A22" s="7"/>
      <c r="B22" s="67"/>
      <c r="C22" s="16" t="s">
        <v>734</v>
      </c>
      <c r="D22" s="59"/>
      <c r="E22" s="125" t="s">
        <v>614</v>
      </c>
      <c r="F22" s="93">
        <f>Datenquelle!AA12</f>
        <v>0</v>
      </c>
      <c r="G22" s="151"/>
      <c r="J22" s="43"/>
      <c r="Q22" s="137" t="s">
        <v>627</v>
      </c>
    </row>
    <row r="23" spans="1:17" ht="18.75" customHeight="1" thickBot="1">
      <c r="A23" s="86"/>
      <c r="B23" s="81"/>
      <c r="C23" s="82" t="s">
        <v>735</v>
      </c>
      <c r="D23" s="83"/>
      <c r="E23" s="83"/>
      <c r="F23" s="157" t="str">
        <f>VLOOKUP(Datenquelle!Z12,Datenquelle!$AN$5:$AP$13,3,FALSE)</f>
        <v>NB</v>
      </c>
      <c r="G23" s="87"/>
    </row>
    <row r="24" spans="1:17" ht="24" thickBot="1">
      <c r="A24" s="313" t="str">
        <f>IF(COUNTIF(Datenquelle!Z7:Z12,6)&lt;=Max_Nichtantworten,"",CONCATENATE("Module currently not assessable! ",COUNTIF(Datenquelle!Z7:Z12,6)," of ",Datenquelle!Z6, " questions have not been rated yet." ))</f>
        <v>Module currently not assessable! 6 of 6 questions have not been rated yet.</v>
      </c>
      <c r="B24" s="314"/>
      <c r="C24" s="314"/>
      <c r="D24" s="314"/>
      <c r="E24" s="314"/>
      <c r="F24" s="314"/>
      <c r="G24" s="315"/>
      <c r="J24" s="64"/>
    </row>
    <row r="25" spans="1:17" ht="27.75">
      <c r="A25" s="69"/>
      <c r="B25" s="70"/>
      <c r="C25" s="309" t="s">
        <v>736</v>
      </c>
      <c r="D25" s="309"/>
      <c r="E25" s="309"/>
      <c r="F25" s="71">
        <f>IF(AND(Datenquelle!Z5&lt;&gt;0, COUNTIF(Datenquelle!Z7:Z12,6)&lt;=Max_Nichtantworten),Datenquelle!AA5/Datenquelle!Z5*Datenquelle!Y5,0)</f>
        <v>0</v>
      </c>
      <c r="G25" s="72"/>
      <c r="J25" s="68"/>
    </row>
    <row r="26" spans="1:17" ht="16.5">
      <c r="A26" s="69"/>
      <c r="B26" s="70"/>
      <c r="C26" s="73" t="str">
        <f>CONCATENATE("Maximum: ",ROUND(Datenquelle!Y5*100,2), "%")</f>
        <v>Maximum: 14%</v>
      </c>
      <c r="D26" s="70"/>
      <c r="E26" s="70"/>
      <c r="F26" s="70"/>
      <c r="G26" s="72"/>
    </row>
    <row r="27" spans="1:17" ht="13.5" thickBot="1">
      <c r="A27" s="74"/>
      <c r="B27" s="75"/>
      <c r="C27" s="76"/>
      <c r="D27" s="75"/>
      <c r="E27" s="75"/>
      <c r="F27" s="75"/>
      <c r="G27" s="77"/>
    </row>
  </sheetData>
  <sheetProtection sheet="1" objects="1" scenarios="1"/>
  <mergeCells count="8">
    <mergeCell ref="A24:G24"/>
    <mergeCell ref="C25:E25"/>
    <mergeCell ref="A1:G1"/>
    <mergeCell ref="F2:F3"/>
    <mergeCell ref="B3:B4"/>
    <mergeCell ref="C3:C4"/>
    <mergeCell ref="D3:D4"/>
    <mergeCell ref="F4:F5"/>
  </mergeCells>
  <conditionalFormatting sqref="F6:F8">
    <cfRule type="expression" dxfId="56" priority="50">
      <formula>OR($F$8=$G$2, RIGHT($F$8,1)=$G$2)</formula>
    </cfRule>
    <cfRule type="expression" dxfId="55" priority="51">
      <formula>OR($F$8=$G$3, RIGHT($F$8,1)=$G$3)</formula>
    </cfRule>
    <cfRule type="expression" dxfId="54" priority="52">
      <formula>OR($F$8=$G$4, RIGHT($F$8,1)=$G$4)</formula>
    </cfRule>
  </conditionalFormatting>
  <conditionalFormatting sqref="F9:F11">
    <cfRule type="expression" dxfId="53" priority="53">
      <formula>OR($F$11=$G$2, RIGHT($F$11,1)=$G$2)</formula>
    </cfRule>
    <cfRule type="expression" dxfId="52" priority="54">
      <formula>OR($F$11=$G$3, RIGHT($F$11,1)=$G$3)</formula>
    </cfRule>
    <cfRule type="expression" dxfId="51" priority="55">
      <formula>OR($F$11=$G$4, RIGHT($F$11,1)=$G$4)</formula>
    </cfRule>
  </conditionalFormatting>
  <conditionalFormatting sqref="F12:F14">
    <cfRule type="expression" dxfId="50" priority="56">
      <formula>OR($F$14=$G$2, RIGHT($F$14,1)=$G$2)</formula>
    </cfRule>
    <cfRule type="expression" dxfId="49" priority="57">
      <formula>OR($F$14=$G$3, RIGHT($F$14,1)=$G$3)</formula>
    </cfRule>
    <cfRule type="expression" dxfId="48" priority="58">
      <formula>OR($F$14=$G$4, RIGHT($F$14,1)=$G$4)</formula>
    </cfRule>
  </conditionalFormatting>
  <conditionalFormatting sqref="F15:F17">
    <cfRule type="expression" dxfId="47" priority="59">
      <formula>OR($F$17=$G$2, RIGHT($F$17,1)=$G$2)</formula>
    </cfRule>
    <cfRule type="expression" dxfId="46" priority="60">
      <formula>OR($F$17=$G$3, RIGHT($F$17,1)=$G$3)</formula>
    </cfRule>
    <cfRule type="expression" dxfId="45" priority="61">
      <formula>OR($F$17=$G$4, RIGHT($F$17,1)=$G$4)</formula>
    </cfRule>
  </conditionalFormatting>
  <conditionalFormatting sqref="F18:F20">
    <cfRule type="expression" dxfId="44" priority="62">
      <formula>OR($F$20=$G$2, RIGHT($F$20,1)=$G$2)</formula>
    </cfRule>
    <cfRule type="expression" dxfId="43" priority="63">
      <formula>OR($F$20=$G$3, RIGHT($F$20,1)=$G$3)</formula>
    </cfRule>
    <cfRule type="expression" dxfId="42" priority="64">
      <formula>OR($F$20=$G$4, RIGHT($F$20,1)=$G$4)</formula>
    </cfRule>
  </conditionalFormatting>
  <conditionalFormatting sqref="F21:F23">
    <cfRule type="expression" dxfId="41" priority="65">
      <formula>OR($F$23=$G$2, RIGHT($F$23,1)=$G$2)</formula>
    </cfRule>
    <cfRule type="expression" dxfId="40" priority="66">
      <formula>OR($F$23=$G$3, RIGHT($F$23,1)=$G$3)</formula>
    </cfRule>
    <cfRule type="expression" dxfId="39" priority="67">
      <formula>OR($F$23=$G$4, RIGHT($F$23,1)=$G$4)</formula>
    </cfRule>
  </conditionalFormatting>
  <hyperlinks>
    <hyperlink ref="E7" location="'Remarks'!E39" display="»" xr:uid="{00000000-0004-0000-0700-000000000000}"/>
    <hyperlink ref="E10" location="'Remarks'!E40" display="»" xr:uid="{00000000-0004-0000-0700-000001000000}"/>
    <hyperlink ref="E19" location="'Remarks'!E43" display="»" xr:uid="{00000000-0004-0000-0700-000002000000}"/>
    <hyperlink ref="E22" location="'Remarks'!E44" display="»" xr:uid="{00000000-0004-0000-0700-000003000000}"/>
    <hyperlink ref="E13" location="'Remarks'!E41" display="»" xr:uid="{00000000-0004-0000-0700-000004000000}"/>
    <hyperlink ref="E16" location="'Remarks'!E42" display="»" xr:uid="{00000000-0004-0000-0700-000005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F2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7169" r:id="rId4" name="Drop Down 1">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7185" r:id="rId5" name="Drop Down 17">
              <controlPr defaultSize="0" autoLine="0" autoPict="0">
                <anchor moveWithCells="1">
                  <from>
                    <xdr:col>3</xdr:col>
                    <xdr:colOff>104775</xdr:colOff>
                    <xdr:row>9</xdr:row>
                    <xdr:rowOff>85725</xdr:rowOff>
                  </from>
                  <to>
                    <xdr:col>3</xdr:col>
                    <xdr:colOff>1362075</xdr:colOff>
                    <xdr:row>9</xdr:row>
                    <xdr:rowOff>304800</xdr:rowOff>
                  </to>
                </anchor>
              </controlPr>
            </control>
          </mc:Choice>
        </mc:AlternateContent>
        <mc:AlternateContent xmlns:mc="http://schemas.openxmlformats.org/markup-compatibility/2006">
          <mc:Choice Requires="x14">
            <control shapeId="7186" r:id="rId6" name="Drop Down 18">
              <controlPr defaultSize="0" autoLine="0" autoPict="0">
                <anchor moveWithCells="1">
                  <from>
                    <xdr:col>3</xdr:col>
                    <xdr:colOff>104775</xdr:colOff>
                    <xdr:row>12</xdr:row>
                    <xdr:rowOff>95250</xdr:rowOff>
                  </from>
                  <to>
                    <xdr:col>3</xdr:col>
                    <xdr:colOff>1362075</xdr:colOff>
                    <xdr:row>12</xdr:row>
                    <xdr:rowOff>314325</xdr:rowOff>
                  </to>
                </anchor>
              </controlPr>
            </control>
          </mc:Choice>
        </mc:AlternateContent>
        <mc:AlternateContent xmlns:mc="http://schemas.openxmlformats.org/markup-compatibility/2006">
          <mc:Choice Requires="x14">
            <control shapeId="7187" r:id="rId7" name="Drop Down 19">
              <controlPr defaultSize="0" autoLine="0" autoPict="0">
                <anchor moveWithCells="1">
                  <from>
                    <xdr:col>3</xdr:col>
                    <xdr:colOff>104775</xdr:colOff>
                    <xdr:row>18</xdr:row>
                    <xdr:rowOff>104775</xdr:rowOff>
                  </from>
                  <to>
                    <xdr:col>3</xdr:col>
                    <xdr:colOff>1362075</xdr:colOff>
                    <xdr:row>18</xdr:row>
                    <xdr:rowOff>323850</xdr:rowOff>
                  </to>
                </anchor>
              </controlPr>
            </control>
          </mc:Choice>
        </mc:AlternateContent>
        <mc:AlternateContent xmlns:mc="http://schemas.openxmlformats.org/markup-compatibility/2006">
          <mc:Choice Requires="x14">
            <control shapeId="7188" r:id="rId8" name="Drop Down 20">
              <controlPr defaultSize="0" autoLine="0" autoPict="0">
                <anchor moveWithCells="1">
                  <from>
                    <xdr:col>3</xdr:col>
                    <xdr:colOff>104775</xdr:colOff>
                    <xdr:row>21</xdr:row>
                    <xdr:rowOff>114300</xdr:rowOff>
                  </from>
                  <to>
                    <xdr:col>3</xdr:col>
                    <xdr:colOff>1362075</xdr:colOff>
                    <xdr:row>21</xdr:row>
                    <xdr:rowOff>333375</xdr:rowOff>
                  </to>
                </anchor>
              </controlPr>
            </control>
          </mc:Choice>
        </mc:AlternateContent>
        <mc:AlternateContent xmlns:mc="http://schemas.openxmlformats.org/markup-compatibility/2006">
          <mc:Choice Requires="x14">
            <control shapeId="7190" r:id="rId9" name="Drop Down 22">
              <controlPr defaultSize="0" autoLine="0" autoPict="0">
                <anchor moveWithCells="1">
                  <from>
                    <xdr:col>3</xdr:col>
                    <xdr:colOff>104775</xdr:colOff>
                    <xdr:row>15</xdr:row>
                    <xdr:rowOff>85725</xdr:rowOff>
                  </from>
                  <to>
                    <xdr:col>3</xdr:col>
                    <xdr:colOff>1362075</xdr:colOff>
                    <xdr:row>15</xdr:row>
                    <xdr:rowOff>304800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9">
    <pageSetUpPr fitToPage="1"/>
  </sheetPr>
  <dimension ref="A1:Q163"/>
  <sheetViews>
    <sheetView zoomScale="85" zoomScaleNormal="85" workbookViewId="0">
      <selection activeCell="B3" sqref="B3:B4"/>
    </sheetView>
  </sheetViews>
  <sheetFormatPr defaultColWidth="11" defaultRowHeight="12.75"/>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7"/>
    <col min="18" max="16384" width="11" style="2"/>
  </cols>
  <sheetData>
    <row r="1" spans="1:17" ht="36" thickBot="1">
      <c r="A1" s="298" t="s">
        <v>737</v>
      </c>
      <c r="B1" s="298"/>
      <c r="C1" s="298"/>
      <c r="D1" s="298"/>
      <c r="E1" s="298"/>
      <c r="F1" s="298"/>
      <c r="G1" s="298"/>
      <c r="J1" s="43"/>
    </row>
    <row r="2" spans="1:17" s="22" customFormat="1" ht="8.25">
      <c r="A2" s="65"/>
      <c r="B2" s="66"/>
      <c r="C2" s="66"/>
      <c r="D2" s="66"/>
      <c r="E2" s="66"/>
      <c r="F2" s="316" t="s">
        <v>607</v>
      </c>
      <c r="G2" s="155" t="str">
        <f>Datenquelle!$AP$6</f>
        <v>+</v>
      </c>
      <c r="Q2" s="138"/>
    </row>
    <row r="3" spans="1:17">
      <c r="A3" s="7"/>
      <c r="B3" s="312" t="s">
        <v>608</v>
      </c>
      <c r="C3" s="311" t="s">
        <v>609</v>
      </c>
      <c r="D3" s="312" t="s">
        <v>610</v>
      </c>
      <c r="F3" s="317"/>
      <c r="G3" s="156" t="str">
        <f>Datenquelle!$AP$7</f>
        <v>○</v>
      </c>
    </row>
    <row r="4" spans="1:17">
      <c r="A4" s="7"/>
      <c r="B4" s="312"/>
      <c r="C4" s="311"/>
      <c r="D4" s="312"/>
      <c r="F4" s="318" t="s">
        <v>611</v>
      </c>
      <c r="G4" s="156" t="str">
        <f>Datenquelle!$AP$8</f>
        <v>-</v>
      </c>
    </row>
    <row r="5" spans="1:17" s="22" customFormat="1" ht="8.4499999999999993" customHeight="1" thickBot="1">
      <c r="A5" s="28"/>
      <c r="F5" s="319"/>
      <c r="G5" s="31"/>
      <c r="Q5" s="138"/>
    </row>
    <row r="6" spans="1:17" ht="25.5">
      <c r="A6" s="3"/>
      <c r="B6" s="220" t="s">
        <v>88</v>
      </c>
      <c r="C6" s="152" t="s">
        <v>738</v>
      </c>
      <c r="D6" s="89"/>
      <c r="E6" s="89"/>
      <c r="F6" s="91">
        <f>Datenquelle!AD7</f>
        <v>2.9000000000000001E-2</v>
      </c>
      <c r="G6" s="325"/>
      <c r="J6" s="63"/>
    </row>
    <row r="7" spans="1:17" ht="62.25" customHeight="1">
      <c r="A7" s="186"/>
      <c r="B7" s="67"/>
      <c r="C7" s="95" t="s">
        <v>739</v>
      </c>
      <c r="D7" s="15"/>
      <c r="E7" s="125" t="s">
        <v>614</v>
      </c>
      <c r="F7" s="93">
        <f>Datenquelle!AF7</f>
        <v>0</v>
      </c>
      <c r="G7" s="326"/>
      <c r="J7" s="43"/>
      <c r="Q7" s="137" t="s">
        <v>740</v>
      </c>
    </row>
    <row r="8" spans="1:17" ht="18" customHeight="1">
      <c r="A8" s="86"/>
      <c r="B8" s="67"/>
      <c r="C8" s="82" t="s">
        <v>741</v>
      </c>
      <c r="D8" s="15"/>
      <c r="E8" s="15"/>
      <c r="F8" s="157" t="str">
        <f>VLOOKUP(Datenquelle!AE7,Datenquelle!$AN$5:$AP$13,3,FALSE)</f>
        <v>NB</v>
      </c>
      <c r="G8" s="327"/>
    </row>
    <row r="9" spans="1:17" ht="25.5">
      <c r="A9" s="322"/>
      <c r="B9" s="218" t="s">
        <v>99</v>
      </c>
      <c r="C9" s="150" t="s">
        <v>742</v>
      </c>
      <c r="D9" s="80"/>
      <c r="E9" s="80"/>
      <c r="F9" s="92">
        <f>Datenquelle!AD8</f>
        <v>8.9999999999999993E-3</v>
      </c>
      <c r="G9" s="328"/>
      <c r="J9" s="63"/>
    </row>
    <row r="10" spans="1:17" ht="42" customHeight="1">
      <c r="A10" s="323"/>
      <c r="B10" s="67"/>
      <c r="C10" s="16" t="s">
        <v>743</v>
      </c>
      <c r="D10" s="15"/>
      <c r="E10" s="125" t="s">
        <v>614</v>
      </c>
      <c r="F10" s="93">
        <f>Datenquelle!AF8</f>
        <v>0</v>
      </c>
      <c r="G10" s="326"/>
      <c r="J10" s="43"/>
      <c r="Q10" s="137" t="s">
        <v>744</v>
      </c>
    </row>
    <row r="11" spans="1:17" ht="22.5">
      <c r="A11" s="324"/>
      <c r="B11" s="81"/>
      <c r="C11" s="82" t="s">
        <v>745</v>
      </c>
      <c r="D11" s="83"/>
      <c r="E11" s="83"/>
      <c r="F11" s="157" t="str">
        <f>VLOOKUP(Datenquelle!AE8,Datenquelle!$AN$5:$AP$13,3,FALSE)</f>
        <v>NB</v>
      </c>
      <c r="G11" s="327"/>
    </row>
    <row r="12" spans="1:17" ht="25.5">
      <c r="A12" s="84"/>
      <c r="B12" s="218" t="s">
        <v>110</v>
      </c>
      <c r="C12" s="150" t="s">
        <v>746</v>
      </c>
      <c r="D12" s="80"/>
      <c r="E12" s="80"/>
      <c r="F12" s="92">
        <f>Datenquelle!AD9</f>
        <v>2.1000000000000001E-2</v>
      </c>
      <c r="G12" s="328"/>
      <c r="J12" s="63"/>
    </row>
    <row r="13" spans="1:17" ht="46.5" customHeight="1">
      <c r="A13" s="7"/>
      <c r="B13" s="67"/>
      <c r="C13" s="16" t="s">
        <v>747</v>
      </c>
      <c r="D13" s="15"/>
      <c r="E13" s="125" t="s">
        <v>614</v>
      </c>
      <c r="F13" s="93">
        <f>Datenquelle!AF9</f>
        <v>0</v>
      </c>
      <c r="G13" s="326"/>
      <c r="J13" s="43"/>
      <c r="Q13" s="137" t="s">
        <v>748</v>
      </c>
    </row>
    <row r="14" spans="1:17" ht="22.5">
      <c r="A14" s="86"/>
      <c r="B14" s="81"/>
      <c r="C14" s="82" t="s">
        <v>749</v>
      </c>
      <c r="D14" s="83"/>
      <c r="E14" s="83"/>
      <c r="F14" s="157" t="str">
        <f>VLOOKUP(Datenquelle!AE9,Datenquelle!$AN$5:$AP$13,3,FALSE)</f>
        <v>NB</v>
      </c>
      <c r="G14" s="327"/>
    </row>
    <row r="15" spans="1:17" ht="25.5">
      <c r="A15" s="84"/>
      <c r="B15" s="218" t="s">
        <v>121</v>
      </c>
      <c r="C15" s="150" t="s">
        <v>750</v>
      </c>
      <c r="D15" s="80"/>
      <c r="E15" s="80"/>
      <c r="F15" s="92">
        <f>Datenquelle!AD10</f>
        <v>2.1000000000000001E-2</v>
      </c>
      <c r="G15" s="328"/>
      <c r="I15" s="100"/>
      <c r="J15" s="63"/>
    </row>
    <row r="16" spans="1:17" ht="59.25" customHeight="1">
      <c r="A16" s="7"/>
      <c r="B16" s="67"/>
      <c r="C16" s="16" t="s">
        <v>751</v>
      </c>
      <c r="D16" s="15"/>
      <c r="E16" s="125" t="s">
        <v>614</v>
      </c>
      <c r="F16" s="93">
        <f>Datenquelle!AF10</f>
        <v>0</v>
      </c>
      <c r="G16" s="326"/>
      <c r="I16" s="100"/>
      <c r="J16" s="43"/>
      <c r="Q16" s="137" t="s">
        <v>649</v>
      </c>
    </row>
    <row r="17" spans="1:17" ht="22.5">
      <c r="A17" s="86"/>
      <c r="B17" s="81"/>
      <c r="C17" s="82" t="s">
        <v>752</v>
      </c>
      <c r="D17" s="83"/>
      <c r="E17" s="83"/>
      <c r="F17" s="157" t="str">
        <f>VLOOKUP(Datenquelle!AE10,Datenquelle!$AN$5:$AP$13,3,FALSE)</f>
        <v>NB</v>
      </c>
      <c r="G17" s="327"/>
      <c r="I17" s="100"/>
    </row>
    <row r="18" spans="1:17" ht="25.5">
      <c r="A18" s="84"/>
      <c r="B18" s="218" t="s">
        <v>132</v>
      </c>
      <c r="C18" s="79" t="s">
        <v>753</v>
      </c>
      <c r="D18" s="80"/>
      <c r="E18" s="80"/>
      <c r="F18" s="92">
        <f>Datenquelle!AD11</f>
        <v>0.02</v>
      </c>
      <c r="G18" s="328"/>
      <c r="J18" s="63"/>
    </row>
    <row r="19" spans="1:17" ht="46.5" customHeight="1">
      <c r="A19" s="186"/>
      <c r="B19" s="67"/>
      <c r="C19" s="95" t="s">
        <v>754</v>
      </c>
      <c r="D19" s="59"/>
      <c r="E19" s="125" t="s">
        <v>614</v>
      </c>
      <c r="F19" s="93">
        <f>Datenquelle!AF11</f>
        <v>0</v>
      </c>
      <c r="G19" s="326"/>
      <c r="J19" s="43"/>
      <c r="Q19" s="137" t="s">
        <v>755</v>
      </c>
    </row>
    <row r="20" spans="1:17" ht="34.5" thickBot="1">
      <c r="A20" s="86"/>
      <c r="B20" s="81"/>
      <c r="C20" s="82" t="s">
        <v>756</v>
      </c>
      <c r="D20" s="83"/>
      <c r="E20" s="83"/>
      <c r="F20" s="157" t="str">
        <f>VLOOKUP(Datenquelle!AE11,Datenquelle!$AN$5:$AP$13,3,FALSE)</f>
        <v>NB</v>
      </c>
      <c r="G20" s="327"/>
    </row>
    <row r="21" spans="1:17" ht="24" thickBot="1">
      <c r="A21" s="313" t="str">
        <f>IF(COUNTIF(Datenquelle!AE7:AE11,6)&lt;=Max_Nichtantworten,"",CONCATENATE("Module currently not assessable! ",COUNTIF(Datenquelle!AE7:AE11,6)," of ",Datenquelle!AE6, " questions have not been rated yet." ))</f>
        <v>Module currently not assessable! 5 of 5 questions have not been rated yet.</v>
      </c>
      <c r="B21" s="314"/>
      <c r="C21" s="314"/>
      <c r="D21" s="314"/>
      <c r="E21" s="314"/>
      <c r="F21" s="314"/>
      <c r="G21" s="315"/>
      <c r="J21" s="64"/>
    </row>
    <row r="22" spans="1:17" ht="27.75">
      <c r="A22" s="329"/>
      <c r="B22" s="70"/>
      <c r="C22" s="320" t="s">
        <v>757</v>
      </c>
      <c r="D22" s="320"/>
      <c r="E22" s="320"/>
      <c r="F22" s="71">
        <f>IF(AND(Datenquelle!AE5&lt;&gt;0, COUNTIF(Datenquelle!AE7:AE11,6)&lt;=Max_Nichtantworten),Datenquelle!AF5/Datenquelle!AE5*Datenquelle!AD5,0)</f>
        <v>0</v>
      </c>
      <c r="G22" s="191"/>
      <c r="J22" s="68"/>
    </row>
    <row r="23" spans="1:17" ht="16.5">
      <c r="A23" s="330"/>
      <c r="B23" s="70"/>
      <c r="C23" s="73" t="str">
        <f>CONCATENATE("Maximum: ",ROUND(Datenquelle!AD5*100,2), "%")</f>
        <v>Maximum: 10%</v>
      </c>
      <c r="D23" s="70"/>
      <c r="E23" s="70"/>
      <c r="F23" s="70"/>
      <c r="G23" s="72"/>
    </row>
    <row r="24" spans="1:17" ht="13.5" thickBot="1">
      <c r="A24" s="331"/>
      <c r="B24" s="75"/>
      <c r="C24" s="76"/>
      <c r="D24" s="75"/>
      <c r="E24" s="75"/>
      <c r="F24" s="75"/>
      <c r="G24" s="77"/>
    </row>
    <row r="55" spans="5:5" ht="18">
      <c r="E55" s="168" t="s">
        <v>614</v>
      </c>
    </row>
    <row r="85" spans="5:5" ht="18">
      <c r="E85" s="168" t="s">
        <v>614</v>
      </c>
    </row>
    <row r="88" spans="5:5" ht="18">
      <c r="E88" s="168" t="s">
        <v>614</v>
      </c>
    </row>
    <row r="115" spans="5:5" ht="18">
      <c r="E115" s="168" t="s">
        <v>614</v>
      </c>
    </row>
    <row r="145" spans="5:5" ht="18">
      <c r="E145" s="168" t="s">
        <v>614</v>
      </c>
    </row>
    <row r="148" spans="5:5" ht="18">
      <c r="E148" s="168" t="s">
        <v>614</v>
      </c>
    </row>
    <row r="151" spans="5:5" ht="18">
      <c r="E151" s="168" t="s">
        <v>614</v>
      </c>
    </row>
    <row r="154" spans="5:5" ht="18">
      <c r="E154" s="168" t="s">
        <v>614</v>
      </c>
    </row>
    <row r="157" spans="5:5" ht="18">
      <c r="E157" s="168" t="s">
        <v>614</v>
      </c>
    </row>
    <row r="160" spans="5:5" ht="18">
      <c r="E160" s="168" t="s">
        <v>614</v>
      </c>
    </row>
    <row r="163" spans="5:5" ht="18">
      <c r="E163" s="168" t="s">
        <v>614</v>
      </c>
    </row>
  </sheetData>
  <sheetProtection sheet="1" objects="1" scenarios="1"/>
  <mergeCells count="15">
    <mergeCell ref="A22:A24"/>
    <mergeCell ref="A21:G21"/>
    <mergeCell ref="C22:E22"/>
    <mergeCell ref="G18:G20"/>
    <mergeCell ref="G12:G14"/>
    <mergeCell ref="G15:G17"/>
    <mergeCell ref="A9:A11"/>
    <mergeCell ref="G6:G8"/>
    <mergeCell ref="G9:G11"/>
    <mergeCell ref="A1:G1"/>
    <mergeCell ref="F2:F3"/>
    <mergeCell ref="B3:B4"/>
    <mergeCell ref="C3:C4"/>
    <mergeCell ref="D3:D4"/>
    <mergeCell ref="F4:F5"/>
  </mergeCells>
  <conditionalFormatting sqref="F6:F8">
    <cfRule type="expression" dxfId="38" priority="83">
      <formula>OR($F$8=$G$2, RIGHT($F$8,1)=$G$2)</formula>
    </cfRule>
    <cfRule type="expression" dxfId="37" priority="84">
      <formula>OR($F$8=$G$3, RIGHT($F$8,1)=$G$3)</formula>
    </cfRule>
    <cfRule type="expression" dxfId="36" priority="85">
      <formula>OR($F$8=$G$4, RIGHT($F$8,1)=$G$4)</formula>
    </cfRule>
  </conditionalFormatting>
  <conditionalFormatting sqref="F9:F11">
    <cfRule type="expression" dxfId="35" priority="86">
      <formula>OR($F$11=$G$2, RIGHT($F$11,1)=$G$2)</formula>
    </cfRule>
    <cfRule type="expression" dxfId="34" priority="87">
      <formula>OR($F$11=$G$3, RIGHT($F$11,1)=$G$3)</formula>
    </cfRule>
    <cfRule type="expression" dxfId="33" priority="88">
      <formula>OR($F$11=$G$4, RIGHT($F$11,1)=$G$4)</formula>
    </cfRule>
  </conditionalFormatting>
  <conditionalFormatting sqref="F12:F14">
    <cfRule type="expression" dxfId="32" priority="89">
      <formula>OR($F$14=$G$2, RIGHT($F$14,1)=$G$2)</formula>
    </cfRule>
    <cfRule type="expression" dxfId="31" priority="90">
      <formula>OR($F$14=$G$3, RIGHT($F$14,1)=$G$3)</formula>
    </cfRule>
    <cfRule type="expression" dxfId="30" priority="91">
      <formula>OR($F$14=$G$4, RIGHT($F$14,1)=$G$4)</formula>
    </cfRule>
  </conditionalFormatting>
  <conditionalFormatting sqref="F15:F17">
    <cfRule type="expression" dxfId="29" priority="92">
      <formula>OR($F$17=$G$2, RIGHT($F$17,1)=$G$2)</formula>
    </cfRule>
    <cfRule type="expression" dxfId="28" priority="93">
      <formula>OR($F$17=$G$3, RIGHT($F$17,1)=$G$3)</formula>
    </cfRule>
    <cfRule type="expression" dxfId="27" priority="94">
      <formula>OR($F$17=$G$4, RIGHT($F$17,1)=$G$4)</formula>
    </cfRule>
  </conditionalFormatting>
  <conditionalFormatting sqref="F18:F20">
    <cfRule type="expression" dxfId="26" priority="95">
      <formula>OR($F$20=$G$2, RIGHT($F$20,1)=$G$2)</formula>
    </cfRule>
    <cfRule type="expression" dxfId="25" priority="96">
      <formula>OR($F$20=$G$3, RIGHT($F$20,1)=$G$3)</formula>
    </cfRule>
    <cfRule type="expression" dxfId="24" priority="97">
      <formula>OR($F$20=$G$4, RIGHT($F$20,1)=$G$4)</formula>
    </cfRule>
  </conditionalFormatting>
  <hyperlinks>
    <hyperlink ref="E13" location="'Remarks'!E49" display="»" xr:uid="{00000000-0004-0000-0800-000000000000}"/>
    <hyperlink ref="E19" location="'Remarks'!E51" display="»" xr:uid="{00000000-0004-0000-0800-000001000000}"/>
    <hyperlink ref="E55" location="'Anmerkungen'!E64" display="»" xr:uid="{00000000-0004-0000-0800-000002000000}"/>
    <hyperlink ref="E85" location="'Anmerkungen'!E66" display="»" xr:uid="{00000000-0004-0000-0800-000003000000}"/>
    <hyperlink ref="E88" location="'Anmerkungen'!E67" display="»" xr:uid="{00000000-0004-0000-0800-000004000000}"/>
    <hyperlink ref="E115" location="'Anmerkungen'!E69" display="»" xr:uid="{00000000-0004-0000-0800-000005000000}"/>
    <hyperlink ref="E145" location="'Anmerkungen'!E71" display="»" xr:uid="{00000000-0004-0000-0800-000006000000}"/>
    <hyperlink ref="E148" location="'Anmerkungen'!E72" display="»" xr:uid="{00000000-0004-0000-0800-000007000000}"/>
    <hyperlink ref="E151" location="'Anmerkungen'!E73" display="»" xr:uid="{00000000-0004-0000-0800-000008000000}"/>
    <hyperlink ref="E154" location="'Anmerkungen'!E74" display="»" xr:uid="{00000000-0004-0000-0800-000009000000}"/>
    <hyperlink ref="E157" location="'Anmerkungen'!E75" display="»" xr:uid="{00000000-0004-0000-0800-00000A000000}"/>
    <hyperlink ref="E160" location="'Anmerkungen'!E76" display="»" xr:uid="{00000000-0004-0000-0800-00000B000000}"/>
    <hyperlink ref="E163" location="'Anmerkungen'!E77" display="»" xr:uid="{00000000-0004-0000-0800-00000C000000}"/>
    <hyperlink ref="E7" location="'Remarks'!E47" display="»" xr:uid="{00000000-0004-0000-0800-00000D000000}"/>
    <hyperlink ref="E16" location="'Remarks'!E50" display="»" xr:uid="{00000000-0004-0000-0800-00000E000000}"/>
    <hyperlink ref="E10" location="'Remarks'!E48" display="»" xr:uid="{00000000-0004-0000-0800-00000F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B19:B20" twoDigitTextYear="1"/>
    <ignoredError sqref="F22"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8223" r:id="rId4" name="Drop Down 31">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8225" r:id="rId5" name="Drop Down 33">
              <controlPr defaultSize="0" autoLine="0" autoPict="0">
                <anchor moveWithCells="1">
                  <from>
                    <xdr:col>3</xdr:col>
                    <xdr:colOff>104775</xdr:colOff>
                    <xdr:row>9</xdr:row>
                    <xdr:rowOff>76200</xdr:rowOff>
                  </from>
                  <to>
                    <xdr:col>3</xdr:col>
                    <xdr:colOff>1362075</xdr:colOff>
                    <xdr:row>9</xdr:row>
                    <xdr:rowOff>295275</xdr:rowOff>
                  </to>
                </anchor>
              </controlPr>
            </control>
          </mc:Choice>
        </mc:AlternateContent>
        <mc:AlternateContent xmlns:mc="http://schemas.openxmlformats.org/markup-compatibility/2006">
          <mc:Choice Requires="x14">
            <control shapeId="8233" r:id="rId6" name="Drop Down 41">
              <controlPr defaultSize="0" autoLine="0" autoPict="0">
                <anchor moveWithCells="1">
                  <from>
                    <xdr:col>3</xdr:col>
                    <xdr:colOff>104775</xdr:colOff>
                    <xdr:row>15</xdr:row>
                    <xdr:rowOff>66675</xdr:rowOff>
                  </from>
                  <to>
                    <xdr:col>3</xdr:col>
                    <xdr:colOff>1362075</xdr:colOff>
                    <xdr:row>15</xdr:row>
                    <xdr:rowOff>285750</xdr:rowOff>
                  </to>
                </anchor>
              </controlPr>
            </control>
          </mc:Choice>
        </mc:AlternateContent>
        <mc:AlternateContent xmlns:mc="http://schemas.openxmlformats.org/markup-compatibility/2006">
          <mc:Choice Requires="x14">
            <control shapeId="8272" r:id="rId7" name="Drop Down 80">
              <controlPr defaultSize="0" autoLine="0" autoPict="0">
                <anchor moveWithCells="1">
                  <from>
                    <xdr:col>3</xdr:col>
                    <xdr:colOff>104775</xdr:colOff>
                    <xdr:row>18</xdr:row>
                    <xdr:rowOff>76200</xdr:rowOff>
                  </from>
                  <to>
                    <xdr:col>3</xdr:col>
                    <xdr:colOff>1362075</xdr:colOff>
                    <xdr:row>18</xdr:row>
                    <xdr:rowOff>295275</xdr:rowOff>
                  </to>
                </anchor>
              </controlPr>
            </control>
          </mc:Choice>
        </mc:AlternateContent>
        <mc:AlternateContent xmlns:mc="http://schemas.openxmlformats.org/markup-compatibility/2006">
          <mc:Choice Requires="x14">
            <control shapeId="8275" r:id="rId8" name="Drop Down 83">
              <controlPr defaultSize="0" autoLine="0" autoPict="0">
                <anchor moveWithCells="1">
                  <from>
                    <xdr:col>3</xdr:col>
                    <xdr:colOff>104775</xdr:colOff>
                    <xdr:row>12</xdr:row>
                    <xdr:rowOff>76200</xdr:rowOff>
                  </from>
                  <to>
                    <xdr:col>3</xdr:col>
                    <xdr:colOff>1362075</xdr:colOff>
                    <xdr:row>12</xdr:row>
                    <xdr:rowOff>295275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6">
    <pageSetUpPr fitToPage="1"/>
  </sheetPr>
  <dimension ref="A1:Q115"/>
  <sheetViews>
    <sheetView zoomScale="85" zoomScaleNormal="85" workbookViewId="0">
      <selection activeCell="B3" sqref="B3:B4"/>
    </sheetView>
  </sheetViews>
  <sheetFormatPr defaultColWidth="11" defaultRowHeight="12.75"/>
  <cols>
    <col min="1" max="1" width="2.625" style="2" customWidth="1"/>
    <col min="2" max="2" width="4.875" style="2" customWidth="1"/>
    <col min="3" max="3" width="60.625" style="44" customWidth="1"/>
    <col min="4" max="4" width="19.25" style="2" customWidth="1"/>
    <col min="5" max="5" width="3.875" style="2" customWidth="1"/>
    <col min="6" max="6" width="10.875" style="2" customWidth="1"/>
    <col min="7" max="7" width="2.625" style="2" customWidth="1"/>
    <col min="8" max="16" width="11" style="2"/>
    <col min="17" max="17" width="11" style="137"/>
    <col min="18" max="16384" width="11" style="2"/>
  </cols>
  <sheetData>
    <row r="1" spans="1:17" ht="36" thickBot="1">
      <c r="A1" s="298" t="s">
        <v>758</v>
      </c>
      <c r="B1" s="298"/>
      <c r="C1" s="298"/>
      <c r="D1" s="298"/>
      <c r="E1" s="298"/>
      <c r="F1" s="298"/>
      <c r="G1" s="298"/>
      <c r="J1" s="43"/>
    </row>
    <row r="2" spans="1:17" s="22" customFormat="1" ht="8.25">
      <c r="A2" s="65"/>
      <c r="B2" s="66"/>
      <c r="C2" s="66"/>
      <c r="D2" s="66"/>
      <c r="E2" s="66"/>
      <c r="F2" s="316" t="s">
        <v>607</v>
      </c>
      <c r="G2" s="155" t="str">
        <f>Datenquelle!$AP$6</f>
        <v>+</v>
      </c>
      <c r="Q2" s="138"/>
    </row>
    <row r="3" spans="1:17">
      <c r="A3" s="7"/>
      <c r="B3" s="310" t="s">
        <v>608</v>
      </c>
      <c r="C3" s="311" t="s">
        <v>609</v>
      </c>
      <c r="D3" s="312" t="s">
        <v>610</v>
      </c>
      <c r="F3" s="317"/>
      <c r="G3" s="156" t="str">
        <f>Datenquelle!$AP$7</f>
        <v>○</v>
      </c>
    </row>
    <row r="4" spans="1:17">
      <c r="A4" s="7"/>
      <c r="B4" s="310"/>
      <c r="C4" s="311"/>
      <c r="D4" s="312"/>
      <c r="F4" s="318" t="s">
        <v>611</v>
      </c>
      <c r="G4" s="156" t="str">
        <f>Datenquelle!$AP$8</f>
        <v>-</v>
      </c>
    </row>
    <row r="5" spans="1:17" s="22" customFormat="1" ht="8.4499999999999993" customHeight="1" thickBot="1">
      <c r="A5" s="28"/>
      <c r="B5" s="29"/>
      <c r="C5" s="29"/>
      <c r="D5" s="29"/>
      <c r="E5" s="29"/>
      <c r="F5" s="319"/>
      <c r="G5" s="31"/>
      <c r="Q5" s="138"/>
    </row>
    <row r="6" spans="1:17" ht="25.5">
      <c r="A6" s="7"/>
      <c r="B6" s="67" t="s">
        <v>89</v>
      </c>
      <c r="C6" s="242" t="s">
        <v>759</v>
      </c>
      <c r="D6" s="15"/>
      <c r="E6" s="15"/>
      <c r="F6" s="92">
        <f>Datenquelle!AI7</f>
        <v>0.03</v>
      </c>
      <c r="G6" s="8"/>
      <c r="J6" s="63"/>
    </row>
    <row r="7" spans="1:17" ht="69.75" customHeight="1">
      <c r="A7" s="7"/>
      <c r="B7" s="67"/>
      <c r="C7" s="16" t="s">
        <v>760</v>
      </c>
      <c r="D7" s="59"/>
      <c r="E7" s="125" t="s">
        <v>614</v>
      </c>
      <c r="F7" s="94">
        <f>Datenquelle!AK7</f>
        <v>0</v>
      </c>
      <c r="G7" s="113"/>
      <c r="J7" s="43"/>
      <c r="Q7" s="137" t="s">
        <v>698</v>
      </c>
    </row>
    <row r="8" spans="1:17" ht="27.75" customHeight="1">
      <c r="A8" s="86"/>
      <c r="B8" s="81"/>
      <c r="C8" s="82" t="s">
        <v>761</v>
      </c>
      <c r="D8" s="83"/>
      <c r="E8" s="83"/>
      <c r="F8" s="157" t="str">
        <f>VLOOKUP(Datenquelle!AJ7,Datenquelle!$AN$5:$AP$13,3,FALSE)</f>
        <v>NB</v>
      </c>
      <c r="G8" s="87"/>
    </row>
    <row r="9" spans="1:17" ht="25.5">
      <c r="A9" s="84"/>
      <c r="B9" s="218" t="s">
        <v>100</v>
      </c>
      <c r="C9" s="79" t="s">
        <v>762</v>
      </c>
      <c r="D9" s="80"/>
      <c r="E9" s="80"/>
      <c r="F9" s="92">
        <f>Datenquelle!AI8</f>
        <v>2.5999999999999999E-2</v>
      </c>
      <c r="G9" s="85"/>
      <c r="J9" s="63"/>
    </row>
    <row r="10" spans="1:17" ht="55.5" customHeight="1">
      <c r="A10" s="7"/>
      <c r="B10" s="67"/>
      <c r="C10" s="16" t="s">
        <v>763</v>
      </c>
      <c r="D10" s="59"/>
      <c r="E10" s="125" t="s">
        <v>614</v>
      </c>
      <c r="F10" s="94">
        <f>Datenquelle!AK8</f>
        <v>0</v>
      </c>
      <c r="G10" s="151"/>
      <c r="J10" s="43"/>
      <c r="Q10" s="137" t="s">
        <v>623</v>
      </c>
    </row>
    <row r="11" spans="1:17" ht="22.5">
      <c r="A11" s="86"/>
      <c r="B11" s="81"/>
      <c r="C11" s="82" t="s">
        <v>764</v>
      </c>
      <c r="D11" s="83"/>
      <c r="E11" s="83"/>
      <c r="F11" s="157" t="str">
        <f>VLOOKUP(Datenquelle!AJ8,Datenquelle!$AN$5:$AP$13,3,FALSE)</f>
        <v>NB</v>
      </c>
      <c r="G11" s="87"/>
    </row>
    <row r="12" spans="1:17" ht="25.5">
      <c r="A12" s="84"/>
      <c r="B12" s="218" t="s">
        <v>111</v>
      </c>
      <c r="C12" s="79" t="s">
        <v>765</v>
      </c>
      <c r="D12" s="80"/>
      <c r="E12" s="80"/>
      <c r="F12" s="92">
        <f>Datenquelle!AI9</f>
        <v>3.4000000000000002E-2</v>
      </c>
      <c r="G12" s="85"/>
      <c r="J12" s="63"/>
    </row>
    <row r="13" spans="1:17" ht="35.25">
      <c r="A13" s="7"/>
      <c r="B13" s="67"/>
      <c r="C13" s="16" t="s">
        <v>766</v>
      </c>
      <c r="D13" s="59"/>
      <c r="E13" s="125" t="s">
        <v>614</v>
      </c>
      <c r="F13" s="94">
        <f>Datenquelle!AK9</f>
        <v>0</v>
      </c>
      <c r="G13" s="8"/>
      <c r="J13" s="43"/>
      <c r="Q13" s="137" t="s">
        <v>627</v>
      </c>
    </row>
    <row r="14" spans="1:17" ht="27" customHeight="1">
      <c r="A14" s="86"/>
      <c r="B14" s="81"/>
      <c r="C14" s="82" t="s">
        <v>767</v>
      </c>
      <c r="D14" s="83"/>
      <c r="E14" s="83"/>
      <c r="F14" s="157" t="str">
        <f>VLOOKUP(Datenquelle!AJ9,Datenquelle!$AN$5:$AP$13,3,FALSE)</f>
        <v>NB</v>
      </c>
      <c r="G14" s="87"/>
    </row>
    <row r="15" spans="1:17" ht="25.5">
      <c r="A15" s="84"/>
      <c r="B15" s="218" t="s">
        <v>122</v>
      </c>
      <c r="C15" s="79" t="s">
        <v>768</v>
      </c>
      <c r="D15" s="80"/>
      <c r="E15" s="80"/>
      <c r="F15" s="92">
        <f>Datenquelle!AI10</f>
        <v>0.02</v>
      </c>
      <c r="G15" s="85"/>
      <c r="J15" s="63"/>
    </row>
    <row r="16" spans="1:17" ht="35.25">
      <c r="A16" s="7"/>
      <c r="B16" s="67"/>
      <c r="C16" s="16" t="s">
        <v>769</v>
      </c>
      <c r="D16" s="59"/>
      <c r="E16" s="125" t="s">
        <v>614</v>
      </c>
      <c r="F16" s="94">
        <f>Datenquelle!AK10</f>
        <v>0</v>
      </c>
      <c r="G16" s="8"/>
      <c r="J16" s="43"/>
      <c r="Q16" s="137" t="s">
        <v>631</v>
      </c>
    </row>
    <row r="17" spans="1:17" ht="28.5" customHeight="1">
      <c r="A17" s="86"/>
      <c r="B17" s="81"/>
      <c r="C17" s="82" t="s">
        <v>770</v>
      </c>
      <c r="D17" s="83"/>
      <c r="E17" s="83"/>
      <c r="F17" s="157" t="str">
        <f>VLOOKUP(Datenquelle!AJ10,Datenquelle!$AN$5:$AP$13,3,FALSE)</f>
        <v>NB</v>
      </c>
      <c r="G17" s="87"/>
    </row>
    <row r="18" spans="1:17" ht="25.5">
      <c r="A18" s="84"/>
      <c r="B18" s="218" t="s">
        <v>133</v>
      </c>
      <c r="C18" s="79" t="s">
        <v>771</v>
      </c>
      <c r="D18" s="80"/>
      <c r="E18" s="80"/>
      <c r="F18" s="92">
        <f>Datenquelle!AI11</f>
        <v>2.1000000000000001E-2</v>
      </c>
      <c r="G18" s="85"/>
      <c r="J18" s="63"/>
    </row>
    <row r="19" spans="1:17" ht="35.25">
      <c r="A19" s="7"/>
      <c r="B19" s="67"/>
      <c r="C19" s="16" t="s">
        <v>772</v>
      </c>
      <c r="D19" s="59"/>
      <c r="E19" s="125" t="s">
        <v>614</v>
      </c>
      <c r="F19" s="94">
        <f>Datenquelle!AK11</f>
        <v>0</v>
      </c>
      <c r="G19" s="8"/>
      <c r="J19" s="43"/>
      <c r="Q19" s="137" t="s">
        <v>639</v>
      </c>
    </row>
    <row r="20" spans="1:17" ht="27" customHeight="1">
      <c r="A20" s="86"/>
      <c r="B20" s="81"/>
      <c r="C20" s="82" t="s">
        <v>773</v>
      </c>
      <c r="D20" s="83"/>
      <c r="E20" s="83"/>
      <c r="F20" s="157" t="str">
        <f>VLOOKUP(Datenquelle!AJ11,Datenquelle!$AN$5:$AP$13,3,FALSE)</f>
        <v>NB</v>
      </c>
      <c r="G20" s="87"/>
    </row>
    <row r="21" spans="1:17" ht="25.5">
      <c r="A21" s="84"/>
      <c r="B21" s="218" t="s">
        <v>142</v>
      </c>
      <c r="C21" s="79" t="s">
        <v>774</v>
      </c>
      <c r="D21" s="80"/>
      <c r="E21" s="80"/>
      <c r="F21" s="92">
        <f>Datenquelle!AI12</f>
        <v>2.9000000000000001E-2</v>
      </c>
      <c r="G21" s="85"/>
      <c r="J21" s="63"/>
    </row>
    <row r="22" spans="1:17" ht="45.75">
      <c r="A22" s="7"/>
      <c r="B22" s="67"/>
      <c r="C22" s="16" t="s">
        <v>775</v>
      </c>
      <c r="D22" s="59"/>
      <c r="E22" s="125" t="s">
        <v>614</v>
      </c>
      <c r="F22" s="94">
        <f>Datenquelle!AK12</f>
        <v>0</v>
      </c>
      <c r="G22" s="113"/>
      <c r="J22" s="43"/>
      <c r="Q22" s="137" t="s">
        <v>776</v>
      </c>
    </row>
    <row r="23" spans="1:17" ht="20.25" customHeight="1" thickBot="1">
      <c r="A23" s="86"/>
      <c r="B23" s="81"/>
      <c r="C23" s="82" t="s">
        <v>777</v>
      </c>
      <c r="D23" s="83"/>
      <c r="E23" s="83"/>
      <c r="F23" s="157" t="str">
        <f>VLOOKUP(Datenquelle!AJ12,Datenquelle!$AN$5:$AP$13,3,FALSE)</f>
        <v>NB</v>
      </c>
      <c r="G23" s="87"/>
    </row>
    <row r="24" spans="1:17" ht="24" thickBot="1">
      <c r="A24" s="313" t="str">
        <f>IF(COUNTIF(Datenquelle!AJ7:AJ12,6)&lt;=Max_Nichtantworten,"",CONCATENATE("Module currently not assessable! ",COUNTIF(Datenquelle!AJ7:AJ12,6)," of ",Datenquelle!AJ6, " questions have not been rated yet." ))</f>
        <v>Module currently not assessable! 6 of 6 questions have not been rated yet.</v>
      </c>
      <c r="B24" s="314"/>
      <c r="C24" s="314"/>
      <c r="D24" s="314"/>
      <c r="E24" s="314"/>
      <c r="F24" s="314"/>
      <c r="G24" s="315"/>
      <c r="J24" s="64"/>
    </row>
    <row r="25" spans="1:17" ht="27.75">
      <c r="A25" s="69"/>
      <c r="B25" s="70"/>
      <c r="C25" s="332" t="s">
        <v>778</v>
      </c>
      <c r="D25" s="332"/>
      <c r="E25" s="332"/>
      <c r="F25" s="71">
        <f>IF(AND(Datenquelle!AJ5&lt;&gt;0, COUNTIF(Datenquelle!AJ7:AJ12,6)&lt;=Max_Nichtantworten),Datenquelle!AK5/Datenquelle!AJ5*Datenquelle!AI5,0)</f>
        <v>0</v>
      </c>
      <c r="G25" s="72"/>
      <c r="J25" s="68"/>
    </row>
    <row r="26" spans="1:17" ht="16.5">
      <c r="A26" s="69"/>
      <c r="B26" s="70"/>
      <c r="C26" s="73" t="str">
        <f>CONCATENATE("Maximum: ",ROUND(Datenquelle!AI5*100,2), "%")</f>
        <v>Maximum: 16%</v>
      </c>
      <c r="D26" s="70"/>
      <c r="E26" s="70"/>
      <c r="F26" s="70"/>
      <c r="G26" s="72"/>
    </row>
    <row r="27" spans="1:17" ht="13.5" thickBot="1">
      <c r="A27" s="74"/>
      <c r="B27" s="75"/>
      <c r="C27" s="76"/>
      <c r="D27" s="75"/>
      <c r="E27" s="75"/>
      <c r="F27" s="75"/>
      <c r="G27" s="77"/>
    </row>
    <row r="28" spans="1:17" ht="18">
      <c r="E28" s="168"/>
    </row>
    <row r="31" spans="1:17" ht="18">
      <c r="E31" s="168"/>
    </row>
    <row r="34" spans="5:5" ht="18">
      <c r="E34" s="168"/>
    </row>
    <row r="52" spans="5:5" ht="18">
      <c r="E52" s="168"/>
    </row>
    <row r="112" spans="5:5" ht="18">
      <c r="E112" s="168" t="s">
        <v>614</v>
      </c>
    </row>
    <row r="115" spans="5:5" ht="18">
      <c r="E115" s="168" t="s">
        <v>614</v>
      </c>
    </row>
  </sheetData>
  <sheetProtection sheet="1" objects="1" scenarios="1"/>
  <mergeCells count="8">
    <mergeCell ref="C25:E25"/>
    <mergeCell ref="A24:G24"/>
    <mergeCell ref="A1:G1"/>
    <mergeCell ref="F2:F3"/>
    <mergeCell ref="B3:B4"/>
    <mergeCell ref="C3:C4"/>
    <mergeCell ref="D3:D4"/>
    <mergeCell ref="F4:F5"/>
  </mergeCells>
  <conditionalFormatting sqref="F6:F8">
    <cfRule type="expression" dxfId="23" priority="35">
      <formula>OR($F$8=$G$2, RIGHT($F$8,1)=$G$2)</formula>
    </cfRule>
    <cfRule type="expression" dxfId="22" priority="36">
      <formula>OR($F$8=$G$3, RIGHT($F$8,1)=$G$3)</formula>
    </cfRule>
    <cfRule type="expression" dxfId="21" priority="37">
      <formula>OR($F$8=$G$4, RIGHT($F$8,1)=$G$4)</formula>
    </cfRule>
  </conditionalFormatting>
  <conditionalFormatting sqref="F9:F11">
    <cfRule type="expression" dxfId="20" priority="41">
      <formula>OR($F$11=$G$2, RIGHT($F$11,1)=$G$2)</formula>
    </cfRule>
    <cfRule type="expression" dxfId="19" priority="42">
      <formula>OR($F$11=$G$3, RIGHT($F$11,1)=$G$3)</formula>
    </cfRule>
    <cfRule type="expression" dxfId="18" priority="43">
      <formula>OR($F$11=$G$4, RIGHT($F$11,1)=$G$4)</formula>
    </cfRule>
  </conditionalFormatting>
  <conditionalFormatting sqref="F12:F14">
    <cfRule type="expression" dxfId="17" priority="44">
      <formula>OR($F$14=$G$2, RIGHT($F$14,1)=$G$2)</formula>
    </cfRule>
    <cfRule type="expression" dxfId="16" priority="45">
      <formula>OR($F$14=$G$3, RIGHT($F$14,1)=$G$3)</formula>
    </cfRule>
    <cfRule type="expression" dxfId="15" priority="46">
      <formula>OR($F$14=$G$4, RIGHT($F$14,1)=$G$4)</formula>
    </cfRule>
  </conditionalFormatting>
  <conditionalFormatting sqref="F15:F17">
    <cfRule type="expression" dxfId="14" priority="47">
      <formula>OR($F$17=$G$2, RIGHT($F$17,1)=$G$2)</formula>
    </cfRule>
    <cfRule type="expression" dxfId="13" priority="48">
      <formula>OR($F$17=$G$3, RIGHT($F$17,1)=$G$3)</formula>
    </cfRule>
    <cfRule type="expression" dxfId="12" priority="49">
      <formula>OR($F$17=$G$4, RIGHT($F$17,1)=$G$4)</formula>
    </cfRule>
  </conditionalFormatting>
  <conditionalFormatting sqref="F18:F20">
    <cfRule type="expression" dxfId="11" priority="50">
      <formula>OR($F$20=$G$2, RIGHT($F$20,1)=$G$2)</formula>
    </cfRule>
    <cfRule type="expression" dxfId="10" priority="51">
      <formula>OR($F$20=$G$3, RIGHT($F$20,1)=$G$3)</formula>
    </cfRule>
    <cfRule type="expression" dxfId="9" priority="52">
      <formula>OR($F$20=$G$4, RIGHT($F$20,1)=$G$4)</formula>
    </cfRule>
  </conditionalFormatting>
  <conditionalFormatting sqref="F21:F23">
    <cfRule type="expression" dxfId="8" priority="53">
      <formula>OR($F$23=$G$2, RIGHT($F$23,1)=$G$2)</formula>
    </cfRule>
    <cfRule type="expression" dxfId="7" priority="54">
      <formula>OR($F$23=$G$3, RIGHT($F$23,1)=$G$3)</formula>
    </cfRule>
    <cfRule type="expression" dxfId="6" priority="55">
      <formula>OR($F$23=$G$4, RIGHT($F$23,1)=$G$4)</formula>
    </cfRule>
  </conditionalFormatting>
  <hyperlinks>
    <hyperlink ref="E7" location="'Remarks'!E54" display="»" xr:uid="{00000000-0004-0000-0900-000000000000}"/>
    <hyperlink ref="E112" location="'Anmerkungen'!E33" display="»" xr:uid="{00000000-0004-0000-0900-000001000000}"/>
    <hyperlink ref="E115" location="'Anmerkungen'!E34" display="»" xr:uid="{00000000-0004-0000-0900-000002000000}"/>
    <hyperlink ref="E10" location="'Remarks'!E55" display="»" xr:uid="{00000000-0004-0000-0900-000003000000}"/>
    <hyperlink ref="E13" location="'Remarks'!E56" display="»" xr:uid="{00000000-0004-0000-0900-000004000000}"/>
    <hyperlink ref="E16" location="'Remarks'!E57" display="»" xr:uid="{00000000-0004-0000-0900-000005000000}"/>
    <hyperlink ref="E19" location="'Remarks'!E58" display="»" xr:uid="{00000000-0004-0000-0900-000006000000}"/>
    <hyperlink ref="E22" location="'Remarks'!E59" display="»" xr:uid="{00000000-0004-0000-0900-000007000000}"/>
  </hyperlinks>
  <printOptions horizontalCentered="1"/>
  <pageMargins left="0.70866141732283472" right="0.70866141732283472" top="0.9055118110236221" bottom="0.78740157480314965" header="0.31496062992125984" footer="0.31496062992125984"/>
  <pageSetup paperSize="9" scale="76" orientation="portrait" r:id="rId1"/>
  <headerFooter>
    <oddHeader>&amp;L&amp;"Audi Type,Fett"Logistic process inspection&amp;"Audi Type,Standard"
&amp;A</oddHeader>
    <oddFooter>&amp;L&amp;"Audi Type,Standard"&amp;8&amp;F&amp;C&amp;"Audi Type,Standard"&amp;8&amp;P von &amp;N&amp;R&amp;"Audi Type,Standard"&amp;8Audi AG - &amp;D</oddFooter>
  </headerFooter>
  <ignoredErrors>
    <ignoredError sqref="B7:B8" twoDigitTextYear="1"/>
    <ignoredError sqref="F2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4104" r:id="rId4" name="Drop Down 8">
              <controlPr defaultSize="0" autoLine="0" autoPict="0">
                <anchor moveWithCells="1">
                  <from>
                    <xdr:col>3</xdr:col>
                    <xdr:colOff>104775</xdr:colOff>
                    <xdr:row>6</xdr:row>
                    <xdr:rowOff>66675</xdr:rowOff>
                  </from>
                  <to>
                    <xdr:col>3</xdr:col>
                    <xdr:colOff>1362075</xdr:colOff>
                    <xdr:row>6</xdr:row>
                    <xdr:rowOff>285750</xdr:rowOff>
                  </to>
                </anchor>
              </controlPr>
            </control>
          </mc:Choice>
        </mc:AlternateContent>
        <mc:AlternateContent xmlns:mc="http://schemas.openxmlformats.org/markup-compatibility/2006">
          <mc:Choice Requires="x14">
            <control shapeId="4115" r:id="rId5" name="Drop Down 19">
              <controlPr defaultSize="0" autoLine="0" autoPict="0">
                <anchor moveWithCells="1">
                  <from>
                    <xdr:col>3</xdr:col>
                    <xdr:colOff>104775</xdr:colOff>
                    <xdr:row>9</xdr:row>
                    <xdr:rowOff>85725</xdr:rowOff>
                  </from>
                  <to>
                    <xdr:col>3</xdr:col>
                    <xdr:colOff>1362075</xdr:colOff>
                    <xdr:row>9</xdr:row>
                    <xdr:rowOff>304800</xdr:rowOff>
                  </to>
                </anchor>
              </controlPr>
            </control>
          </mc:Choice>
        </mc:AlternateContent>
        <mc:AlternateContent xmlns:mc="http://schemas.openxmlformats.org/markup-compatibility/2006">
          <mc:Choice Requires="x14">
            <control shapeId="4116" r:id="rId6" name="Drop Down 20">
              <controlPr defaultSize="0" autoLine="0" autoPict="0">
                <anchor moveWithCells="1">
                  <from>
                    <xdr:col>3</xdr:col>
                    <xdr:colOff>104775</xdr:colOff>
                    <xdr:row>12</xdr:row>
                    <xdr:rowOff>85725</xdr:rowOff>
                  </from>
                  <to>
                    <xdr:col>3</xdr:col>
                    <xdr:colOff>1362075</xdr:colOff>
                    <xdr:row>12</xdr:row>
                    <xdr:rowOff>304800</xdr:rowOff>
                  </to>
                </anchor>
              </controlPr>
            </control>
          </mc:Choice>
        </mc:AlternateContent>
        <mc:AlternateContent xmlns:mc="http://schemas.openxmlformats.org/markup-compatibility/2006">
          <mc:Choice Requires="x14">
            <control shapeId="4117" r:id="rId7" name="Drop Down 21">
              <controlPr defaultSize="0" autoLine="0" autoPict="0">
                <anchor moveWithCells="1">
                  <from>
                    <xdr:col>3</xdr:col>
                    <xdr:colOff>104775</xdr:colOff>
                    <xdr:row>15</xdr:row>
                    <xdr:rowOff>95250</xdr:rowOff>
                  </from>
                  <to>
                    <xdr:col>3</xdr:col>
                    <xdr:colOff>1362075</xdr:colOff>
                    <xdr:row>15</xdr:row>
                    <xdr:rowOff>314325</xdr:rowOff>
                  </to>
                </anchor>
              </controlPr>
            </control>
          </mc:Choice>
        </mc:AlternateContent>
        <mc:AlternateContent xmlns:mc="http://schemas.openxmlformats.org/markup-compatibility/2006">
          <mc:Choice Requires="x14">
            <control shapeId="4119" r:id="rId8" name="Drop Down 23">
              <controlPr defaultSize="0" autoLine="0" autoPict="0">
                <anchor moveWithCells="1">
                  <from>
                    <xdr:col>3</xdr:col>
                    <xdr:colOff>104775</xdr:colOff>
                    <xdr:row>18</xdr:row>
                    <xdr:rowOff>104775</xdr:rowOff>
                  </from>
                  <to>
                    <xdr:col>3</xdr:col>
                    <xdr:colOff>1362075</xdr:colOff>
                    <xdr:row>18</xdr:row>
                    <xdr:rowOff>323850</xdr:rowOff>
                  </to>
                </anchor>
              </controlPr>
            </control>
          </mc:Choice>
        </mc:AlternateContent>
        <mc:AlternateContent xmlns:mc="http://schemas.openxmlformats.org/markup-compatibility/2006">
          <mc:Choice Requires="x14">
            <control shapeId="4120" r:id="rId9" name="Drop Down 24">
              <controlPr defaultSize="0" autoLine="0" autoPict="0">
                <anchor moveWithCells="1">
                  <from>
                    <xdr:col>3</xdr:col>
                    <xdr:colOff>104775</xdr:colOff>
                    <xdr:row>21</xdr:row>
                    <xdr:rowOff>104775</xdr:rowOff>
                  </from>
                  <to>
                    <xdr:col>3</xdr:col>
                    <xdr:colOff>1362075</xdr:colOff>
                    <xdr:row>21</xdr:row>
                    <xdr:rowOff>323850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12">
    <outlinePr summaryRight="0"/>
    <pageSetUpPr fitToPage="1"/>
  </sheetPr>
  <dimension ref="A1:J60"/>
  <sheetViews>
    <sheetView zoomScaleNormal="100" workbookViewId="0">
      <selection activeCell="E6" sqref="E6:E12"/>
    </sheetView>
  </sheetViews>
  <sheetFormatPr defaultColWidth="11" defaultRowHeight="15" outlineLevelCol="1"/>
  <cols>
    <col min="1" max="1" width="2.625" style="97" customWidth="1"/>
    <col min="2" max="2" width="12.375" style="182" bestFit="1" customWidth="1"/>
    <col min="3" max="3" width="42" style="97" customWidth="1" outlineLevel="1"/>
    <col min="4" max="4" width="6.875" style="97" bestFit="1" customWidth="1"/>
    <col min="5" max="5" width="63.375" style="97" customWidth="1"/>
    <col min="6" max="7" width="2.625" style="97" customWidth="1"/>
    <col min="8" max="16384" width="11" style="97"/>
  </cols>
  <sheetData>
    <row r="1" spans="1:10" ht="36" thickBot="1">
      <c r="A1" s="254" t="s">
        <v>779</v>
      </c>
      <c r="B1" s="254"/>
      <c r="C1" s="254"/>
      <c r="D1" s="254"/>
      <c r="E1" s="254"/>
      <c r="F1" s="254"/>
      <c r="G1" s="254"/>
      <c r="H1" s="347"/>
      <c r="I1" s="347"/>
      <c r="J1" s="43"/>
    </row>
    <row r="2" spans="1:10" s="22" customFormat="1" ht="8.25">
      <c r="A2" s="48"/>
      <c r="B2" s="178"/>
      <c r="C2" s="49"/>
      <c r="D2" s="49"/>
      <c r="E2" s="49"/>
      <c r="F2" s="49"/>
      <c r="G2" s="50"/>
    </row>
    <row r="3" spans="1:10" ht="16.5">
      <c r="A3" s="348"/>
      <c r="B3" s="179" t="s">
        <v>608</v>
      </c>
      <c r="C3" s="99" t="s">
        <v>780</v>
      </c>
      <c r="D3" s="99" t="s">
        <v>610</v>
      </c>
      <c r="E3" s="99" t="s">
        <v>781</v>
      </c>
      <c r="F3" s="347"/>
      <c r="G3" s="349"/>
      <c r="H3" s="347"/>
      <c r="I3" s="347"/>
      <c r="J3" s="347"/>
    </row>
    <row r="4" spans="1:10" s="22" customFormat="1" ht="9" thickBot="1">
      <c r="A4" s="28"/>
      <c r="B4" s="180"/>
      <c r="C4" s="29"/>
      <c r="D4" s="29"/>
      <c r="E4" s="29"/>
      <c r="F4" s="29"/>
      <c r="G4" s="31"/>
    </row>
    <row r="5" spans="1:10" ht="18.75">
      <c r="A5" s="350"/>
      <c r="B5" s="335" t="str">
        <f>'(1) Projectmanagement'!A1</f>
        <v>Module 1 - Project Management</v>
      </c>
      <c r="C5" s="335"/>
      <c r="D5" s="101"/>
      <c r="E5" s="101"/>
      <c r="F5" s="351"/>
      <c r="G5" s="352"/>
      <c r="H5" s="347"/>
      <c r="I5" s="347"/>
      <c r="J5" s="98"/>
    </row>
    <row r="6" spans="1:10" ht="18">
      <c r="A6" s="348"/>
      <c r="B6" s="353" t="s">
        <v>83</v>
      </c>
      <c r="C6" s="354" t="str">
        <f>'(1) Projectmanagement'!C6</f>
        <v>Resource planning in the project</v>
      </c>
      <c r="D6" s="355" t="str">
        <f>'(1) Projectmanagement'!F8</f>
        <v>NB</v>
      </c>
      <c r="E6" s="356"/>
      <c r="F6" s="123" t="s">
        <v>782</v>
      </c>
      <c r="G6" s="122"/>
      <c r="H6" s="347"/>
      <c r="I6" s="347"/>
      <c r="J6" s="347"/>
    </row>
    <row r="7" spans="1:10" ht="18">
      <c r="A7" s="348"/>
      <c r="B7" s="252" t="s">
        <v>94</v>
      </c>
      <c r="C7" s="357" t="str">
        <f>'(1) Projectmanagement'!C9</f>
        <v>Organised project management</v>
      </c>
      <c r="D7" s="358" t="str">
        <f>'(1) Projectmanagement'!F11</f>
        <v>NB</v>
      </c>
      <c r="E7" s="356"/>
      <c r="F7" s="123" t="s">
        <v>782</v>
      </c>
      <c r="G7" s="122"/>
      <c r="H7" s="347"/>
      <c r="I7" s="347"/>
      <c r="J7" s="347"/>
    </row>
    <row r="8" spans="1:10" ht="18">
      <c r="A8" s="348"/>
      <c r="B8" s="252" t="s">
        <v>105</v>
      </c>
      <c r="C8" s="357" t="str">
        <f>'(1) Projectmanagement'!C12</f>
        <v>Crisis management in projects</v>
      </c>
      <c r="D8" s="358" t="str">
        <f>'(1) Projectmanagement'!F14</f>
        <v>NB</v>
      </c>
      <c r="E8" s="356"/>
      <c r="F8" s="123" t="s">
        <v>782</v>
      </c>
      <c r="G8" s="122"/>
      <c r="H8" s="347"/>
      <c r="I8" s="347"/>
      <c r="J8" s="347"/>
    </row>
    <row r="9" spans="1:10" ht="18">
      <c r="A9" s="348"/>
      <c r="B9" s="252" t="s">
        <v>116</v>
      </c>
      <c r="C9" s="357" t="str">
        <f>'(1) Projectmanagement'!C15</f>
        <v>Qualification level of employees</v>
      </c>
      <c r="D9" s="358" t="str">
        <f>'(1) Projectmanagement'!F17</f>
        <v>NB</v>
      </c>
      <c r="E9" s="356"/>
      <c r="F9" s="123" t="s">
        <v>782</v>
      </c>
      <c r="G9" s="122"/>
      <c r="H9" s="347"/>
      <c r="I9" s="347"/>
      <c r="J9" s="347"/>
    </row>
    <row r="10" spans="1:10" ht="18">
      <c r="A10" s="348"/>
      <c r="B10" s="252" t="s">
        <v>127</v>
      </c>
      <c r="C10" s="357" t="str">
        <f>'(1) Projectmanagement'!C18</f>
        <v>Technical change management</v>
      </c>
      <c r="D10" s="358" t="str">
        <f>'(1) Projectmanagement'!F20</f>
        <v>NB</v>
      </c>
      <c r="E10" s="356"/>
      <c r="F10" s="123" t="s">
        <v>782</v>
      </c>
      <c r="G10" s="122"/>
      <c r="H10" s="347"/>
      <c r="I10" s="347"/>
      <c r="J10" s="347"/>
    </row>
    <row r="11" spans="1:10" ht="30">
      <c r="A11" s="348"/>
      <c r="B11" s="252" t="s">
        <v>138</v>
      </c>
      <c r="C11" s="357" t="str">
        <f>'(1) Projectmanagement'!C21</f>
        <v>Supplementary specifications for pre-series phase</v>
      </c>
      <c r="D11" s="358" t="str">
        <f>'(1) Projectmanagement'!F23</f>
        <v>NB</v>
      </c>
      <c r="E11" s="356"/>
      <c r="F11" s="123" t="s">
        <v>782</v>
      </c>
      <c r="G11" s="122"/>
      <c r="H11" s="347"/>
      <c r="I11" s="347"/>
      <c r="J11" s="347"/>
    </row>
    <row r="12" spans="1:10" ht="30">
      <c r="A12" s="348"/>
      <c r="B12" s="252" t="s">
        <v>145</v>
      </c>
      <c r="C12" s="357" t="str">
        <f>'(1) Projectmanagement'!C24</f>
        <v>Technical installed capacity (Nomination Letter)</v>
      </c>
      <c r="D12" s="358" t="str">
        <f>'(1) Projectmanagement'!F26</f>
        <v>NB</v>
      </c>
      <c r="E12" s="356"/>
      <c r="F12" s="123" t="s">
        <v>782</v>
      </c>
      <c r="G12" s="122"/>
      <c r="H12" s="347"/>
      <c r="I12" s="347"/>
      <c r="J12" s="347"/>
    </row>
    <row r="13" spans="1:10" s="22" customFormat="1" ht="8.25">
      <c r="A13" s="104"/>
      <c r="B13" s="181"/>
      <c r="C13" s="105"/>
      <c r="D13" s="105"/>
      <c r="E13" s="160"/>
      <c r="F13" s="105"/>
      <c r="G13" s="106"/>
    </row>
    <row r="14" spans="1:10" ht="18.75">
      <c r="A14" s="348"/>
      <c r="B14" s="334" t="str">
        <f>'(2) Order admin &amp; planning'!A1</f>
        <v>Module 2 - Order administration, production- and shipment planning</v>
      </c>
      <c r="C14" s="334"/>
      <c r="D14" s="102"/>
      <c r="E14" s="161"/>
      <c r="F14" s="359"/>
      <c r="G14" s="349"/>
      <c r="H14" s="347"/>
      <c r="I14" s="347"/>
      <c r="J14" s="98"/>
    </row>
    <row r="15" spans="1:10" ht="18">
      <c r="A15" s="348"/>
      <c r="B15" s="353" t="s">
        <v>84</v>
      </c>
      <c r="C15" s="354" t="str">
        <f>'(2) Order admin &amp; planning'!C6</f>
        <v>Order administration</v>
      </c>
      <c r="D15" s="355" t="str">
        <f>'(2) Order admin &amp; planning'!F8</f>
        <v>NB</v>
      </c>
      <c r="E15" s="356"/>
      <c r="F15" s="123" t="s">
        <v>782</v>
      </c>
      <c r="G15" s="122"/>
      <c r="H15" s="347"/>
      <c r="I15" s="347"/>
      <c r="J15" s="347"/>
    </row>
    <row r="16" spans="1:10" ht="18">
      <c r="A16" s="348"/>
      <c r="B16" s="252" t="s">
        <v>95</v>
      </c>
      <c r="C16" s="354" t="str">
        <f>'(2) Order admin &amp; planning'!C9</f>
        <v>Delivery status and backlogs</v>
      </c>
      <c r="D16" s="355" t="str">
        <f>'(2) Order admin &amp; planning'!F11</f>
        <v>NB</v>
      </c>
      <c r="E16" s="356"/>
      <c r="F16" s="123" t="s">
        <v>782</v>
      </c>
      <c r="G16" s="122"/>
      <c r="H16" s="347"/>
      <c r="I16" s="347"/>
      <c r="J16" s="347"/>
    </row>
    <row r="17" spans="1:10" ht="18">
      <c r="A17" s="348"/>
      <c r="B17" s="252" t="s">
        <v>106</v>
      </c>
      <c r="C17" s="354" t="str">
        <f>'(2) Order admin &amp; planning'!C12</f>
        <v xml:space="preserve">Production programme planning </v>
      </c>
      <c r="D17" s="355" t="str">
        <f>'(2) Order admin &amp; planning'!F14</f>
        <v>NB</v>
      </c>
      <c r="E17" s="356"/>
      <c r="F17" s="123" t="s">
        <v>782</v>
      </c>
      <c r="G17" s="122"/>
      <c r="H17" s="347"/>
      <c r="I17" s="347"/>
      <c r="J17" s="347"/>
    </row>
    <row r="18" spans="1:10" ht="18">
      <c r="A18" s="348"/>
      <c r="B18" s="252" t="s">
        <v>117</v>
      </c>
      <c r="C18" s="354" t="str">
        <f>'(2) Order admin &amp; planning'!C15</f>
        <v>shipment planning</v>
      </c>
      <c r="D18" s="355" t="str">
        <f>'(2) Order admin &amp; planning'!F17</f>
        <v>NB</v>
      </c>
      <c r="E18" s="360"/>
      <c r="F18" s="123" t="s">
        <v>782</v>
      </c>
      <c r="G18" s="122"/>
      <c r="H18" s="347"/>
      <c r="I18" s="347"/>
      <c r="J18" s="347"/>
    </row>
    <row r="19" spans="1:10" ht="18">
      <c r="A19" s="348"/>
      <c r="B19" s="252" t="s">
        <v>128</v>
      </c>
      <c r="C19" s="354" t="str">
        <f>'(2) Order admin &amp; planning'!C18</f>
        <v>Transport packaging planning</v>
      </c>
      <c r="D19" s="355" t="str">
        <f>'(2) Order admin &amp; planning'!F20</f>
        <v>NB</v>
      </c>
      <c r="E19" s="361"/>
      <c r="F19" s="124" t="s">
        <v>782</v>
      </c>
      <c r="G19" s="122"/>
      <c r="H19" s="347"/>
      <c r="I19" s="347"/>
      <c r="J19" s="347"/>
    </row>
    <row r="20" spans="1:10" s="22" customFormat="1" ht="8.25">
      <c r="A20" s="104"/>
      <c r="B20" s="181"/>
      <c r="C20" s="105"/>
      <c r="D20" s="105"/>
      <c r="E20" s="105"/>
      <c r="F20" s="105"/>
      <c r="G20" s="106"/>
    </row>
    <row r="21" spans="1:10" ht="18.75">
      <c r="A21" s="348"/>
      <c r="B21" s="334" t="str">
        <f>'(3) Basic mat., supplier, capa.'!A1</f>
        <v>Module 3 - Basic material, supplier and capacity management</v>
      </c>
      <c r="C21" s="334"/>
      <c r="D21" s="102"/>
      <c r="E21" s="161"/>
      <c r="F21" s="359"/>
      <c r="G21" s="349"/>
      <c r="H21" s="347"/>
      <c r="I21" s="347"/>
      <c r="J21" s="98"/>
    </row>
    <row r="22" spans="1:10" ht="18">
      <c r="A22" s="348"/>
      <c r="B22" s="353" t="s">
        <v>85</v>
      </c>
      <c r="C22" s="354" t="str">
        <f>'(3) Basic mat., supplier, capa.'!C6</f>
        <v xml:space="preserve">Input materials procurement and scheduling </v>
      </c>
      <c r="D22" s="355" t="str">
        <f>'(3) Basic mat., supplier, capa.'!F8</f>
        <v>NB</v>
      </c>
      <c r="E22" s="356"/>
      <c r="F22" s="123" t="s">
        <v>782</v>
      </c>
      <c r="G22" s="122"/>
      <c r="H22" s="347"/>
      <c r="I22" s="347"/>
      <c r="J22" s="347"/>
    </row>
    <row r="23" spans="1:10" ht="30">
      <c r="A23" s="348"/>
      <c r="B23" s="252" t="s">
        <v>96</v>
      </c>
      <c r="C23" s="357" t="str">
        <f>'(3) Basic mat., supplier, capa.'!C9</f>
        <v>Transmission of delivery call-offs to sub suppliers</v>
      </c>
      <c r="D23" s="358" t="str">
        <f>'(3) Basic mat., supplier, capa.'!F11</f>
        <v>NB</v>
      </c>
      <c r="E23" s="360"/>
      <c r="F23" s="123" t="s">
        <v>782</v>
      </c>
      <c r="G23" s="122"/>
      <c r="H23" s="347"/>
      <c r="I23" s="347"/>
      <c r="J23" s="347"/>
    </row>
    <row r="24" spans="1:10" ht="30">
      <c r="A24" s="348"/>
      <c r="B24" s="353" t="s">
        <v>107</v>
      </c>
      <c r="C24" s="357" t="str">
        <f>'(3) Basic mat., supplier, capa.'!C12</f>
        <v>Material range for raw, semi-fabricated and finished products</v>
      </c>
      <c r="D24" s="358" t="str">
        <f>'(3) Basic mat., supplier, capa.'!F14</f>
        <v>NB</v>
      </c>
      <c r="E24" s="360"/>
      <c r="F24" s="123" t="s">
        <v>782</v>
      </c>
      <c r="G24" s="122"/>
      <c r="H24" s="347"/>
      <c r="I24" s="347"/>
      <c r="J24" s="347"/>
    </row>
    <row r="25" spans="1:10" ht="30">
      <c r="A25" s="348"/>
      <c r="B25" s="252" t="s">
        <v>118</v>
      </c>
      <c r="C25" s="357" t="str">
        <f>'(3) Basic mat., supplier, capa.'!C15</f>
        <v>Emergency strategies in input material procurement</v>
      </c>
      <c r="D25" s="358" t="str">
        <f>'(3) Basic mat., supplier, capa.'!F17</f>
        <v>NB</v>
      </c>
      <c r="E25" s="360"/>
      <c r="F25" s="123" t="s">
        <v>782</v>
      </c>
      <c r="G25" s="122"/>
      <c r="H25" s="347"/>
      <c r="I25" s="347"/>
      <c r="J25" s="347"/>
    </row>
    <row r="26" spans="1:10" ht="18">
      <c r="A26" s="348"/>
      <c r="B26" s="362" t="s">
        <v>129</v>
      </c>
      <c r="C26" s="357" t="str">
        <f>'(3) Basic mat., supplier, capa.'!C18</f>
        <v>Supplier management</v>
      </c>
      <c r="D26" s="358" t="str">
        <f>'(3) Basic mat., supplier, capa.'!F20</f>
        <v>NB</v>
      </c>
      <c r="E26" s="360"/>
      <c r="F26" s="123" t="s">
        <v>782</v>
      </c>
      <c r="G26" s="122"/>
      <c r="H26" s="347"/>
      <c r="I26" s="347"/>
      <c r="J26" s="347"/>
    </row>
    <row r="27" spans="1:10" ht="30">
      <c r="A27" s="348"/>
      <c r="B27" s="252" t="s">
        <v>139</v>
      </c>
      <c r="C27" s="357" t="str">
        <f>'(3) Basic mat., supplier, capa.'!C21</f>
        <v>Short-/middle- and long-term capacity analysis (identification of bottlenecks)</v>
      </c>
      <c r="D27" s="358" t="str">
        <f>'(3) Basic mat., supplier, capa.'!F23</f>
        <v>NB</v>
      </c>
      <c r="E27" s="360"/>
      <c r="F27" s="123" t="s">
        <v>782</v>
      </c>
      <c r="G27" s="122"/>
      <c r="H27" s="347"/>
      <c r="I27" s="347"/>
      <c r="J27" s="347"/>
    </row>
    <row r="28" spans="1:10" s="22" customFormat="1" ht="8.25">
      <c r="A28" s="104"/>
      <c r="B28" s="181"/>
      <c r="C28" s="105"/>
      <c r="D28" s="105"/>
      <c r="E28" s="160"/>
      <c r="F28" s="105"/>
      <c r="G28" s="106"/>
    </row>
    <row r="29" spans="1:10" ht="18.75">
      <c r="A29" s="348"/>
      <c r="B29" s="334" t="str">
        <f>'(4) Goods receipt, warehouse'!A1</f>
        <v>Module 4 - Goods receipt and warehouse</v>
      </c>
      <c r="C29" s="334"/>
      <c r="D29" s="102"/>
      <c r="E29" s="161"/>
      <c r="F29" s="359"/>
      <c r="G29" s="349"/>
      <c r="H29" s="347"/>
      <c r="I29" s="347"/>
      <c r="J29" s="98"/>
    </row>
    <row r="30" spans="1:10" ht="18">
      <c r="A30" s="348"/>
      <c r="B30" s="353" t="s">
        <v>86</v>
      </c>
      <c r="C30" s="354" t="str">
        <f>'(4) Goods receipt, warehouse'!C6</f>
        <v>Goods receipt</v>
      </c>
      <c r="D30" s="355" t="str">
        <f>'(4) Goods receipt, warehouse'!F8</f>
        <v>NB</v>
      </c>
      <c r="E30" s="356"/>
      <c r="F30" s="123" t="s">
        <v>782</v>
      </c>
      <c r="G30" s="122"/>
      <c r="H30" s="347"/>
      <c r="I30" s="347"/>
      <c r="J30" s="347"/>
    </row>
    <row r="31" spans="1:10" ht="18">
      <c r="A31" s="348"/>
      <c r="B31" s="252" t="s">
        <v>97</v>
      </c>
      <c r="C31" s="354" t="str">
        <f>'(4) Goods receipt, warehouse'!C9</f>
        <v>Incoming goods inspection</v>
      </c>
      <c r="D31" s="355" t="str">
        <f>'(4) Goods receipt, warehouse'!F11</f>
        <v>NB</v>
      </c>
      <c r="E31" s="360"/>
      <c r="F31" s="123" t="s">
        <v>782</v>
      </c>
      <c r="G31" s="122"/>
      <c r="H31" s="347"/>
      <c r="I31" s="347"/>
      <c r="J31" s="347"/>
    </row>
    <row r="32" spans="1:10" ht="18">
      <c r="A32" s="348"/>
      <c r="B32" s="252" t="s">
        <v>108</v>
      </c>
      <c r="C32" s="354" t="str">
        <f>'(4) Goods receipt, warehouse'!C12</f>
        <v>Warehouse infrastructure</v>
      </c>
      <c r="D32" s="355" t="str">
        <f>'(4) Goods receipt, warehouse'!F14</f>
        <v>NB</v>
      </c>
      <c r="E32" s="360"/>
      <c r="F32" s="123" t="s">
        <v>782</v>
      </c>
      <c r="G32" s="122"/>
      <c r="H32" s="347"/>
      <c r="I32" s="347"/>
      <c r="J32" s="347"/>
    </row>
    <row r="33" spans="1:10" ht="18">
      <c r="A33" s="348"/>
      <c r="B33" s="252" t="s">
        <v>119</v>
      </c>
      <c r="C33" s="354" t="str">
        <f>'(4) Goods receipt, warehouse'!C15</f>
        <v>Warehouse management*</v>
      </c>
      <c r="D33" s="355" t="str">
        <f>'(4) Goods receipt, warehouse'!F17</f>
        <v>NB</v>
      </c>
      <c r="E33" s="360"/>
      <c r="F33" s="123" t="s">
        <v>782</v>
      </c>
      <c r="G33" s="122"/>
      <c r="H33" s="347"/>
      <c r="I33" s="347"/>
      <c r="J33" s="347"/>
    </row>
    <row r="34" spans="1:10" ht="18">
      <c r="A34" s="348"/>
      <c r="B34" s="252" t="s">
        <v>130</v>
      </c>
      <c r="C34" s="354" t="str">
        <f>'(4) Goods receipt, warehouse'!C18</f>
        <v xml:space="preserve">Capacity situation at the warehouse </v>
      </c>
      <c r="D34" s="355" t="str">
        <f>'(4) Goods receipt, warehouse'!F20</f>
        <v>NB</v>
      </c>
      <c r="E34" s="360"/>
      <c r="F34" s="123" t="s">
        <v>782</v>
      </c>
      <c r="G34" s="122"/>
      <c r="H34" s="347"/>
      <c r="I34" s="347"/>
      <c r="J34" s="347"/>
    </row>
    <row r="35" spans="1:10" ht="30">
      <c r="A35" s="348"/>
      <c r="B35" s="252" t="s">
        <v>140</v>
      </c>
      <c r="C35" s="354" t="str">
        <f>'(4) Goods receipt, warehouse'!C21</f>
        <v>Part handling respecting quality and part protection</v>
      </c>
      <c r="D35" s="355" t="str">
        <f>'(4) Goods receipt, warehouse'!F23</f>
        <v>NB</v>
      </c>
      <c r="E35" s="360"/>
      <c r="F35" s="123" t="s">
        <v>782</v>
      </c>
      <c r="G35" s="122"/>
      <c r="H35" s="347"/>
      <c r="I35" s="347"/>
      <c r="J35" s="347"/>
    </row>
    <row r="36" spans="1:10" ht="30">
      <c r="A36" s="348"/>
      <c r="B36" s="252" t="s">
        <v>146</v>
      </c>
      <c r="C36" s="354" t="str">
        <f>'(4) Goods receipt, warehouse'!C24</f>
        <v>Handling of non-conforming production goods</v>
      </c>
      <c r="D36" s="355" t="str">
        <f>'(4) Goods receipt, warehouse'!F26</f>
        <v>NB</v>
      </c>
      <c r="E36" s="360"/>
      <c r="F36" s="123" t="s">
        <v>782</v>
      </c>
      <c r="G36" s="122"/>
      <c r="H36" s="347"/>
      <c r="I36" s="347"/>
      <c r="J36" s="347"/>
    </row>
    <row r="37" spans="1:10" s="22" customFormat="1" ht="8.25">
      <c r="A37" s="104"/>
      <c r="B37" s="181"/>
      <c r="C37" s="105"/>
      <c r="D37" s="105"/>
      <c r="E37" s="160"/>
      <c r="F37" s="105"/>
      <c r="G37" s="106"/>
    </row>
    <row r="38" spans="1:10" ht="18.75">
      <c r="A38" s="348"/>
      <c r="B38" s="334" t="str">
        <f>'(5) Production'!A1</f>
        <v>Module 5 - Production</v>
      </c>
      <c r="C38" s="334"/>
      <c r="D38" s="102"/>
      <c r="E38" s="161"/>
      <c r="F38" s="359"/>
      <c r="G38" s="349"/>
      <c r="H38" s="347"/>
      <c r="I38" s="347"/>
      <c r="J38" s="98"/>
    </row>
    <row r="39" spans="1:10" ht="18">
      <c r="A39" s="348"/>
      <c r="B39" s="353" t="s">
        <v>87</v>
      </c>
      <c r="C39" s="354" t="str">
        <f>'(5) Production'!C6</f>
        <v>Organization of production</v>
      </c>
      <c r="D39" s="355" t="str">
        <f>'(5) Production'!F8</f>
        <v>NB</v>
      </c>
      <c r="E39" s="356"/>
      <c r="F39" s="123" t="s">
        <v>782</v>
      </c>
      <c r="G39" s="122"/>
      <c r="H39" s="347"/>
      <c r="I39" s="347"/>
      <c r="J39" s="347"/>
    </row>
    <row r="40" spans="1:10" ht="18">
      <c r="A40" s="348"/>
      <c r="B40" s="252" t="s">
        <v>98</v>
      </c>
      <c r="C40" s="354" t="str">
        <f>'(5) Production'!C9</f>
        <v>Production control</v>
      </c>
      <c r="D40" s="355" t="str">
        <f>'(5) Production'!F11</f>
        <v>NB</v>
      </c>
      <c r="E40" s="360"/>
      <c r="F40" s="123" t="s">
        <v>782</v>
      </c>
      <c r="G40" s="122"/>
      <c r="H40" s="347"/>
      <c r="I40" s="347"/>
      <c r="J40" s="347"/>
    </row>
    <row r="41" spans="1:10" ht="18">
      <c r="A41" s="348"/>
      <c r="B41" s="362" t="s">
        <v>109</v>
      </c>
      <c r="C41" s="354" t="str">
        <f>'(5) Production'!C12</f>
        <v>Occupational safety and ergonomics</v>
      </c>
      <c r="D41" s="355" t="str">
        <f>'(5) Production'!F14</f>
        <v>NB</v>
      </c>
      <c r="E41" s="360"/>
      <c r="F41" s="123" t="s">
        <v>782</v>
      </c>
      <c r="G41" s="122"/>
      <c r="H41" s="347"/>
      <c r="I41" s="347"/>
      <c r="J41" s="347"/>
    </row>
    <row r="42" spans="1:10" ht="18">
      <c r="A42" s="348"/>
      <c r="B42" s="362" t="s">
        <v>120</v>
      </c>
      <c r="C42" s="354" t="str">
        <f>'(5) Production'!C15</f>
        <v>Maintenance</v>
      </c>
      <c r="D42" s="355" t="str">
        <f>'(5) Production'!F17</f>
        <v>NB</v>
      </c>
      <c r="E42" s="360"/>
      <c r="F42" s="123" t="s">
        <v>782</v>
      </c>
      <c r="G42" s="122"/>
      <c r="H42" s="347"/>
      <c r="I42" s="347"/>
      <c r="J42" s="347"/>
    </row>
    <row r="43" spans="1:10" ht="18">
      <c r="A43" s="348"/>
      <c r="B43" s="362" t="s">
        <v>131</v>
      </c>
      <c r="C43" s="354" t="str">
        <f>'(5) Production'!C18</f>
        <v>Material feed/sequencing</v>
      </c>
      <c r="D43" s="355" t="str">
        <f>'(5) Production'!F20</f>
        <v>NB</v>
      </c>
      <c r="E43" s="360"/>
      <c r="F43" s="123" t="s">
        <v>782</v>
      </c>
      <c r="G43" s="122"/>
      <c r="H43" s="347"/>
      <c r="I43" s="347"/>
      <c r="J43" s="347"/>
    </row>
    <row r="44" spans="1:10" ht="30">
      <c r="A44" s="348"/>
      <c r="B44" s="252" t="s">
        <v>141</v>
      </c>
      <c r="C44" s="354" t="str">
        <f>'(5) Production'!C21</f>
        <v>Emergency concepts for interruptions of operations</v>
      </c>
      <c r="D44" s="355" t="str">
        <f>'(5) Production'!F23</f>
        <v>NB</v>
      </c>
      <c r="E44" s="360"/>
      <c r="F44" s="123" t="s">
        <v>782</v>
      </c>
      <c r="G44" s="122"/>
      <c r="H44" s="347"/>
      <c r="I44" s="347"/>
      <c r="J44" s="347"/>
    </row>
    <row r="45" spans="1:10" s="22" customFormat="1" ht="8.25">
      <c r="A45" s="104"/>
      <c r="B45" s="181"/>
      <c r="C45" s="105"/>
      <c r="D45" s="107"/>
      <c r="E45" s="160"/>
      <c r="F45" s="105"/>
      <c r="G45" s="106"/>
    </row>
    <row r="46" spans="1:10" ht="18.75">
      <c r="A46" s="348"/>
      <c r="B46" s="334" t="str">
        <f>'(6) Shipment'!A1</f>
        <v>Module 6 - Shipment and transportation</v>
      </c>
      <c r="C46" s="334"/>
      <c r="D46" s="102"/>
      <c r="E46" s="161"/>
      <c r="F46" s="359"/>
      <c r="G46" s="349"/>
      <c r="H46" s="347"/>
      <c r="I46" s="347"/>
      <c r="J46" s="98"/>
    </row>
    <row r="47" spans="1:10" ht="18">
      <c r="A47" s="348"/>
      <c r="B47" s="353" t="s">
        <v>88</v>
      </c>
      <c r="C47" s="354" t="str">
        <f>'(6) Shipment'!C6</f>
        <v>Coordination of shipments</v>
      </c>
      <c r="D47" s="355" t="str">
        <f>'(6) Shipment'!F8</f>
        <v>NB</v>
      </c>
      <c r="E47" s="356"/>
      <c r="F47" s="123" t="s">
        <v>782</v>
      </c>
      <c r="G47" s="122"/>
      <c r="H47" s="347"/>
      <c r="I47" s="347"/>
      <c r="J47" s="347"/>
    </row>
    <row r="48" spans="1:10" ht="18">
      <c r="A48" s="348"/>
      <c r="B48" s="252" t="s">
        <v>99</v>
      </c>
      <c r="C48" s="354" t="str">
        <f>'(6) Shipment'!C9</f>
        <v>Notification</v>
      </c>
      <c r="D48" s="355" t="str">
        <f>'(6) Shipment'!F11</f>
        <v>NB</v>
      </c>
      <c r="E48" s="360"/>
      <c r="F48" s="123" t="s">
        <v>782</v>
      </c>
      <c r="G48" s="122"/>
      <c r="H48" s="347"/>
      <c r="I48" s="347"/>
      <c r="J48" s="347"/>
    </row>
    <row r="49" spans="1:10" ht="18">
      <c r="A49" s="348"/>
      <c r="B49" s="362" t="s">
        <v>110</v>
      </c>
      <c r="C49" s="354" t="str">
        <f>'(6) Shipment'!C12</f>
        <v>Shipping preparation</v>
      </c>
      <c r="D49" s="355" t="str">
        <f>'(6) Shipment'!F14</f>
        <v>NB</v>
      </c>
      <c r="E49" s="360"/>
      <c r="F49" s="123" t="s">
        <v>782</v>
      </c>
      <c r="G49" s="122"/>
      <c r="H49" s="347"/>
      <c r="I49" s="347"/>
      <c r="J49" s="347"/>
    </row>
    <row r="50" spans="1:10" ht="18">
      <c r="A50" s="348"/>
      <c r="B50" s="362" t="s">
        <v>121</v>
      </c>
      <c r="C50" s="354" t="str">
        <f>'(6) Shipment'!C15</f>
        <v>Container / packaging labelling</v>
      </c>
      <c r="D50" s="355" t="str">
        <f>'(6) Shipment'!F17</f>
        <v>NB</v>
      </c>
      <c r="E50" s="360"/>
      <c r="F50" s="123" t="s">
        <v>782</v>
      </c>
      <c r="G50" s="122"/>
      <c r="H50" s="347"/>
      <c r="I50" s="347"/>
      <c r="J50" s="347"/>
    </row>
    <row r="51" spans="1:10" ht="18">
      <c r="A51" s="348"/>
      <c r="B51" s="252" t="s">
        <v>132</v>
      </c>
      <c r="C51" s="354" t="str">
        <f>'(6) Shipment'!C18</f>
        <v>Empties management / handling</v>
      </c>
      <c r="D51" s="355" t="str">
        <f>'(6) Shipment'!F20</f>
        <v>NB</v>
      </c>
      <c r="E51" s="360"/>
      <c r="F51" s="123" t="s">
        <v>782</v>
      </c>
      <c r="G51" s="122"/>
      <c r="H51" s="347"/>
      <c r="I51" s="347"/>
      <c r="J51" s="347"/>
    </row>
    <row r="52" spans="1:10" s="22" customFormat="1" ht="8.25">
      <c r="A52" s="104"/>
      <c r="B52" s="181"/>
      <c r="C52" s="105"/>
      <c r="D52" s="105"/>
      <c r="E52" s="160"/>
      <c r="F52" s="105"/>
      <c r="G52" s="106"/>
    </row>
    <row r="53" spans="1:10" ht="18.75">
      <c r="A53" s="348"/>
      <c r="B53" s="333" t="str">
        <f>'(7) Logistic setup'!A1</f>
        <v>Module 7 - Logistics setup</v>
      </c>
      <c r="C53" s="333"/>
      <c r="D53" s="183"/>
      <c r="E53" s="184"/>
      <c r="F53" s="359"/>
      <c r="G53" s="349"/>
      <c r="H53" s="347"/>
      <c r="I53" s="347"/>
      <c r="J53" s="98"/>
    </row>
    <row r="54" spans="1:10" ht="18">
      <c r="A54" s="348"/>
      <c r="B54" s="353" t="s">
        <v>89</v>
      </c>
      <c r="C54" s="354" t="str">
        <f>'(7) Logistic setup'!C6</f>
        <v>Material flow from goods in to goods out</v>
      </c>
      <c r="D54" s="355" t="str">
        <f>'(7) Logistic setup'!F8</f>
        <v>NB</v>
      </c>
      <c r="E54" s="356"/>
      <c r="F54" s="123" t="s">
        <v>782</v>
      </c>
      <c r="G54" s="122"/>
      <c r="H54" s="347"/>
      <c r="I54" s="347"/>
      <c r="J54" s="347"/>
    </row>
    <row r="55" spans="1:10" ht="30">
      <c r="A55" s="348"/>
      <c r="B55" s="252" t="s">
        <v>100</v>
      </c>
      <c r="C55" s="354" t="str">
        <f>'(7) Logistic setup'!C9</f>
        <v>Traceability and dealing with generation statuses</v>
      </c>
      <c r="D55" s="355" t="str">
        <f>'(7) Logistic setup'!F11</f>
        <v>NB</v>
      </c>
      <c r="E55" s="360"/>
      <c r="F55" s="123" t="s">
        <v>782</v>
      </c>
      <c r="G55" s="122"/>
      <c r="H55" s="347"/>
      <c r="I55" s="347"/>
      <c r="J55" s="347"/>
    </row>
    <row r="56" spans="1:10" ht="18">
      <c r="A56" s="348"/>
      <c r="B56" s="252" t="s">
        <v>111</v>
      </c>
      <c r="C56" s="354" t="str">
        <f>'(7) Logistic setup'!C12</f>
        <v>FIFO principle</v>
      </c>
      <c r="D56" s="355" t="str">
        <f>'(7) Logistic setup'!F14</f>
        <v>NB</v>
      </c>
      <c r="E56" s="360"/>
      <c r="F56" s="123" t="s">
        <v>782</v>
      </c>
      <c r="G56" s="122"/>
      <c r="H56" s="347"/>
      <c r="I56" s="347"/>
      <c r="J56" s="347"/>
    </row>
    <row r="57" spans="1:10" ht="18">
      <c r="A57" s="348"/>
      <c r="B57" s="252" t="s">
        <v>122</v>
      </c>
      <c r="C57" s="354" t="str">
        <f>'(7) Logistic setup'!C15</f>
        <v>Tidiness, cleanliness</v>
      </c>
      <c r="D57" s="355" t="str">
        <f>'(7) Logistic setup'!F17</f>
        <v>NB</v>
      </c>
      <c r="E57" s="360"/>
      <c r="F57" s="123" t="s">
        <v>782</v>
      </c>
      <c r="G57" s="122"/>
      <c r="H57" s="347"/>
      <c r="I57" s="347"/>
      <c r="J57" s="347"/>
    </row>
    <row r="58" spans="1:10" ht="18">
      <c r="A58" s="348"/>
      <c r="B58" s="252" t="s">
        <v>133</v>
      </c>
      <c r="C58" s="354" t="str">
        <f>'(7) Logistic setup'!C18</f>
        <v>Roofed material handling</v>
      </c>
      <c r="D58" s="355" t="str">
        <f>'(7) Logistic setup'!F20</f>
        <v>NB</v>
      </c>
      <c r="E58" s="360"/>
      <c r="F58" s="123" t="s">
        <v>782</v>
      </c>
      <c r="G58" s="122"/>
      <c r="H58" s="347"/>
      <c r="I58" s="347"/>
      <c r="J58" s="347"/>
    </row>
    <row r="59" spans="1:10" ht="18">
      <c r="A59" s="348"/>
      <c r="B59" s="252" t="s">
        <v>142</v>
      </c>
      <c r="C59" s="357" t="str">
        <f>'(7) Logistic setup'!C21</f>
        <v>Internal container labeling</v>
      </c>
      <c r="D59" s="355" t="str">
        <f>'(7) Logistic setup'!F23</f>
        <v>NB</v>
      </c>
      <c r="E59" s="360"/>
      <c r="F59" s="233" t="s">
        <v>782</v>
      </c>
      <c r="G59" s="122"/>
      <c r="H59" s="347"/>
      <c r="I59" s="347"/>
      <c r="J59" s="347"/>
    </row>
    <row r="60" spans="1:10" s="22" customFormat="1" ht="9" thickBot="1">
      <c r="A60" s="28"/>
      <c r="B60" s="180"/>
      <c r="C60" s="29"/>
      <c r="D60" s="29"/>
      <c r="E60" s="29"/>
      <c r="F60" s="29"/>
      <c r="G60" s="31"/>
    </row>
  </sheetData>
  <mergeCells count="8">
    <mergeCell ref="A1:G1"/>
    <mergeCell ref="B53:C53"/>
    <mergeCell ref="B46:C46"/>
    <mergeCell ref="B38:C38"/>
    <mergeCell ref="B5:C5"/>
    <mergeCell ref="B21:C21"/>
    <mergeCell ref="B29:C29"/>
    <mergeCell ref="B14:C14"/>
  </mergeCells>
  <conditionalFormatting sqref="E28:E32 E37:E43 E45:E48 E52:E59 E5:E26">
    <cfRule type="expression" dxfId="5" priority="9">
      <formula>OR($D5="--",$D5="-")</formula>
    </cfRule>
  </conditionalFormatting>
  <conditionalFormatting sqref="E27">
    <cfRule type="expression" dxfId="4" priority="7">
      <formula>OR($D27="--",$D27="-")</formula>
    </cfRule>
  </conditionalFormatting>
  <conditionalFormatting sqref="E33:E36">
    <cfRule type="expression" dxfId="3" priority="6">
      <formula>OR($D33="--",$D33="-")</formula>
    </cfRule>
  </conditionalFormatting>
  <conditionalFormatting sqref="E49:E50">
    <cfRule type="expression" dxfId="2" priority="4">
      <formula>OR($D49="--",$D49="-")</formula>
    </cfRule>
  </conditionalFormatting>
  <conditionalFormatting sqref="E51">
    <cfRule type="expression" dxfId="1" priority="3">
      <formula>OR($D51="--",$D51="-")</formula>
    </cfRule>
  </conditionalFormatting>
  <conditionalFormatting sqref="E44">
    <cfRule type="expression" dxfId="0" priority="2">
      <formula>OR($D44="--",$D44="-")</formula>
    </cfRule>
  </conditionalFormatting>
  <hyperlinks>
    <hyperlink ref="F6" location="'(1) Projectmanagement'!C6" display="«" xr:uid="{00000000-0004-0000-0A00-000000000000}"/>
    <hyperlink ref="F7" location="'(1) Projectmanagement'!C9" display="«" xr:uid="{00000000-0004-0000-0A00-000001000000}"/>
    <hyperlink ref="F8" location="'(1) Projectmanagement'!C12" display="«" xr:uid="{00000000-0004-0000-0A00-000002000000}"/>
    <hyperlink ref="F9" location="'(1) Projectmanagement'!C15" display="«" xr:uid="{00000000-0004-0000-0A00-000003000000}"/>
    <hyperlink ref="F10" location="'(1) Projectmanagement'!C18" display="«" xr:uid="{00000000-0004-0000-0A00-000004000000}"/>
    <hyperlink ref="F22" location="'(3) Basic mat., supplier, capa.'!C6" display="«" xr:uid="{00000000-0004-0000-0A00-000005000000}"/>
    <hyperlink ref="F23" location="'(3) Basic mat., supplier, capa.'!C9" display="«" xr:uid="{00000000-0004-0000-0A00-000006000000}"/>
    <hyperlink ref="F24" location="'(3) Basic mat., supplier, capa.'!C12" display="«" xr:uid="{00000000-0004-0000-0A00-000007000000}"/>
    <hyperlink ref="F25" location="'(3) Basic mat., supplier, capa.'!C15" display="«" xr:uid="{00000000-0004-0000-0A00-000008000000}"/>
    <hyperlink ref="F26" location="'(3) Basic mat., supplier, capa.'!C18" display="«" xr:uid="{00000000-0004-0000-0A00-000009000000}"/>
    <hyperlink ref="F30" location="'(4) Goods receipt, warehouse'!C6" display="«" xr:uid="{00000000-0004-0000-0A00-00000A000000}"/>
    <hyperlink ref="F31" location="'(4) Goods receipt, warehouse'!C9" display="«" xr:uid="{00000000-0004-0000-0A00-00000B000000}"/>
    <hyperlink ref="F32" location="'(4) Goods receipt, warehouse'!C12" display="«" xr:uid="{00000000-0004-0000-0A00-00000C000000}"/>
    <hyperlink ref="F33" location="'(4) Goods receipt, warehouse'!C15" display="«" xr:uid="{00000000-0004-0000-0A00-00000D000000}"/>
    <hyperlink ref="F39" location="'(5) Production'!C6" display="«" xr:uid="{00000000-0004-0000-0A00-00000E000000}"/>
    <hyperlink ref="F40" location="'(5) Production'!C9" display="«" xr:uid="{00000000-0004-0000-0A00-00000F000000}"/>
    <hyperlink ref="F41" location="'(5) Production'!C12" display="«" xr:uid="{00000000-0004-0000-0A00-000010000000}"/>
    <hyperlink ref="F43" location="'(5) Production'!C18" display="«" xr:uid="{00000000-0004-0000-0A00-000011000000}"/>
    <hyperlink ref="F44" location="'(5) Production'!C21" display="«" xr:uid="{00000000-0004-0000-0A00-000012000000}"/>
    <hyperlink ref="F47" location="'(6) Shipment'!C6" display="«" xr:uid="{00000000-0004-0000-0A00-000013000000}"/>
    <hyperlink ref="F48" location="'(6) Shipment'!C9" display="«" xr:uid="{00000000-0004-0000-0A00-000014000000}"/>
    <hyperlink ref="F54" location="'(7) Logistic setup'!C6" display="«" xr:uid="{00000000-0004-0000-0A00-000015000000}"/>
    <hyperlink ref="F55" location="'(7) Logistic setup'!C9" display="«" xr:uid="{00000000-0004-0000-0A00-000016000000}"/>
    <hyperlink ref="F56" location="'(7) Logistic setup'!C12" display="«" xr:uid="{00000000-0004-0000-0A00-000017000000}"/>
    <hyperlink ref="F57" location="'(7) Logistic setup'!C15" display="«" xr:uid="{00000000-0004-0000-0A00-000018000000}"/>
    <hyperlink ref="F58" location="'(7) Logistic setup'!C18" display="«" xr:uid="{00000000-0004-0000-0A00-000019000000}"/>
    <hyperlink ref="F59" location="'(7) Logistic setup'!C21" display="«" xr:uid="{00000000-0004-0000-0A00-00001A000000}"/>
    <hyperlink ref="F34" location="'(4) Goods receipt, warehouse'!C18" display="«" xr:uid="{00000000-0004-0000-0A00-00001B000000}"/>
    <hyperlink ref="F15" location="'(2) Order admin &amp; planning'!C6" display="«" xr:uid="{00000000-0004-0000-0A00-00001C000000}"/>
    <hyperlink ref="F16" location="'(2) Order admin &amp; planning'!C9" display="«" xr:uid="{00000000-0004-0000-0A00-00001D000000}"/>
    <hyperlink ref="F17" location="'(2) Order admin &amp; planning'!C12" display="«" xr:uid="{00000000-0004-0000-0A00-00001E000000}"/>
    <hyperlink ref="F18" location="'(2) Order admin &amp; planning'!C15" display="«" xr:uid="{00000000-0004-0000-0A00-00001F000000}"/>
    <hyperlink ref="F19" location="'(2) Order admin &amp; planning'!C18" display="«" xr:uid="{00000000-0004-0000-0A00-000020000000}"/>
    <hyperlink ref="F11" location="'(1) Projectmanagement'!C21" display="«" xr:uid="{00000000-0004-0000-0A00-000021000000}"/>
    <hyperlink ref="F12" location="'(1) Projectmanagement'!C24" display="«" xr:uid="{00000000-0004-0000-0A00-000022000000}"/>
    <hyperlink ref="F49" location="'(6) Shipment'!C12" display="«" xr:uid="{00000000-0004-0000-0A00-000023000000}"/>
    <hyperlink ref="F50" location="'(6) Shipment'!C15" display="«" xr:uid="{00000000-0004-0000-0A00-000024000000}"/>
    <hyperlink ref="F51" location="'(6) Shipment'!C18" display="«" xr:uid="{00000000-0004-0000-0A00-000025000000}"/>
    <hyperlink ref="F42" location="'(5) Production'!C15" display="«" xr:uid="{00000000-0004-0000-0A00-000026000000}"/>
    <hyperlink ref="F27" location="'(3) Basic mat., supplier, capa.'!C21" display="«" xr:uid="{00000000-0004-0000-0A00-000027000000}"/>
    <hyperlink ref="F35" location="'(4) Goods receipt, warehouse'!C21" display="«" xr:uid="{00000000-0004-0000-0A00-000028000000}"/>
    <hyperlink ref="F36" location="'(4) Goods receipt, warehouse'!C24" display="«" xr:uid="{00000000-0004-0000-0A00-000029000000}"/>
  </hyperlinks>
  <printOptions horizontalCentered="1"/>
  <pageMargins left="0.70866141732283472" right="0.70866141732283472" top="0.9055118110236221" bottom="0.78740157480314965" header="0.31496062992125984" footer="0.31496062992125984"/>
  <pageSetup paperSize="9" scale="60" fitToHeight="0" orientation="portrait" r:id="rId1"/>
  <headerFooter>
    <oddHeader>&amp;L&amp;"Audi Type,Fett"Logistic process inspection&amp;"Audi Type,Standard"
&amp;A</oddHeader>
    <oddFooter>&amp;L&amp;"Audi Type,Standard"&amp;8&amp;F&amp;C&amp;"Audi Type,Standard"&amp;8&amp;P von &amp;N&amp;R&amp;"Audi Type,Standard"&amp;8Audi AG - &amp;D</oddFooter>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13">
    <pageSetUpPr fitToPage="1"/>
  </sheetPr>
  <dimension ref="A1:R27"/>
  <sheetViews>
    <sheetView zoomScaleNormal="100" workbookViewId="0">
      <selection activeCell="L30" sqref="L30"/>
    </sheetView>
  </sheetViews>
  <sheetFormatPr defaultColWidth="11" defaultRowHeight="15"/>
  <cols>
    <col min="1" max="1" width="2.625" style="97" customWidth="1"/>
    <col min="2" max="2" width="4.375" style="97" customWidth="1"/>
    <col min="3" max="3" width="8.875" style="248" customWidth="1"/>
    <col min="4" max="4" width="37.125" style="97" customWidth="1"/>
    <col min="5" max="5" width="26.25" style="97" customWidth="1"/>
    <col min="6" max="6" width="16.125" style="97" customWidth="1"/>
    <col min="7" max="7" width="9.625" style="97" customWidth="1"/>
    <col min="8" max="8" width="8.375" style="97" customWidth="1"/>
    <col min="9" max="9" width="26.625" style="97" customWidth="1"/>
    <col min="10" max="10" width="2.625" style="97" customWidth="1"/>
    <col min="11" max="16384" width="11" style="97"/>
  </cols>
  <sheetData>
    <row r="1" spans="1:18" ht="36" thickBot="1">
      <c r="A1" s="298" t="str">
        <f>CONCATENATE("List of Open Points - ", Datasheet!C8)</f>
        <v xml:space="preserve">List of Open Points - </v>
      </c>
      <c r="B1" s="298"/>
      <c r="C1" s="298"/>
      <c r="D1" s="298"/>
      <c r="E1" s="298"/>
      <c r="F1" s="298"/>
      <c r="G1" s="298"/>
      <c r="H1" s="298"/>
      <c r="I1" s="298"/>
      <c r="J1" s="298"/>
      <c r="K1" s="347"/>
      <c r="L1" s="347"/>
      <c r="M1" s="43"/>
      <c r="N1" s="347"/>
      <c r="O1" s="347"/>
      <c r="P1" s="347"/>
      <c r="Q1" s="347"/>
      <c r="R1" s="347"/>
    </row>
    <row r="2" spans="1:18" ht="26.25" thickBot="1">
      <c r="A2" s="350"/>
      <c r="B2" s="336" t="str">
        <f>CONCATENATE("Logistic Process Inspection of ",TEXT(Datasheet!C4,"TT. MMMM JJJJ"))</f>
        <v>Logistic Process Inspection of 22. November 2023</v>
      </c>
      <c r="C2" s="336"/>
      <c r="D2" s="336"/>
      <c r="E2" s="336"/>
      <c r="F2" s="336"/>
      <c r="G2" s="336"/>
      <c r="H2" s="336"/>
      <c r="I2" s="336"/>
      <c r="J2" s="52"/>
      <c r="K2" s="347"/>
      <c r="L2" s="338" t="s">
        <v>783</v>
      </c>
      <c r="M2" s="339"/>
      <c r="N2" s="339"/>
      <c r="O2" s="339"/>
      <c r="P2" s="339"/>
      <c r="Q2" s="339"/>
      <c r="R2" s="340"/>
    </row>
    <row r="3" spans="1:18" s="22" customFormat="1" ht="8.25" customHeight="1">
      <c r="A3" s="48"/>
      <c r="B3" s="108"/>
      <c r="C3" s="243"/>
      <c r="D3" s="49"/>
      <c r="E3" s="109"/>
      <c r="F3" s="49"/>
      <c r="G3" s="49"/>
      <c r="H3" s="49"/>
      <c r="I3" s="49"/>
      <c r="J3" s="50"/>
      <c r="L3" s="341"/>
      <c r="M3" s="342"/>
      <c r="N3" s="342"/>
      <c r="O3" s="342"/>
      <c r="P3" s="342"/>
      <c r="Q3" s="342"/>
      <c r="R3" s="343"/>
    </row>
    <row r="4" spans="1:18" ht="16.5">
      <c r="A4" s="348"/>
      <c r="B4" s="193" t="s">
        <v>608</v>
      </c>
      <c r="C4" s="244" t="s">
        <v>784</v>
      </c>
      <c r="D4" s="193" t="s">
        <v>785</v>
      </c>
      <c r="E4" s="193" t="s">
        <v>786</v>
      </c>
      <c r="F4" s="193" t="s">
        <v>787</v>
      </c>
      <c r="G4" s="193" t="s">
        <v>788</v>
      </c>
      <c r="H4" s="193" t="s">
        <v>789</v>
      </c>
      <c r="I4" s="193" t="s">
        <v>790</v>
      </c>
      <c r="J4" s="349"/>
      <c r="K4" s="347"/>
      <c r="L4" s="341"/>
      <c r="M4" s="342"/>
      <c r="N4" s="342"/>
      <c r="O4" s="342"/>
      <c r="P4" s="342"/>
      <c r="Q4" s="342"/>
      <c r="R4" s="343"/>
    </row>
    <row r="5" spans="1:18" s="22" customFormat="1" ht="39" thickBot="1">
      <c r="A5" s="194"/>
      <c r="B5" s="195"/>
      <c r="C5" s="245"/>
      <c r="D5" s="195" t="s">
        <v>791</v>
      </c>
      <c r="E5" s="195" t="s">
        <v>792</v>
      </c>
      <c r="F5" s="195" t="s">
        <v>793</v>
      </c>
      <c r="G5" s="195" t="s">
        <v>794</v>
      </c>
      <c r="H5" s="195"/>
      <c r="I5" s="195" t="s">
        <v>795</v>
      </c>
      <c r="J5" s="196"/>
      <c r="L5" s="344"/>
      <c r="M5" s="345"/>
      <c r="N5" s="345"/>
      <c r="O5" s="345"/>
      <c r="P5" s="345"/>
      <c r="Q5" s="345"/>
      <c r="R5" s="346"/>
    </row>
    <row r="6" spans="1:18" ht="15.75" thickBot="1">
      <c r="A6" s="28"/>
      <c r="B6" s="29"/>
      <c r="C6" s="246"/>
      <c r="D6" s="197"/>
      <c r="E6" s="29"/>
      <c r="F6" s="29"/>
      <c r="G6" s="29"/>
      <c r="H6" s="29"/>
      <c r="I6" s="29"/>
      <c r="J6" s="31"/>
      <c r="K6" s="347"/>
      <c r="L6" s="347"/>
      <c r="M6" s="347"/>
      <c r="N6" s="347"/>
      <c r="O6" s="347"/>
      <c r="P6" s="347"/>
      <c r="Q6" s="347"/>
      <c r="R6" s="347"/>
    </row>
    <row r="7" spans="1:18">
      <c r="A7" s="348"/>
      <c r="B7" s="363">
        <v>1</v>
      </c>
      <c r="C7" s="364"/>
      <c r="D7" s="365"/>
      <c r="E7" s="366"/>
      <c r="F7" s="367"/>
      <c r="G7" s="368"/>
      <c r="H7" s="367"/>
      <c r="I7" s="367"/>
      <c r="J7" s="349"/>
      <c r="K7" s="347"/>
      <c r="L7" s="347"/>
      <c r="M7" s="347"/>
      <c r="N7" s="347"/>
      <c r="O7" s="347"/>
      <c r="P7" s="347"/>
      <c r="Q7" s="347"/>
      <c r="R7" s="347"/>
    </row>
    <row r="8" spans="1:18">
      <c r="A8" s="348"/>
      <c r="B8" s="369">
        <v>2</v>
      </c>
      <c r="C8" s="370"/>
      <c r="D8" s="357"/>
      <c r="E8" s="253"/>
      <c r="F8" s="252"/>
      <c r="G8" s="371"/>
      <c r="H8" s="252"/>
      <c r="I8" s="252"/>
      <c r="J8" s="349"/>
      <c r="K8" s="347"/>
      <c r="L8" s="347"/>
      <c r="M8" s="347"/>
      <c r="N8" s="347"/>
      <c r="O8" s="347"/>
      <c r="P8" s="347"/>
      <c r="Q8" s="347"/>
      <c r="R8" s="347"/>
    </row>
    <row r="9" spans="1:18">
      <c r="A9" s="348"/>
      <c r="B9" s="369">
        <v>3</v>
      </c>
      <c r="C9" s="372"/>
      <c r="D9" s="357"/>
      <c r="E9" s="253"/>
      <c r="F9" s="252"/>
      <c r="G9" s="371"/>
      <c r="H9" s="252"/>
      <c r="I9" s="252"/>
      <c r="J9" s="349"/>
      <c r="K9" s="347"/>
      <c r="L9" s="347"/>
      <c r="M9" s="347"/>
      <c r="N9" s="347"/>
      <c r="O9" s="347"/>
      <c r="P9" s="347"/>
      <c r="Q9" s="347"/>
      <c r="R9" s="347"/>
    </row>
    <row r="10" spans="1:18">
      <c r="A10" s="348"/>
      <c r="B10" s="369">
        <v>4</v>
      </c>
      <c r="C10" s="372"/>
      <c r="D10" s="357"/>
      <c r="E10" s="253"/>
      <c r="F10" s="252"/>
      <c r="G10" s="371"/>
      <c r="H10" s="252"/>
      <c r="I10" s="252"/>
      <c r="J10" s="349"/>
      <c r="K10" s="347"/>
      <c r="L10" s="347"/>
      <c r="M10" s="347"/>
      <c r="N10" s="347"/>
      <c r="O10" s="347"/>
      <c r="P10" s="347"/>
      <c r="Q10" s="347"/>
      <c r="R10" s="347"/>
    </row>
    <row r="11" spans="1:18">
      <c r="A11" s="348"/>
      <c r="B11" s="369">
        <v>5</v>
      </c>
      <c r="C11" s="372"/>
      <c r="D11" s="357"/>
      <c r="E11" s="253"/>
      <c r="F11" s="252"/>
      <c r="G11" s="371"/>
      <c r="H11" s="252"/>
      <c r="I11" s="252"/>
      <c r="J11" s="349"/>
      <c r="K11" s="347"/>
      <c r="L11" s="347"/>
      <c r="M11" s="347"/>
      <c r="N11" s="347"/>
      <c r="O11" s="347"/>
      <c r="P11" s="347"/>
      <c r="Q11" s="347"/>
      <c r="R11" s="347"/>
    </row>
    <row r="12" spans="1:18">
      <c r="A12" s="348"/>
      <c r="B12" s="369">
        <v>6</v>
      </c>
      <c r="C12" s="372"/>
      <c r="D12" s="357"/>
      <c r="E12" s="253"/>
      <c r="F12" s="252"/>
      <c r="G12" s="371"/>
      <c r="H12" s="252"/>
      <c r="I12" s="252"/>
      <c r="J12" s="349"/>
      <c r="K12" s="347"/>
      <c r="L12" s="347"/>
      <c r="M12" s="347"/>
      <c r="N12" s="347"/>
      <c r="O12" s="347"/>
      <c r="P12" s="347"/>
      <c r="Q12" s="347"/>
      <c r="R12" s="347"/>
    </row>
    <row r="13" spans="1:18">
      <c r="A13" s="348"/>
      <c r="B13" s="369">
        <v>7</v>
      </c>
      <c r="C13" s="372"/>
      <c r="D13" s="357"/>
      <c r="E13" s="253"/>
      <c r="F13" s="252"/>
      <c r="G13" s="371"/>
      <c r="H13" s="252"/>
      <c r="I13" s="252"/>
      <c r="J13" s="349"/>
      <c r="K13" s="347"/>
      <c r="L13" s="347"/>
      <c r="M13" s="347"/>
      <c r="N13" s="347"/>
      <c r="O13" s="347"/>
      <c r="P13" s="347"/>
      <c r="Q13" s="347"/>
      <c r="R13" s="347"/>
    </row>
    <row r="14" spans="1:18">
      <c r="A14" s="348"/>
      <c r="B14" s="369">
        <v>8</v>
      </c>
      <c r="C14" s="372"/>
      <c r="D14" s="357"/>
      <c r="E14" s="253"/>
      <c r="F14" s="252"/>
      <c r="G14" s="371"/>
      <c r="H14" s="252"/>
      <c r="I14" s="252"/>
      <c r="J14" s="349"/>
      <c r="K14" s="347"/>
      <c r="L14" s="347"/>
      <c r="M14" s="347"/>
      <c r="N14" s="347"/>
      <c r="O14" s="347"/>
      <c r="P14" s="347"/>
      <c r="Q14" s="347"/>
      <c r="R14" s="347"/>
    </row>
    <row r="15" spans="1:18">
      <c r="A15" s="348"/>
      <c r="B15" s="369">
        <v>9</v>
      </c>
      <c r="C15" s="372"/>
      <c r="D15" s="357"/>
      <c r="E15" s="253"/>
      <c r="F15" s="252"/>
      <c r="G15" s="371"/>
      <c r="H15" s="252"/>
      <c r="I15" s="252"/>
      <c r="J15" s="349"/>
      <c r="K15" s="347"/>
      <c r="L15" s="347"/>
      <c r="M15" s="347"/>
      <c r="N15" s="347"/>
      <c r="O15" s="347"/>
      <c r="P15" s="347"/>
      <c r="Q15" s="347"/>
      <c r="R15" s="347"/>
    </row>
    <row r="16" spans="1:18">
      <c r="A16" s="348"/>
      <c r="B16" s="369">
        <v>10</v>
      </c>
      <c r="C16" s="372"/>
      <c r="D16" s="357"/>
      <c r="E16" s="253"/>
      <c r="F16" s="252"/>
      <c r="G16" s="371"/>
      <c r="H16" s="252"/>
      <c r="I16" s="252"/>
      <c r="J16" s="349"/>
      <c r="K16" s="347"/>
      <c r="L16" s="347"/>
      <c r="M16" s="347"/>
      <c r="N16" s="347"/>
      <c r="O16" s="347"/>
      <c r="P16" s="347"/>
      <c r="Q16" s="347"/>
      <c r="R16" s="347"/>
    </row>
    <row r="17" spans="1:10">
      <c r="A17" s="348"/>
      <c r="B17" s="369">
        <v>11</v>
      </c>
      <c r="C17" s="372"/>
      <c r="D17" s="357"/>
      <c r="E17" s="253"/>
      <c r="F17" s="252"/>
      <c r="G17" s="371"/>
      <c r="H17" s="252"/>
      <c r="I17" s="252"/>
      <c r="J17" s="349"/>
    </row>
    <row r="18" spans="1:10">
      <c r="A18" s="348"/>
      <c r="B18" s="369">
        <v>12</v>
      </c>
      <c r="C18" s="372"/>
      <c r="D18" s="357"/>
      <c r="E18" s="253"/>
      <c r="F18" s="252"/>
      <c r="G18" s="371"/>
      <c r="H18" s="252"/>
      <c r="I18" s="252"/>
      <c r="J18" s="349"/>
    </row>
    <row r="19" spans="1:10">
      <c r="A19" s="348"/>
      <c r="B19" s="369">
        <v>13</v>
      </c>
      <c r="C19" s="372"/>
      <c r="D19" s="357"/>
      <c r="E19" s="253"/>
      <c r="F19" s="252"/>
      <c r="G19" s="371"/>
      <c r="H19" s="252"/>
      <c r="I19" s="252"/>
      <c r="J19" s="349"/>
    </row>
    <row r="20" spans="1:10">
      <c r="A20" s="348"/>
      <c r="B20" s="369">
        <v>14</v>
      </c>
      <c r="C20" s="372"/>
      <c r="D20" s="357"/>
      <c r="E20" s="253"/>
      <c r="F20" s="252"/>
      <c r="G20" s="371"/>
      <c r="H20" s="252"/>
      <c r="I20" s="252"/>
      <c r="J20" s="349"/>
    </row>
    <row r="21" spans="1:10">
      <c r="A21" s="348"/>
      <c r="B21" s="369">
        <v>15</v>
      </c>
      <c r="C21" s="372"/>
      <c r="D21" s="357"/>
      <c r="E21" s="253"/>
      <c r="F21" s="252"/>
      <c r="G21" s="371"/>
      <c r="H21" s="252"/>
      <c r="I21" s="252"/>
      <c r="J21" s="349"/>
    </row>
    <row r="22" spans="1:10">
      <c r="A22" s="348"/>
      <c r="B22" s="369">
        <v>16</v>
      </c>
      <c r="C22" s="372"/>
      <c r="D22" s="357"/>
      <c r="E22" s="253"/>
      <c r="F22" s="252"/>
      <c r="G22" s="371"/>
      <c r="H22" s="252"/>
      <c r="I22" s="252"/>
      <c r="J22" s="349"/>
    </row>
    <row r="23" spans="1:10">
      <c r="A23" s="348"/>
      <c r="B23" s="369">
        <v>17</v>
      </c>
      <c r="C23" s="372"/>
      <c r="D23" s="357"/>
      <c r="E23" s="253"/>
      <c r="F23" s="252"/>
      <c r="G23" s="371"/>
      <c r="H23" s="252"/>
      <c r="I23" s="252"/>
      <c r="J23" s="349"/>
    </row>
    <row r="24" spans="1:10">
      <c r="A24" s="348"/>
      <c r="B24" s="369">
        <v>18</v>
      </c>
      <c r="C24" s="372"/>
      <c r="D24" s="357"/>
      <c r="E24" s="253"/>
      <c r="F24" s="252"/>
      <c r="G24" s="371"/>
      <c r="H24" s="252"/>
      <c r="I24" s="252"/>
      <c r="J24" s="349"/>
    </row>
    <row r="25" spans="1:10">
      <c r="A25" s="348"/>
      <c r="B25" s="369">
        <v>20</v>
      </c>
      <c r="C25" s="372"/>
      <c r="D25" s="357"/>
      <c r="E25" s="253"/>
      <c r="F25" s="252"/>
      <c r="G25" s="371"/>
      <c r="H25" s="252"/>
      <c r="I25" s="252"/>
      <c r="J25" s="349"/>
    </row>
    <row r="26" spans="1:10" s="22" customFormat="1" ht="9" thickBot="1">
      <c r="A26" s="21"/>
      <c r="C26" s="247"/>
      <c r="J26" s="23"/>
    </row>
    <row r="27" spans="1:10" ht="51" thickBot="1">
      <c r="A27" s="373"/>
      <c r="B27" s="337" t="s">
        <v>796</v>
      </c>
      <c r="C27" s="337"/>
      <c r="D27" s="337"/>
      <c r="E27" s="337"/>
      <c r="F27" s="337"/>
      <c r="G27" s="337"/>
      <c r="H27" s="337"/>
      <c r="I27" s="337"/>
      <c r="J27" s="103"/>
    </row>
  </sheetData>
  <mergeCells count="4">
    <mergeCell ref="A1:J1"/>
    <mergeCell ref="B2:I2"/>
    <mergeCell ref="B27:I27"/>
    <mergeCell ref="L2:R5"/>
  </mergeCells>
  <printOptions horizontalCentered="1"/>
  <pageMargins left="0.70866141732283472" right="0.70866141732283472" top="0.9055118110236221" bottom="0.78740157480314965" header="0.31496062992125984" footer="0.31496062992125984"/>
  <pageSetup paperSize="9" scale="56" fitToHeight="0" orientation="portrait" r:id="rId1"/>
  <headerFooter>
    <oddHeader>&amp;L&amp;"Audi Type,Fett"Logistic process inspection&amp;"Audi Type,Standard"
&amp;A&amp;R&amp;G</oddHeader>
    <oddFooter>&amp;L&amp;"Audi Type,Standard"&amp;8&amp;F&amp;C&amp;"Audi Type,Standard"&amp;8&amp;P von &amp;N&amp;R&amp;"Audi Type,Standard"&amp;8Audi AG - &amp;D</oddFooter>
  </headerFooter>
  <drawing r:id="rId2"/>
  <legacyDrawing r:id="rId3"/>
  <legacyDrawingHF r:id="rId4"/>
  <controls>
    <mc:AlternateContent xmlns:mc="http://schemas.openxmlformats.org/markup-compatibility/2006">
      <mc:Choice Requires="x14">
        <control shapeId="11265" r:id="rId5" name="Button_LOP_Erstellen">
          <controlPr defaultSize="0" print="0" autoLine="0" r:id="rId6">
            <anchor moveWithCells="1">
              <from>
                <xdr:col>11</xdr:col>
                <xdr:colOff>361950</xdr:colOff>
                <xdr:row>4</xdr:row>
                <xdr:rowOff>66675</xdr:rowOff>
              </from>
              <to>
                <xdr:col>14</xdr:col>
                <xdr:colOff>9525</xdr:colOff>
                <xdr:row>4</xdr:row>
                <xdr:rowOff>361950</xdr:rowOff>
              </to>
            </anchor>
          </controlPr>
        </control>
      </mc:Choice>
      <mc:Fallback>
        <control shapeId="11265" r:id="rId5" name="Button_LOP_Erstellen"/>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14">
    <pageSetUpPr fitToPage="1"/>
  </sheetPr>
  <dimension ref="A1:E56"/>
  <sheetViews>
    <sheetView zoomScaleNormal="100" workbookViewId="0">
      <selection activeCell="B3" sqref="B3"/>
    </sheetView>
  </sheetViews>
  <sheetFormatPr defaultColWidth="11" defaultRowHeight="15"/>
  <cols>
    <col min="1" max="1" width="2.625" style="97" customWidth="1"/>
    <col min="2" max="2" width="100.75" style="97" customWidth="1"/>
    <col min="3" max="3" width="2.625" style="97" customWidth="1"/>
    <col min="4" max="16384" width="11" style="97"/>
  </cols>
  <sheetData>
    <row r="1" spans="1:5" ht="36" thickBot="1">
      <c r="A1" s="298" t="s">
        <v>797</v>
      </c>
      <c r="B1" s="298"/>
      <c r="C1" s="298"/>
      <c r="D1" s="347"/>
      <c r="E1" s="43"/>
    </row>
    <row r="2" spans="1:5" ht="26.25" thickBot="1">
      <c r="A2" s="373"/>
      <c r="B2" s="110" t="str">
        <f>CONCATENATE("Logistic Process Inspection of ",TEXT(Datasheet!C4,"TT. MMMM JJJJ")," (", Datasheet!C8,")")</f>
        <v>Logistic Process Inspection of 22. November 2023 ()</v>
      </c>
      <c r="C2" s="111"/>
      <c r="D2" s="347"/>
      <c r="E2" s="347"/>
    </row>
    <row r="3" spans="1:5" s="22" customFormat="1" ht="8.25">
      <c r="A3" s="48"/>
      <c r="B3" s="49"/>
      <c r="C3" s="50"/>
    </row>
    <row r="4" spans="1:5">
      <c r="A4" s="348"/>
      <c r="B4" s="347"/>
      <c r="C4" s="349"/>
      <c r="D4" s="347"/>
      <c r="E4" s="347"/>
    </row>
    <row r="5" spans="1:5">
      <c r="A5" s="348"/>
      <c r="B5" s="347"/>
      <c r="C5" s="349"/>
      <c r="D5" s="347"/>
      <c r="E5" s="347"/>
    </row>
    <row r="6" spans="1:5">
      <c r="A6" s="348"/>
      <c r="B6" s="347"/>
      <c r="C6" s="349"/>
      <c r="D6" s="347"/>
      <c r="E6" s="347"/>
    </row>
    <row r="7" spans="1:5">
      <c r="A7" s="348"/>
      <c r="B7" s="347"/>
      <c r="C7" s="349"/>
      <c r="D7" s="347"/>
      <c r="E7" s="347"/>
    </row>
    <row r="8" spans="1:5">
      <c r="A8" s="348"/>
      <c r="B8" s="347"/>
      <c r="C8" s="349"/>
      <c r="D8" s="347"/>
      <c r="E8" s="347"/>
    </row>
    <row r="9" spans="1:5">
      <c r="A9" s="348"/>
      <c r="B9" s="347"/>
      <c r="C9" s="349"/>
      <c r="D9" s="347"/>
      <c r="E9" s="347"/>
    </row>
    <row r="10" spans="1:5">
      <c r="A10" s="348"/>
      <c r="B10" s="347"/>
      <c r="C10" s="349"/>
      <c r="D10" s="347"/>
      <c r="E10" s="347"/>
    </row>
    <row r="11" spans="1:5">
      <c r="A11" s="348"/>
      <c r="B11" s="347"/>
      <c r="C11" s="349"/>
      <c r="D11" s="347"/>
      <c r="E11" s="347"/>
    </row>
    <row r="12" spans="1:5">
      <c r="A12" s="348"/>
      <c r="B12" s="347"/>
      <c r="C12" s="349"/>
      <c r="D12" s="347"/>
      <c r="E12" s="347"/>
    </row>
    <row r="13" spans="1:5">
      <c r="A13" s="348"/>
      <c r="B13" s="347"/>
      <c r="C13" s="349"/>
      <c r="D13" s="347"/>
      <c r="E13" s="347"/>
    </row>
    <row r="14" spans="1:5">
      <c r="A14" s="348"/>
      <c r="B14" s="347"/>
      <c r="C14" s="349"/>
      <c r="D14" s="347"/>
      <c r="E14" s="347"/>
    </row>
    <row r="15" spans="1:5">
      <c r="A15" s="348"/>
      <c r="B15" s="347"/>
      <c r="C15" s="349"/>
      <c r="D15" s="347"/>
      <c r="E15" s="347"/>
    </row>
    <row r="16" spans="1:5">
      <c r="A16" s="348"/>
      <c r="B16" s="347"/>
      <c r="C16" s="349"/>
      <c r="D16" s="347"/>
      <c r="E16" s="347"/>
    </row>
    <row r="17" spans="1:3">
      <c r="A17" s="348"/>
      <c r="B17" s="347"/>
      <c r="C17" s="349"/>
    </row>
    <row r="18" spans="1:3">
      <c r="A18" s="348"/>
      <c r="B18" s="347"/>
      <c r="C18" s="349"/>
    </row>
    <row r="19" spans="1:3">
      <c r="A19" s="348"/>
      <c r="B19" s="347"/>
      <c r="C19" s="349"/>
    </row>
    <row r="20" spans="1:3">
      <c r="A20" s="348"/>
      <c r="B20" s="347"/>
      <c r="C20" s="349"/>
    </row>
    <row r="21" spans="1:3">
      <c r="A21" s="348"/>
      <c r="B21" s="347"/>
      <c r="C21" s="349"/>
    </row>
    <row r="22" spans="1:3">
      <c r="A22" s="348"/>
      <c r="B22" s="347"/>
      <c r="C22" s="349"/>
    </row>
    <row r="23" spans="1:3">
      <c r="A23" s="348"/>
      <c r="B23" s="347"/>
      <c r="C23" s="349"/>
    </row>
    <row r="24" spans="1:3">
      <c r="A24" s="348"/>
      <c r="B24" s="347"/>
      <c r="C24" s="349"/>
    </row>
    <row r="25" spans="1:3">
      <c r="A25" s="348"/>
      <c r="B25" s="347"/>
      <c r="C25" s="349"/>
    </row>
    <row r="26" spans="1:3">
      <c r="A26" s="348"/>
      <c r="B26" s="347"/>
      <c r="C26" s="349"/>
    </row>
    <row r="27" spans="1:3">
      <c r="A27" s="348"/>
      <c r="B27" s="347"/>
      <c r="C27" s="349"/>
    </row>
    <row r="28" spans="1:3">
      <c r="A28" s="348"/>
      <c r="B28" s="347"/>
      <c r="C28" s="349"/>
    </row>
    <row r="29" spans="1:3">
      <c r="A29" s="348"/>
      <c r="B29" s="347"/>
      <c r="C29" s="349"/>
    </row>
    <row r="30" spans="1:3">
      <c r="A30" s="348"/>
      <c r="B30" s="347"/>
      <c r="C30" s="349"/>
    </row>
    <row r="31" spans="1:3">
      <c r="A31" s="348"/>
      <c r="B31" s="347"/>
      <c r="C31" s="349"/>
    </row>
    <row r="32" spans="1:3">
      <c r="A32" s="348"/>
      <c r="B32" s="347"/>
      <c r="C32" s="349"/>
    </row>
    <row r="33" spans="1:3">
      <c r="A33" s="348"/>
      <c r="B33" s="347"/>
      <c r="C33" s="349"/>
    </row>
    <row r="34" spans="1:3">
      <c r="A34" s="348"/>
      <c r="B34" s="347"/>
      <c r="C34" s="349"/>
    </row>
    <row r="35" spans="1:3">
      <c r="A35" s="348"/>
      <c r="B35" s="347"/>
      <c r="C35" s="349"/>
    </row>
    <row r="36" spans="1:3">
      <c r="A36" s="348"/>
      <c r="B36" s="347"/>
      <c r="C36" s="349"/>
    </row>
    <row r="37" spans="1:3">
      <c r="A37" s="348"/>
      <c r="B37" s="347"/>
      <c r="C37" s="349"/>
    </row>
    <row r="38" spans="1:3">
      <c r="A38" s="348"/>
      <c r="B38" s="347"/>
      <c r="C38" s="349"/>
    </row>
    <row r="39" spans="1:3">
      <c r="A39" s="348"/>
      <c r="B39" s="347"/>
      <c r="C39" s="349"/>
    </row>
    <row r="40" spans="1:3">
      <c r="A40" s="348"/>
      <c r="B40" s="347"/>
      <c r="C40" s="349"/>
    </row>
    <row r="41" spans="1:3">
      <c r="A41" s="348"/>
      <c r="B41" s="347"/>
      <c r="C41" s="349"/>
    </row>
    <row r="42" spans="1:3">
      <c r="A42" s="348"/>
      <c r="B42" s="347"/>
      <c r="C42" s="349"/>
    </row>
    <row r="43" spans="1:3">
      <c r="A43" s="348"/>
      <c r="B43" s="347"/>
      <c r="C43" s="349"/>
    </row>
    <row r="44" spans="1:3">
      <c r="A44" s="348"/>
      <c r="B44" s="347"/>
      <c r="C44" s="349"/>
    </row>
    <row r="45" spans="1:3">
      <c r="A45" s="348"/>
      <c r="B45" s="347"/>
      <c r="C45" s="349"/>
    </row>
    <row r="46" spans="1:3">
      <c r="A46" s="348"/>
      <c r="B46" s="347"/>
      <c r="C46" s="349"/>
    </row>
    <row r="47" spans="1:3">
      <c r="A47" s="348"/>
      <c r="B47" s="347"/>
      <c r="C47" s="349"/>
    </row>
    <row r="48" spans="1:3">
      <c r="A48" s="348"/>
      <c r="B48" s="347"/>
      <c r="C48" s="349"/>
    </row>
    <row r="49" spans="1:3">
      <c r="A49" s="348"/>
      <c r="B49" s="347"/>
      <c r="C49" s="349"/>
    </row>
    <row r="50" spans="1:3">
      <c r="A50" s="348"/>
      <c r="B50" s="347"/>
      <c r="C50" s="349"/>
    </row>
    <row r="51" spans="1:3">
      <c r="A51" s="348"/>
      <c r="B51" s="347"/>
      <c r="C51" s="349"/>
    </row>
    <row r="52" spans="1:3">
      <c r="A52" s="348"/>
      <c r="B52" s="347"/>
      <c r="C52" s="349"/>
    </row>
    <row r="53" spans="1:3">
      <c r="A53" s="348"/>
      <c r="B53" s="347"/>
      <c r="C53" s="349"/>
    </row>
    <row r="54" spans="1:3">
      <c r="A54" s="348"/>
      <c r="B54" s="347"/>
      <c r="C54" s="349"/>
    </row>
    <row r="55" spans="1:3">
      <c r="A55" s="348"/>
      <c r="B55" s="347"/>
      <c r="C55" s="349"/>
    </row>
    <row r="56" spans="1:3" ht="15.75" thickBot="1">
      <c r="A56" s="374"/>
      <c r="B56" s="375"/>
      <c r="C56" s="376"/>
    </row>
  </sheetData>
  <mergeCells count="1">
    <mergeCell ref="A1:C1"/>
  </mergeCells>
  <printOptions horizontalCentered="1"/>
  <pageMargins left="0.70866141732283472" right="0.70866141732283472" top="0.9055118110236221" bottom="0.78740157480314965" header="0.31496062992125984" footer="0.31496062992125984"/>
  <pageSetup paperSize="9" scale="75" orientation="portrait" r:id="rId1"/>
  <headerFooter>
    <oddHeader>&amp;L&amp;"Audi Type,Fett"Logistic process inspection&amp;"Audi Type,Standard"
&amp;A</oddHeader>
    <oddFooter>&amp;L&amp;"Audi Type,Standard"&amp;8&amp;F&amp;C&amp;"Audi Type,Standard"&amp;8&amp;P von &amp;N&amp;R&amp;"Audi Type,Standard"&amp;8Audi AG - &amp;D</oddFooter>
  </headerFooter>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048B23D460457A43B28D7CA7259F0803" ma:contentTypeVersion="11" ma:contentTypeDescription="Ein neues Dokument erstellen." ma:contentTypeScope="" ma:versionID="43a954bb5fb0b00f19705f748ace3e2c">
  <xsd:schema xmlns:xsd="http://www.w3.org/2001/XMLSchema" xmlns:xs="http://www.w3.org/2001/XMLSchema" xmlns:p="http://schemas.microsoft.com/office/2006/metadata/properties" xmlns:ns2="32d052ac-44a8-4cc7-8813-9448a7054938" xmlns:ns3="61645c51-a236-4929-9caf-6881bbc287a2" targetNamespace="http://schemas.microsoft.com/office/2006/metadata/properties" ma:root="true" ma:fieldsID="ccc400d310bdde5e839bb931fc5fb383" ns2:_="" ns3:_="">
    <xsd:import namespace="32d052ac-44a8-4cc7-8813-9448a7054938"/>
    <xsd:import namespace="61645c51-a236-4929-9caf-6881bbc287a2"/>
    <xsd:element name="properties">
      <xsd:complexType>
        <xsd:sequence>
          <xsd:element name="documentManagement">
            <xsd:complexType>
              <xsd:all>
                <xsd:element ref="ns2:d384941137084987b72884ca8f26b274" minOccurs="0"/>
                <xsd:element ref="ns2:TaxCatchAll" minOccurs="0"/>
                <xsd:element ref="ns2:TaxCatchAllLabel" minOccurs="0"/>
                <xsd:element ref="ns2:i0f84bba906045b4af568ee102a52dcb" minOccurs="0"/>
                <xsd:element ref="ns2:RevIMDeletionDate" minOccurs="0"/>
                <xsd:element ref="ns2:RevIMEventDate" minOccurs="0"/>
                <xsd:element ref="ns2:RevIMComments" minOccurs="0"/>
                <xsd:element ref="ns2:RevIMDocumentOwner" minOccurs="0"/>
                <xsd:element ref="ns2:RevIMExtends" minOccurs="0"/>
                <xsd:element ref="ns3:MediaServiceMetadata" minOccurs="0"/>
                <xsd:element ref="ns3:MediaServiceFastMetadata"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2d052ac-44a8-4cc7-8813-9448a7054938" elementFormDefault="qualified">
    <xsd:import namespace="http://schemas.microsoft.com/office/2006/documentManagement/types"/>
    <xsd:import namespace="http://schemas.microsoft.com/office/infopath/2007/PartnerControls"/>
    <xsd:element name="d384941137084987b72884ca8f26b274" ma:index="8" nillable="true" ma:taxonomy="true" ma:internalName="d384941137084987b72884ca8f26b274" ma:taxonomyFieldName="LegalHoldTag" ma:displayName="LegalHold" ma:fieldId="{d3849411-3708-4987-b728-84ca8f26b274}" ma:taxonomyMulti="true" ma:sspId="d35d9ec1-ff0e-4daf-94ff-594c76aa1822" ma:termSetId="1d36a6df-4193-45ed-b3bc-3ba9643c5e0d" ma:anchorId="00000000-0000-0000-0000-000000000000" ma:open="false" ma:isKeyword="false">
      <xsd:complexType>
        <xsd:sequence>
          <xsd:element ref="pc:Terms" minOccurs="0" maxOccurs="1"/>
        </xsd:sequence>
      </xsd:complexType>
    </xsd:element>
    <xsd:element name="TaxCatchAll" ma:index="9" nillable="true" ma:displayName="Taxonomy Catch All Column" ma:hidden="true" ma:list="{40d373d2-28c2-40f8-9cfb-43926f904ced}" ma:internalName="TaxCatchAll" ma:showField="CatchAllData" ma:web="32d052ac-44a8-4cc7-8813-9448a7054938">
      <xsd:complexType>
        <xsd:complexContent>
          <xsd:extension base="dms:MultiChoiceLookup">
            <xsd:sequence>
              <xsd:element name="Value" type="dms:Lookup" maxOccurs="unbounded" minOccurs="0" nillable="true"/>
            </xsd:sequence>
          </xsd:extension>
        </xsd:complexContent>
      </xsd:complexType>
    </xsd:element>
    <xsd:element name="TaxCatchAllLabel" ma:index="10" nillable="true" ma:displayName="Taxonomy Catch All Column1" ma:hidden="true" ma:list="{40d373d2-28c2-40f8-9cfb-43926f904ced}" ma:internalName="TaxCatchAllLabel" ma:readOnly="true" ma:showField="CatchAllDataLabel" ma:web="32d052ac-44a8-4cc7-8813-9448a7054938">
      <xsd:complexType>
        <xsd:complexContent>
          <xsd:extension base="dms:MultiChoiceLookup">
            <xsd:sequence>
              <xsd:element name="Value" type="dms:Lookup" maxOccurs="unbounded" minOccurs="0" nillable="true"/>
            </xsd:sequence>
          </xsd:extension>
        </xsd:complexContent>
      </xsd:complexType>
    </xsd:element>
    <xsd:element name="i0f84bba906045b4af568ee102a52dcb" ma:index="13" nillable="true" ma:taxonomy="true" ma:internalName="i0f84bba906045b4af568ee102a52dcb" ma:taxonomyFieldName="RevIMBCS" ma:displayName="CSD Class" ma:readOnly="true" ma:default="1;#0.1 Initial category|0239cc7a-0c96-48a8-9e0e-a383e362571c" ma:fieldId="{20f84bba-9060-45b4-af56-8ee102a52dcb}" ma:sspId="d35d9ec1-ff0e-4daf-94ff-594c76aa1822" ma:termSetId="83f400d6-6f53-40a3-8fd2-b80b61df545c" ma:anchorId="00000000-0000-0000-0000-000000000000" ma:open="false" ma:isKeyword="false">
      <xsd:complexType>
        <xsd:sequence>
          <xsd:element ref="pc:Terms" minOccurs="0" maxOccurs="1"/>
        </xsd:sequence>
      </xsd:complexType>
    </xsd:element>
    <xsd:element name="RevIMDeletionDate" ma:index="14" nillable="true" ma:displayName="Deletion Date" ma:description="Deletion Date" ma:format="DateOnly" ma:internalName="RevIMDeletionDate" ma:readOnly="true">
      <xsd:simpleType>
        <xsd:restriction base="dms:DateTime"/>
      </xsd:simpleType>
    </xsd:element>
    <xsd:element name="RevIMEventDate" ma:index="15" nillable="true" ma:displayName="Event Date" ma:description="Event Date" ma:format="DateOnly" ma:internalName="RevIMEventDate" ma:readOnly="true">
      <xsd:simpleType>
        <xsd:restriction base="dms:DateTime"/>
      </xsd:simpleType>
    </xsd:element>
    <xsd:element name="RevIMComments" ma:index="16" nillable="true" ma:displayName="Event Comment" ma:internalName="RevIMComments" ma:readOnly="true">
      <xsd:simpleType>
        <xsd:restriction base="dms:Note">
          <xsd:maxLength value="255"/>
        </xsd:restriction>
      </xsd:simpleType>
    </xsd:element>
    <xsd:element name="RevIMDocumentOwner" ma:index="17" nillable="true" ma:displayName="Document Owner" ma:list="UserInfo" ma:internalName="RevIMDocumentOwner"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RevIMExtends" ma:index="18" nillable="true" ma:displayName="RevIMExtends" ma:hidden="true" ma:internalName="RevIMExtend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1645c51-a236-4929-9caf-6881bbc287a2" elementFormDefault="qualified">
    <xsd:import namespace="http://schemas.microsoft.com/office/2006/documentManagement/types"/>
    <xsd:import namespace="http://schemas.microsoft.com/office/infopath/2007/PartnerControls"/>
    <xsd:element name="MediaServiceMetadata" ma:index="19" nillable="true" ma:displayName="MediaServiceMetadata" ma:hidden="true" ma:internalName="MediaServiceMetadata" ma:readOnly="true">
      <xsd:simpleType>
        <xsd:restriction base="dms:Note"/>
      </xsd:simpleType>
    </xsd:element>
    <xsd:element name="MediaServiceFastMetadata" ma:index="20" nillable="true" ma:displayName="MediaServiceFastMetadata" ma:hidden="true" ma:internalName="MediaServiceFastMetadata" ma:readOnly="true">
      <xsd:simpleType>
        <xsd:restriction base="dms:Note"/>
      </xsd:simpleType>
    </xsd:element>
    <xsd:element name="MediaServiceObjectDetectorVersions" ma:index="2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32d052ac-44a8-4cc7-8813-9448a7054938">
      <Value>1</Value>
    </TaxCatchAll>
    <d384941137084987b72884ca8f26b274 xmlns="32d052ac-44a8-4cc7-8813-9448a7054938">
      <Terms xmlns="http://schemas.microsoft.com/office/infopath/2007/PartnerControls"/>
    </d384941137084987b72884ca8f26b274>
    <RevIMDocumentOwner xmlns="32d052ac-44a8-4cc7-8813-9448a7054938">
      <UserInfo>
        <DisplayName/>
        <AccountId xsi:nil="true"/>
        <AccountType/>
      </UserInfo>
    </RevIMDocumentOwner>
    <i0f84bba906045b4af568ee102a52dcb xmlns="32d052ac-44a8-4cc7-8813-9448a7054938">
      <Terms xmlns="http://schemas.microsoft.com/office/infopath/2007/PartnerControls">
        <TermInfo xmlns="http://schemas.microsoft.com/office/infopath/2007/PartnerControls">
          <TermName xmlns="http://schemas.microsoft.com/office/infopath/2007/PartnerControls">0.1 Initial category</TermName>
          <TermId xmlns="http://schemas.microsoft.com/office/infopath/2007/PartnerControls">0239cc7a-0c96-48a8-9e0e-a383e362571c</TermId>
        </TermInfo>
      </Terms>
    </i0f84bba906045b4af568ee102a52dcb>
    <RevIMComments xmlns="32d052ac-44a8-4cc7-8813-9448a7054938" xsi:nil="true"/>
    <RevIMDeletionDate xmlns="32d052ac-44a8-4cc7-8813-9448a7054938">2025-11-22T18:09:29+00:00</RevIMDeletionDate>
    <RevIMExtends xmlns="32d052ac-44a8-4cc7-8813-9448a7054938">{"Classified":"2023-11-22T18:15:01.838Z","KSUClass":"0239cc7a-0c96-48a8-9e0e-a383e362571c"}</RevIMExtends>
    <RevIMEventDate xmlns="32d052ac-44a8-4cc7-8813-9448a7054938" xsi:nil="true"/>
  </documentManagement>
</p:properties>
</file>

<file path=customXml/itemProps1.xml><?xml version="1.0" encoding="utf-8"?>
<ds:datastoreItem xmlns:ds="http://schemas.openxmlformats.org/officeDocument/2006/customXml" ds:itemID="{E74B61DE-2EA4-4B5F-94EB-9A6D06B4779B}"/>
</file>

<file path=customXml/itemProps2.xml><?xml version="1.0" encoding="utf-8"?>
<ds:datastoreItem xmlns:ds="http://schemas.openxmlformats.org/officeDocument/2006/customXml" ds:itemID="{945019BA-7A89-433E-826D-F19EB48895AC}"/>
</file>

<file path=customXml/itemProps3.xml><?xml version="1.0" encoding="utf-8"?>
<ds:datastoreItem xmlns:ds="http://schemas.openxmlformats.org/officeDocument/2006/customXml" ds:itemID="{180642A0-7F86-4F05-A42E-DBE369793894}"/>
</file>

<file path=docProps/app.xml><?xml version="1.0" encoding="utf-8"?>
<Properties xmlns="http://schemas.openxmlformats.org/officeDocument/2006/extended-properties" xmlns:vt="http://schemas.openxmlformats.org/officeDocument/2006/docPropsVTypes">
  <Application>Microsoft Excel Online</Application>
  <Manager/>
  <Company>AUDI AG</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Audit Checkliste</dc:title>
  <dc:subject/>
  <dc:creator>Floesser, Philipp (N/PL-72)</dc:creator>
  <cp:keywords/>
  <dc:description/>
  <cp:lastModifiedBy>Fallmann, Lukas (N/BS-4)</cp:lastModifiedBy>
  <cp:revision/>
  <dcterms:created xsi:type="dcterms:W3CDTF">2008-04-16T07:43:33Z</dcterms:created>
  <dcterms:modified xsi:type="dcterms:W3CDTF">2023-11-24T06:47:42Z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0x010100048B23D460457A43B28D7CA7259F0803</vt:lpwstr>
  </property>
  <property fmtid="{D5CDD505-2E9C-101B-9397-08002B2CF9AE}" pid="3" name="MSIP_Label_a6b84135-ab90-4b03-a415-784f8f15a7f1_Enabled">
    <vt:lpwstr>true</vt:lpwstr>
  </property>
  <property fmtid="{D5CDD505-2E9C-101B-9397-08002B2CF9AE}" pid="4" name="MSIP_Label_a6b84135-ab90-4b03-a415-784f8f15a7f1_SetDate">
    <vt:lpwstr>2023-08-25T11:14:11Z</vt:lpwstr>
  </property>
  <property fmtid="{D5CDD505-2E9C-101B-9397-08002B2CF9AE}" pid="5" name="MSIP_Label_a6b84135-ab90-4b03-a415-784f8f15a7f1_Method">
    <vt:lpwstr>Privileged</vt:lpwstr>
  </property>
  <property fmtid="{D5CDD505-2E9C-101B-9397-08002B2CF9AE}" pid="6" name="MSIP_Label_a6b84135-ab90-4b03-a415-784f8f15a7f1_Name">
    <vt:lpwstr>a6b84135-ab90-4b03-a415-784f8f15a7f1</vt:lpwstr>
  </property>
  <property fmtid="{D5CDD505-2E9C-101B-9397-08002B2CF9AE}" pid="7" name="MSIP_Label_a6b84135-ab90-4b03-a415-784f8f15a7f1_SiteId">
    <vt:lpwstr>2882be50-2012-4d88-ac86-544124e120c8</vt:lpwstr>
  </property>
  <property fmtid="{D5CDD505-2E9C-101B-9397-08002B2CF9AE}" pid="8" name="MSIP_Label_a6b84135-ab90-4b03-a415-784f8f15a7f1_ContentBits">
    <vt:lpwstr>0</vt:lpwstr>
  </property>
  <property fmtid="{D5CDD505-2E9C-101B-9397-08002B2CF9AE}" pid="9" name="RevIMBCS">
    <vt:lpwstr>1;#0.1 Initial category|0239cc7a-0c96-48a8-9e0e-a383e362571c</vt:lpwstr>
  </property>
  <property fmtid="{D5CDD505-2E9C-101B-9397-08002B2CF9AE}" pid="10" name="LegalHoldTag">
    <vt:lpwstr/>
  </property>
</Properties>
</file>