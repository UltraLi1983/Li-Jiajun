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643B0D74-A683-FBA9-23B4-8A0AA6E0B6B9}"/>
  <workbookPr codeName="DieseArbeitsmappe" defaultThemeVersion="166925"/>
  <mc:AlternateContent xmlns:mc="http://schemas.openxmlformats.org/markup-compatibility/2006">
    <mc:Choice Requires="x15">
      <x15ac:absPath xmlns:x15ac="http://schemas.microsoft.com/office/spreadsheetml/2010/11/ac" url="/Users/lijiajun/Documents/Python Documents/VDA6.8完整审核工具表/"/>
    </mc:Choice>
  </mc:AlternateContent>
  <xr:revisionPtr revIDLastSave="0" documentId="13_ncr:1_{E7293D12-EAA0-9A4B-95F0-A290EBDFE858}" xr6:coauthVersionLast="47" xr6:coauthVersionMax="47" xr10:uidLastSave="{00000000-0000-0000-0000-000000000000}"/>
  <bookViews>
    <workbookView xWindow="-3120" yWindow="-23400" windowWidth="38400" windowHeight="23400" activeTab="4" xr2:uid="{00000000-000D-0000-FFFF-FFFF00000000}"/>
  </bookViews>
  <sheets>
    <sheet name="Datasheet" sheetId="2" r:id="rId1"/>
    <sheet name="Evaluationsheet" sheetId="3" r:id="rId2"/>
    <sheet name="Remarks" sheetId="4" r:id="rId3"/>
    <sheet name="Source" sheetId="5" state="hidden" r:id="rId4"/>
    <sheet name="L1 - Project management" sheetId="6" r:id="rId5"/>
    <sheet name="L2 - Logistics planning" sheetId="7" r:id="rId6"/>
    <sheet name="L3 - Suppliermgt." sheetId="8" r:id="rId7"/>
    <sheet name="L4 - Procurement logistics" sheetId="9" r:id="rId8"/>
    <sheet name="L5 - Transport logistics" sheetId="10" r:id="rId9"/>
    <sheet name="L6 -  In-house logistics" sheetId="11" r:id="rId10"/>
    <sheet name="L7 - Customer management" sheetId="12" r:id="rId11"/>
    <sheet name="LOP" sheetId="14" r:id="rId12"/>
    <sheet name="Radar chart" sheetId="13" state="hidden" r:id="rId13"/>
  </sheets>
  <externalReferences>
    <externalReference r:id="rId14"/>
    <externalReference r:id="rId15"/>
    <externalReference r:id="rId16"/>
  </externalReferences>
  <definedNames>
    <definedName name="_xleta.AND" hidden="1" xlm="1">#NAME?</definedName>
    <definedName name="_xleta.NOT" hidden="1" xlm="1">#NAME?</definedName>
    <definedName name="A_min">0.9</definedName>
    <definedName name="B_min">0.8</definedName>
    <definedName name="BewertungsListe" localSheetId="12">[1]Source!$B$60:$B$65</definedName>
    <definedName name="BewertungsListe">Source!$B$60:$B$65</definedName>
    <definedName name="Ergebnis" comment="Audit-Ergebnis in %" localSheetId="12">#REF!</definedName>
    <definedName name="Ergebnis" comment="Audit-Ergebnis in %">[2]Evaluationsheet!$C$17</definedName>
    <definedName name="Max_Nichtantworten" comment="Anzahl maximal nicht beantworteter Fragen pro Modul" localSheetId="12">#REF!</definedName>
    <definedName name="Max_Nichtantworten" comment="Anzahl maximal nicht beantworteter Fragen pro Modul">[2]Datasheet!$L$11</definedName>
    <definedName name="Modul1_Bew" localSheetId="12">[3]Datenquelle!$G$5</definedName>
    <definedName name="Modul1_Bew">[2]Datenquelle!$G$5</definedName>
    <definedName name="Modul2_Bew" localSheetId="12">[3]Datenquelle!$L$5</definedName>
    <definedName name="Modul2_Bew">[2]Datenquelle!$L$5</definedName>
    <definedName name="Modul3_Bew" localSheetId="12">[3]Datenquelle!$Q$5</definedName>
    <definedName name="Modul3_Bew">[2]Datenquelle!$Q$5</definedName>
    <definedName name="Modul4_Bew" localSheetId="12">[3]Datenquelle!$V$5</definedName>
    <definedName name="Modul4_Bew">[2]Datenquelle!$V$5</definedName>
    <definedName name="Modul5_Bew" localSheetId="12">[3]Datenquelle!$AA$5</definedName>
    <definedName name="Modul5_Bew">[2]Datenquelle!$AA$5</definedName>
    <definedName name="Modul6_Bew" localSheetId="12">[3]Datenquelle!$AF$5</definedName>
    <definedName name="Modul6_Bew">[2]Datenquelle!$AF$5</definedName>
    <definedName name="Modul7_Bew" localSheetId="12">[3]Datenquelle!$AK$5</definedName>
    <definedName name="Modul7_Bew">[2]Datenquelle!$AK$5</definedName>
    <definedName name="Modul8_Bew" localSheetId="12">[3]Datenquelle!$AP$5</definedName>
    <definedName name="Modul8_Bew">[2]Datenquelle!$AP$5</definedName>
    <definedName name="_xlnm.Print_Area" localSheetId="0">Datasheet!$A$1:$F$48</definedName>
    <definedName name="_xlnm.Print_Area" localSheetId="1">Evaluationsheet!$A$1:$J$49</definedName>
    <definedName name="_xlnm.Print_Area" localSheetId="11">LOP!$A$1:$J$27</definedName>
    <definedName name="_xlnm.Print_Area" localSheetId="12">'Radar chart'!$A$1:$M$18</definedName>
    <definedName name="RatingScores">Source!$C$60:$C$65</definedName>
    <definedName name="Schrittweite" comment="Gibt an, um wie viel % sich die Bewertung einer Frage pro Bewertungsschritt verschlechtert" localSheetId="12">#REF!</definedName>
    <definedName name="Schrittwei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4" l="1"/>
  <c r="F62" i="12"/>
  <c r="F61" i="12"/>
  <c r="D60" i="12"/>
  <c r="F60" i="12" s="1"/>
  <c r="D58" i="12"/>
  <c r="F58" i="12" s="1"/>
  <c r="F55" i="12"/>
  <c r="F53" i="12"/>
  <c r="F49" i="12"/>
  <c r="F47" i="12"/>
  <c r="F45" i="12"/>
  <c r="F43" i="12"/>
  <c r="F41" i="12"/>
  <c r="F37" i="12"/>
  <c r="F35" i="12"/>
  <c r="F33" i="12"/>
  <c r="F29" i="12"/>
  <c r="F27" i="12"/>
  <c r="F25" i="12"/>
  <c r="F23" i="12"/>
  <c r="F19" i="12"/>
  <c r="F17" i="12"/>
  <c r="F15" i="12"/>
  <c r="F11" i="12"/>
  <c r="F9" i="12"/>
  <c r="F7" i="12"/>
  <c r="F86" i="11"/>
  <c r="F85" i="11"/>
  <c r="D84" i="11"/>
  <c r="F84" i="11" s="1"/>
  <c r="D82" i="11"/>
  <c r="F82" i="11" s="1"/>
  <c r="F79" i="11"/>
  <c r="F77" i="11"/>
  <c r="F73" i="11"/>
  <c r="F71" i="11"/>
  <c r="F69" i="11"/>
  <c r="F67" i="11"/>
  <c r="F65" i="11"/>
  <c r="F63" i="11"/>
  <c r="F59" i="11"/>
  <c r="F57" i="11"/>
  <c r="F55" i="11"/>
  <c r="F53" i="11"/>
  <c r="F51" i="11"/>
  <c r="F49" i="11"/>
  <c r="F47" i="11"/>
  <c r="F43" i="11"/>
  <c r="F41" i="11"/>
  <c r="F39" i="11"/>
  <c r="F37" i="11"/>
  <c r="F33" i="11"/>
  <c r="F31" i="11"/>
  <c r="F29" i="11"/>
  <c r="F27" i="11"/>
  <c r="F25" i="11"/>
  <c r="F23" i="11"/>
  <c r="F21" i="11"/>
  <c r="F19" i="11"/>
  <c r="F17" i="11"/>
  <c r="F15" i="11"/>
  <c r="F11" i="11"/>
  <c r="F9" i="11"/>
  <c r="F7" i="11"/>
  <c r="F68" i="10"/>
  <c r="F67" i="10"/>
  <c r="D66" i="10"/>
  <c r="F66" i="10" s="1"/>
  <c r="D64" i="10"/>
  <c r="F64" i="10" s="1"/>
  <c r="F61" i="10"/>
  <c r="F59" i="10"/>
  <c r="F55" i="10"/>
  <c r="F53" i="10"/>
  <c r="F51" i="10"/>
  <c r="F49" i="10"/>
  <c r="F47" i="10"/>
  <c r="F45" i="10"/>
  <c r="F41" i="10"/>
  <c r="F39" i="10"/>
  <c r="F37" i="10"/>
  <c r="F35" i="10"/>
  <c r="F31" i="10"/>
  <c r="F29" i="10"/>
  <c r="F27" i="10"/>
  <c r="F25" i="10"/>
  <c r="F21" i="10"/>
  <c r="F19" i="10"/>
  <c r="F17" i="10"/>
  <c r="F15" i="10"/>
  <c r="F13" i="10"/>
  <c r="F9" i="10"/>
  <c r="F7" i="10"/>
  <c r="F70" i="9"/>
  <c r="F69" i="9"/>
  <c r="D68" i="9"/>
  <c r="F68" i="9" s="1"/>
  <c r="D66" i="9"/>
  <c r="F66" i="9" s="1"/>
  <c r="F63" i="9"/>
  <c r="F61" i="9"/>
  <c r="F57" i="9"/>
  <c r="F55" i="9"/>
  <c r="F53" i="9"/>
  <c r="F51" i="9"/>
  <c r="F49" i="9"/>
  <c r="F45" i="9"/>
  <c r="F43" i="9"/>
  <c r="F41" i="9"/>
  <c r="F39" i="9"/>
  <c r="F35" i="9"/>
  <c r="F33" i="9"/>
  <c r="F31" i="9"/>
  <c r="F29" i="9"/>
  <c r="F25" i="9"/>
  <c r="F23" i="9"/>
  <c r="F21" i="9"/>
  <c r="F19" i="9"/>
  <c r="F17" i="9"/>
  <c r="F13" i="9"/>
  <c r="F11" i="9"/>
  <c r="F9" i="9"/>
  <c r="F7" i="9"/>
  <c r="F66" i="8"/>
  <c r="F65" i="8"/>
  <c r="D64" i="8"/>
  <c r="F64" i="8" s="1"/>
  <c r="D62" i="8"/>
  <c r="F62" i="8" s="1"/>
  <c r="F59" i="8"/>
  <c r="F57" i="8"/>
  <c r="F53" i="8"/>
  <c r="F51" i="8"/>
  <c r="F49" i="8"/>
  <c r="F47" i="8"/>
  <c r="F45" i="8"/>
  <c r="F41" i="8"/>
  <c r="F39" i="8"/>
  <c r="F37" i="8"/>
  <c r="F33" i="8"/>
  <c r="F31" i="8"/>
  <c r="F29" i="8"/>
  <c r="F27" i="8"/>
  <c r="F23" i="8"/>
  <c r="F21" i="8"/>
  <c r="F19" i="8"/>
  <c r="F17" i="8"/>
  <c r="F15" i="8"/>
  <c r="F13" i="8"/>
  <c r="F11" i="8"/>
  <c r="F7" i="8"/>
  <c r="F70" i="7"/>
  <c r="F69" i="7"/>
  <c r="D68" i="7"/>
  <c r="F68" i="7" s="1"/>
  <c r="D66" i="7"/>
  <c r="F66" i="7" s="1"/>
  <c r="F63" i="7"/>
  <c r="F61" i="7"/>
  <c r="F59" i="7"/>
  <c r="F55" i="7"/>
  <c r="F53" i="7"/>
  <c r="F51" i="7"/>
  <c r="F49" i="7"/>
  <c r="F45" i="7"/>
  <c r="F43" i="7"/>
  <c r="F41" i="7"/>
  <c r="F39" i="7"/>
  <c r="F35" i="7"/>
  <c r="F33" i="7"/>
  <c r="F31" i="7"/>
  <c r="F29" i="7"/>
  <c r="F25" i="7"/>
  <c r="F23" i="7"/>
  <c r="F21" i="7"/>
  <c r="F19" i="7"/>
  <c r="F17" i="7"/>
  <c r="F15" i="7"/>
  <c r="F13" i="7"/>
  <c r="F9" i="7"/>
  <c r="F7" i="7"/>
  <c r="F68" i="6"/>
  <c r="F67" i="6"/>
  <c r="D66" i="6"/>
  <c r="F66" i="6" s="1"/>
  <c r="D64" i="6"/>
  <c r="F64" i="6" s="1"/>
  <c r="F61" i="6"/>
  <c r="F59" i="6"/>
  <c r="F57" i="6"/>
  <c r="F53" i="6"/>
  <c r="F51" i="6"/>
  <c r="F49" i="6"/>
  <c r="F47" i="6"/>
  <c r="F43" i="6"/>
  <c r="F41" i="6"/>
  <c r="F39" i="6"/>
  <c r="F35" i="6"/>
  <c r="F33" i="6"/>
  <c r="F31" i="6"/>
  <c r="F29" i="6"/>
  <c r="F25" i="6"/>
  <c r="F23" i="6"/>
  <c r="F21" i="6"/>
  <c r="F19" i="6"/>
  <c r="F17" i="6"/>
  <c r="F13" i="6"/>
  <c r="F11" i="6"/>
  <c r="F9" i="6"/>
  <c r="F7" i="6"/>
  <c r="H46" i="5"/>
  <c r="H47" i="5" s="1"/>
  <c r="G46" i="5"/>
  <c r="G47" i="5" s="1"/>
  <c r="F46" i="5"/>
  <c r="F47" i="5" s="1"/>
  <c r="E46" i="5"/>
  <c r="E47" i="5" s="1"/>
  <c r="D46" i="5"/>
  <c r="D47" i="5" s="1"/>
  <c r="C46" i="5"/>
  <c r="C47" i="5" s="1"/>
  <c r="B46" i="5"/>
  <c r="B47" i="5" s="1"/>
  <c r="B32" i="5"/>
  <c r="C32" i="5" s="1"/>
  <c r="A58" i="5" s="1"/>
  <c r="B31" i="5"/>
  <c r="C31" i="5" s="1"/>
  <c r="A57" i="5" s="1"/>
  <c r="B30" i="5"/>
  <c r="H11" i="5"/>
  <c r="G11" i="5"/>
  <c r="F11" i="5"/>
  <c r="E11" i="5"/>
  <c r="D11" i="5"/>
  <c r="C11" i="5"/>
  <c r="B11" i="5"/>
  <c r="H10" i="5"/>
  <c r="G10" i="5"/>
  <c r="F10" i="5"/>
  <c r="E10" i="5"/>
  <c r="D10" i="5"/>
  <c r="C10" i="5"/>
  <c r="B10" i="5"/>
  <c r="F178" i="4"/>
  <c r="F177" i="4"/>
  <c r="F176" i="4"/>
  <c r="F175" i="4"/>
  <c r="F174" i="4"/>
  <c r="F173" i="4"/>
  <c r="F172" i="4"/>
  <c r="F171" i="4"/>
  <c r="F170" i="4"/>
  <c r="F169" i="4"/>
  <c r="F168" i="4"/>
  <c r="F167" i="4"/>
  <c r="F166" i="4"/>
  <c r="F165" i="4"/>
  <c r="F164" i="4"/>
  <c r="F163" i="4"/>
  <c r="F162" i="4"/>
  <c r="F161" i="4"/>
  <c r="F160" i="4"/>
  <c r="F159" i="4"/>
  <c r="F157" i="4"/>
  <c r="F156" i="4"/>
  <c r="F155" i="4"/>
  <c r="F154" i="4"/>
  <c r="F153" i="4"/>
  <c r="F152" i="4"/>
  <c r="F151" i="4"/>
  <c r="F150" i="4"/>
  <c r="F149" i="4"/>
  <c r="F148" i="4"/>
  <c r="F147" i="4"/>
  <c r="F146" i="4"/>
  <c r="F145" i="4"/>
  <c r="F144" i="4"/>
  <c r="F143" i="4"/>
  <c r="F142" i="4"/>
  <c r="F141" i="4"/>
  <c r="F140" i="4"/>
  <c r="F139" i="4"/>
  <c r="F138" i="4"/>
  <c r="F137" i="4"/>
  <c r="F136" i="4"/>
  <c r="F135" i="4"/>
  <c r="F134" i="4"/>
  <c r="F133" i="4"/>
  <c r="F132" i="4"/>
  <c r="F131" i="4"/>
  <c r="F130" i="4"/>
  <c r="F129" i="4"/>
  <c r="F128" i="4"/>
  <c r="F127" i="4"/>
  <c r="F126" i="4"/>
  <c r="F124" i="4"/>
  <c r="F123" i="4"/>
  <c r="F122" i="4"/>
  <c r="F121" i="4"/>
  <c r="F120" i="4"/>
  <c r="F119" i="4"/>
  <c r="F118" i="4"/>
  <c r="F117" i="4"/>
  <c r="F116" i="4"/>
  <c r="F115" i="4"/>
  <c r="F114" i="4"/>
  <c r="F113" i="4"/>
  <c r="F112" i="4"/>
  <c r="F111" i="4"/>
  <c r="F110" i="4"/>
  <c r="F109" i="4"/>
  <c r="F108" i="4"/>
  <c r="F107" i="4"/>
  <c r="F106" i="4"/>
  <c r="F105" i="4"/>
  <c r="F104" i="4"/>
  <c r="F103" i="4"/>
  <c r="F102" i="4"/>
  <c r="F100" i="4"/>
  <c r="F99" i="4"/>
  <c r="F98" i="4"/>
  <c r="F97" i="4"/>
  <c r="F96" i="4"/>
  <c r="F95" i="4"/>
  <c r="F94" i="4"/>
  <c r="F93" i="4"/>
  <c r="F92" i="4"/>
  <c r="F91" i="4"/>
  <c r="F90" i="4"/>
  <c r="F89" i="4"/>
  <c r="F88" i="4"/>
  <c r="F87" i="4"/>
  <c r="F86" i="4"/>
  <c r="F85" i="4"/>
  <c r="F84" i="4"/>
  <c r="F83" i="4"/>
  <c r="F82" i="4"/>
  <c r="F81" i="4"/>
  <c r="F80" i="4"/>
  <c r="F79" i="4"/>
  <c r="F78" i="4"/>
  <c r="F77" i="4"/>
  <c r="F75" i="4"/>
  <c r="F74" i="4"/>
  <c r="F73" i="4"/>
  <c r="F72" i="4"/>
  <c r="F71" i="4"/>
  <c r="F70" i="4"/>
  <c r="F69" i="4"/>
  <c r="F68" i="4"/>
  <c r="F67" i="4"/>
  <c r="F66" i="4"/>
  <c r="F65" i="4"/>
  <c r="F64" i="4"/>
  <c r="F63" i="4"/>
  <c r="F62" i="4"/>
  <c r="F61" i="4"/>
  <c r="F60" i="4"/>
  <c r="F59" i="4"/>
  <c r="F58" i="4"/>
  <c r="F57" i="4"/>
  <c r="F56" i="4"/>
  <c r="F55" i="4"/>
  <c r="F54" i="4"/>
  <c r="F52" i="4"/>
  <c r="F51" i="4"/>
  <c r="F50" i="4"/>
  <c r="F49" i="4"/>
  <c r="F48" i="4"/>
  <c r="F47" i="4"/>
  <c r="F46" i="4"/>
  <c r="F45" i="4"/>
  <c r="F44" i="4"/>
  <c r="F43" i="4"/>
  <c r="F42" i="4"/>
  <c r="F41" i="4"/>
  <c r="F40" i="4"/>
  <c r="F39" i="4"/>
  <c r="F38" i="4"/>
  <c r="F37" i="4"/>
  <c r="F36" i="4"/>
  <c r="F35" i="4"/>
  <c r="F34" i="4"/>
  <c r="F33" i="4"/>
  <c r="F32" i="4"/>
  <c r="F31" i="4"/>
  <c r="F30" i="4"/>
  <c r="F29" i="4"/>
  <c r="F27" i="4"/>
  <c r="F26" i="4"/>
  <c r="F25" i="4"/>
  <c r="F24" i="4"/>
  <c r="F23" i="4"/>
  <c r="F22" i="4"/>
  <c r="F21" i="4"/>
  <c r="F20" i="4"/>
  <c r="F19" i="4"/>
  <c r="F18" i="4"/>
  <c r="F17" i="4"/>
  <c r="F16" i="4"/>
  <c r="F15" i="4"/>
  <c r="F14" i="4"/>
  <c r="F13" i="4"/>
  <c r="F12" i="4"/>
  <c r="F11" i="4"/>
  <c r="F10" i="4"/>
  <c r="F9" i="4"/>
  <c r="F8" i="4"/>
  <c r="F7" i="4"/>
  <c r="F6" i="4"/>
  <c r="F5" i="4"/>
  <c r="B48" i="5" l="1"/>
  <c r="B33" i="5"/>
  <c r="C33" i="5" s="1"/>
  <c r="A59" i="5" s="1"/>
  <c r="B38" i="5"/>
  <c r="H10" i="3"/>
  <c r="H8" i="5"/>
  <c r="E10" i="3"/>
  <c r="D9" i="13" s="1"/>
  <c r="H5" i="5"/>
  <c r="H9" i="3"/>
  <c r="G8" i="5"/>
  <c r="E9" i="3"/>
  <c r="D8" i="13" s="1"/>
  <c r="G5" i="5"/>
  <c r="H8" i="3"/>
  <c r="F8" i="5"/>
  <c r="E8" i="3"/>
  <c r="D7" i="13" s="1"/>
  <c r="F5" i="5"/>
  <c r="H7" i="3"/>
  <c r="E8" i="5"/>
  <c r="E7" i="3"/>
  <c r="D6" i="13" s="1"/>
  <c r="E5" i="5"/>
  <c r="H6" i="3"/>
  <c r="D8" i="5"/>
  <c r="E6" i="3"/>
  <c r="D5" i="13" s="1"/>
  <c r="D5" i="5"/>
  <c r="H5" i="3"/>
  <c r="C8" i="5"/>
  <c r="E5" i="3"/>
  <c r="D4" i="13" s="1"/>
  <c r="C5" i="5"/>
  <c r="H4" i="3"/>
  <c r="B8" i="5"/>
  <c r="E4" i="3"/>
  <c r="D3" i="13" s="1"/>
  <c r="B5" i="5"/>
  <c r="B39" i="5"/>
  <c r="E16" i="3" s="1"/>
  <c r="C30" i="5"/>
  <c r="B41" i="5" l="1"/>
  <c r="E15" i="3"/>
  <c r="A55" i="5"/>
  <c r="A56" i="5"/>
  <c r="B2" i="13"/>
  <c r="B29" i="5"/>
  <c r="C29" i="5" s="1"/>
  <c r="A53" i="5" l="1"/>
  <c r="E31" i="2"/>
  <c r="A54" i="5"/>
  <c r="F33" i="5"/>
  <c r="B50" i="5" l="1"/>
  <c r="E18" i="3"/>
  <c r="E28" i="2" s="1"/>
  <c r="E30" i="2" s="1"/>
</calcChain>
</file>

<file path=xl/sharedStrings.xml><?xml version="1.0" encoding="utf-8"?>
<sst xmlns="http://schemas.openxmlformats.org/spreadsheetml/2006/main" count="2084" uniqueCount="970">
  <si>
    <t>VDA 6.8 – Evaluation Overview</t>
  </si>
  <si>
    <t>Rating rules</t>
  </si>
  <si>
    <t>A: E_G ≥ 90%</t>
  </si>
  <si>
    <t>No.</t>
  </si>
  <si>
    <t>Process element</t>
  </si>
  <si>
    <t>E_Ln</t>
  </si>
  <si>
    <t>E_Kn (critical path)</t>
  </si>
  <si>
    <t>Questions</t>
  </si>
  <si>
    <t>B: 80% ≤ E_G &lt; 90%</t>
  </si>
  <si>
    <t>1</t>
  </si>
  <si>
    <t>Process element 1: Project management/strategy</t>
  </si>
  <si>
    <t>C: E_G &lt; 80%</t>
  </si>
  <si>
    <t>2</t>
  </si>
  <si>
    <t>Process element 2: Planning of logistical processes</t>
  </si>
  <si>
    <t>Per-question max: 10 points</t>
  </si>
  <si>
    <t>3</t>
  </si>
  <si>
    <t>Process element 3: Supplier and service provider management</t>
  </si>
  <si>
    <t>4</t>
  </si>
  <si>
    <t>Process element 4: Procurement logistics</t>
  </si>
  <si>
    <t>5</t>
  </si>
  <si>
    <t>Process element 5: Transport logistics</t>
  </si>
  <si>
    <t>6</t>
  </si>
  <si>
    <t>Process element 6: In-house logistics</t>
  </si>
  <si>
    <t>7</t>
  </si>
  <si>
    <t>Process element 7: Customer management</t>
  </si>
  <si>
    <t>Overall Assessment</t>
  </si>
  <si>
    <t>E_G (overall compliance):</t>
  </si>
  <si>
    <t>E_K (critical path overall):</t>
  </si>
  <si>
    <t>Remarks</t>
  </si>
  <si>
    <t>Datasheet - Supply Chain Audit</t>
  </si>
  <si>
    <t>General information</t>
  </si>
  <si>
    <t>Scoring: each question max 10 pts (VDA: 0 / 4 / 6 / 8 / 10); n.e. = not evaluated</t>
  </si>
  <si>
    <t>Date of assessment:</t>
  </si>
  <si>
    <t>Reason for assessment:</t>
  </si>
  <si>
    <t>Supply Chain Audit</t>
  </si>
  <si>
    <t>Part number:</t>
  </si>
  <si>
    <t>Part name:</t>
  </si>
  <si>
    <t>FS-/GS-number:</t>
  </si>
  <si>
    <t>Address (zip, city, street, No.):</t>
  </si>
  <si>
    <t>Supplier number:</t>
  </si>
  <si>
    <t>DUNS-No.:</t>
  </si>
  <si>
    <t>Name of assessor:</t>
  </si>
  <si>
    <t>Department:</t>
  </si>
  <si>
    <t>Date of visit:</t>
  </si>
  <si>
    <t>OEM participants:</t>
  </si>
  <si>
    <t>Employees:</t>
  </si>
  <si>
    <t>Parent company:</t>
  </si>
  <si>
    <t>Other locations:</t>
  </si>
  <si>
    <t>References/
current supply relationships:</t>
  </si>
  <si>
    <t>Imprint</t>
  </si>
  <si>
    <t>Author:</t>
  </si>
  <si>
    <t>Version:</t>
  </si>
  <si>
    <t>Questions overview | Remarks</t>
  </si>
  <si>
    <t>VDA No.</t>
  </si>
  <si>
    <t>Question</t>
  </si>
  <si>
    <t>Evaluation</t>
  </si>
  <si>
    <t>Link</t>
  </si>
  <si>
    <t>Process element 1 - Project management/strategy</t>
  </si>
  <si>
    <t>1.1.1</t>
  </si>
  <si>
    <t>*</t>
  </si>
  <si>
    <t>Are requirements integrated into project management and continuously taken into account?</t>
  </si>
  <si>
    <t>🔙</t>
  </si>
  <si>
    <t>1.1.2</t>
  </si>
  <si>
    <t>Is project-specific data and/or information available to the logistical project?</t>
  </si>
  <si>
    <t>1.1.3</t>
  </si>
  <si>
    <t>Has the project objective been checked for technical and economic feasibility?</t>
  </si>
  <si>
    <t>1.1.4</t>
  </si>
  <si>
    <t>Can logistical targets be derived from a superordinate company strategy?</t>
  </si>
  <si>
    <t>1.2.1</t>
  </si>
  <si>
    <t>Have criteria and processes for the classification of logistical projects been established?</t>
  </si>
  <si>
    <t>1.2.2</t>
  </si>
  <si>
    <t>Are the SC functions integrated in the commodity creation process?</t>
  </si>
  <si>
    <t>1.2.3</t>
  </si>
  <si>
    <t>Has a project management strategy (including a project organization) been established?</t>
  </si>
  <si>
    <t>1.2.4</t>
  </si>
  <si>
    <t>Has an escalation process, including coordinated communication, been established, and is it effectively implemented?</t>
  </si>
  <si>
    <t>1.2.5</t>
  </si>
  <si>
    <t>Are methods of risk analysis established at the start of the project phase, and are they implemented?</t>
  </si>
  <si>
    <t>1.3.1</t>
  </si>
  <si>
    <t>Have requirement profiles been defined for all required tasks in the project structure?</t>
  </si>
  <si>
    <t>1.3.2</t>
  </si>
  <si>
    <t>Is there a concept for utilizing and implementing specialized knowledge outside one's own organization?</t>
  </si>
  <si>
    <t>1.3.3</t>
  </si>
  <si>
    <t>Do the employees know their responsibilities and authorizations within the project structure?</t>
  </si>
  <si>
    <t>1.3.4</t>
  </si>
  <si>
    <t>Are the necessary human resources available?</t>
  </si>
  <si>
    <t>1.4.1</t>
  </si>
  <si>
    <t>Is there a suitable IT emergency solution strategy, incl. regular data backup?</t>
  </si>
  <si>
    <t>1.4.2</t>
  </si>
  <si>
    <t>Is there a suitable pervasive IT infrastructure?</t>
  </si>
  <si>
    <t>1.4.3</t>
  </si>
  <si>
    <t>Are the workstations set up in accordance with ergonomic and safety principles?</t>
  </si>
  <si>
    <t>1.5.1</t>
  </si>
  <si>
    <t>Have suitable parameters been defined for project management, including target values, and are they applied?</t>
  </si>
  <si>
    <t>1.5.2</t>
  </si>
  <si>
    <t>Is analyzable process data collected and communicated?</t>
  </si>
  <si>
    <t>1.5.3</t>
  </si>
  <si>
    <t>In case of process and target deviations, are causes analyzed and corrective measures checked for effectiveness?</t>
  </si>
  <si>
    <t>1.5.4</t>
  </si>
  <si>
    <t>Are methods of continuous process improvement implemented?</t>
  </si>
  <si>
    <t>1.6.1</t>
  </si>
  <si>
    <t>Are all processes from the process flow effectively/efficiently implemented, reviewed and communicated and available as results?</t>
  </si>
  <si>
    <t>1.6.2</t>
  </si>
  <si>
    <t>Is the lessons-learned method regularly used in order to implement the resulting findings and potential improvements?</t>
  </si>
  <si>
    <t>1.6.3</t>
  </si>
  <si>
    <t>Has a handover to the downstream process taken place?</t>
  </si>
  <si>
    <t>Process element 2 - Planning of logistical processes</t>
  </si>
  <si>
    <t>2.1.1</t>
  </si>
  <si>
    <t>Is the output of the upstream process integrated into planning and implementation?</t>
  </si>
  <si>
    <t>2.1.2</t>
  </si>
  <si>
    <t>Are requirements integrated into supply chain planning and continuously taken into account?</t>
  </si>
  <si>
    <t>2.2.1</t>
  </si>
  <si>
    <t>Are methods of risk analysis established during the implementation of logistical processes, and are they used?</t>
  </si>
  <si>
    <t>2.2.2</t>
  </si>
  <si>
    <t>Are deviations from / changes to the planning status documented and communicated?</t>
  </si>
  <si>
    <t>2.2.3</t>
  </si>
  <si>
    <t>Is material master and material flow data defined in the planning process and continuously monitored?</t>
  </si>
  <si>
    <t>2.2.4</t>
  </si>
  <si>
    <t>Has an emergency concept been described for the defined logistical processes and is it tested?</t>
  </si>
  <si>
    <t>2.2.5</t>
  </si>
  <si>
    <t>Are the processes for in-house logistics, including packaging and container management, defined in planning, and are they continuously adjusted?</t>
  </si>
  <si>
    <t>2.2.6</t>
  </si>
  <si>
    <t>Is there a transport concept for ensuring customized supply?</t>
  </si>
  <si>
    <t>2.2.7</t>
  </si>
  <si>
    <t>Are the processes for procurement and supplier management defined in planning, and are they continuously monitored?</t>
  </si>
  <si>
    <t>2.3.1</t>
  </si>
  <si>
    <t>Have requirement profiles been defined for all activities, and do they correspond to the activities to be performed?</t>
  </si>
  <si>
    <t>2.3.2</t>
  </si>
  <si>
    <t>Is the qualification concept suitable for qualifying the employees in accordance with the task descriptions?</t>
  </si>
  <si>
    <t>2.3.3</t>
  </si>
  <si>
    <t>Do the employees know their responsibility and authorizations regarding the monitoring of SC processes?</t>
  </si>
  <si>
    <t>2.3.4</t>
  </si>
  <si>
    <t>2.4.1</t>
  </si>
  <si>
    <t>2.4.2</t>
  </si>
  <si>
    <t>2.4.3</t>
  </si>
  <si>
    <t>2.4.4</t>
  </si>
  <si>
    <t>Are the material resources for the supply chain infrastructure planned and fit to represent the entire value stream?</t>
  </si>
  <si>
    <t>2.5.1</t>
  </si>
  <si>
    <t>Is progress, including project contents, tracked using milestone plans and communicated?</t>
  </si>
  <si>
    <t>2.5.2</t>
  </si>
  <si>
    <t>2.5.3</t>
  </si>
  <si>
    <t>2.5.4</t>
  </si>
  <si>
    <t>Are sustainability aspects factored into the planning and implementation of logistical processes?</t>
  </si>
  <si>
    <t>2.6.1</t>
  </si>
  <si>
    <t>2.6.2</t>
  </si>
  <si>
    <t>2.6.3</t>
  </si>
  <si>
    <t>Is the feasibility of the planned logistical processes checked, and is the approval documented?</t>
  </si>
  <si>
    <t>Process element 3 - Supplier and service provider management</t>
  </si>
  <si>
    <t>3.1.1</t>
  </si>
  <si>
    <t>Is the output of upstream processes integrated into supplier and service provider management?</t>
  </si>
  <si>
    <t>3.2.1</t>
  </si>
  <si>
    <t>Has a process been defined which ensures that only approved and quality-capable suppliers and service providers are used?</t>
  </si>
  <si>
    <t>3.2.2</t>
  </si>
  <si>
    <t>Is there a service contract, and are compliance obligations analyzed, taken into account and observed?</t>
  </si>
  <si>
    <t>3.2.3</t>
  </si>
  <si>
    <t>Has an emergency management plan been agreed with the logistical service providers, and is it effectively implemented?</t>
  </si>
  <si>
    <t>3.2.4</t>
  </si>
  <si>
    <t>Is there a complaint process which has been coordinated with the logistical service provider?</t>
  </si>
  <si>
    <t>3.2.5</t>
  </si>
  <si>
    <t>Have the risk transfers and process owners of the process steps been identified, documented and communicated?</t>
  </si>
  <si>
    <t>3.2.6</t>
  </si>
  <si>
    <t>Has standardized communication been established between the organization and the service provider?</t>
  </si>
  <si>
    <t>3.2.7</t>
  </si>
  <si>
    <t>Is outsourcing to an external service provider planned and controlled?</t>
  </si>
  <si>
    <t>3.3.1</t>
  </si>
  <si>
    <t>3.3.2</t>
  </si>
  <si>
    <t>Is the qualification concept suitable for ensuring training in accordance with the task descriptions?</t>
  </si>
  <si>
    <t>3.3.3</t>
  </si>
  <si>
    <t>Do the employees know their responsibilities and authorizations in supplier and service provider management?</t>
  </si>
  <si>
    <t>3.3.4</t>
  </si>
  <si>
    <t>3.4.1</t>
  </si>
  <si>
    <t>3.4.2</t>
  </si>
  <si>
    <t>3.4.3</t>
  </si>
  <si>
    <t>3.5.1</t>
  </si>
  <si>
    <t>Are suitable parameters available in the supplier and service provider management, incl. realistic target values?</t>
  </si>
  <si>
    <t>3.5.2</t>
  </si>
  <si>
    <t>Is analyzable supplier-specific data collected and communicated?</t>
  </si>
  <si>
    <t>3.5.3</t>
  </si>
  <si>
    <t>In case of deviations, are causes analyzed and corrective measures checked for effectiveness?</t>
  </si>
  <si>
    <t>3.5.4</t>
  </si>
  <si>
    <t>3.5.5</t>
  </si>
  <si>
    <t>Are the supplier and service management processes checked in case of changes?</t>
  </si>
  <si>
    <t>3.6.1</t>
  </si>
  <si>
    <t>3.6.2</t>
  </si>
  <si>
    <t>Process element 4 - Procurement logistics</t>
  </si>
  <si>
    <t>4.1.1</t>
  </si>
  <si>
    <t>Are the logistical plans implemented in procurement logistics?</t>
  </si>
  <si>
    <t>4.1.2</t>
  </si>
  <si>
    <t>Is the supplier evaluation and control data integrated into procurement logistics?</t>
  </si>
  <si>
    <t>4.1.3</t>
  </si>
  <si>
    <t>Are requirements integrated into procurement logistics and continuously taken into account?</t>
  </si>
  <si>
    <t>4.1.4</t>
  </si>
  <si>
    <t>Is the planned production volume integrated into material requirements planning?</t>
  </si>
  <si>
    <t>4.2.1</t>
  </si>
  <si>
    <t>Have processes been established for ensuring that materials are supplied in accordance with demand?</t>
  </si>
  <si>
    <t>4.2.2</t>
  </si>
  <si>
    <t>Has a container management system been established in accordance with demand and capacity?</t>
  </si>
  <si>
    <t>4.2.3</t>
  </si>
  <si>
    <t>Have processes and concepts (inventory types) been defined for systematic inventory audits and analyses?</t>
  </si>
  <si>
    <t>4.2.4</t>
  </si>
  <si>
    <t>4.2.5</t>
  </si>
  <si>
    <t>Does production planning and control take place?</t>
  </si>
  <si>
    <t>4.3.1</t>
  </si>
  <si>
    <t>4.3.2</t>
  </si>
  <si>
    <t>4.3.3</t>
  </si>
  <si>
    <t>Do the employees know their responsibilities and authorizations in procurement logistics?</t>
  </si>
  <si>
    <t>4.3.4</t>
  </si>
  <si>
    <t>4.4.1</t>
  </si>
  <si>
    <t>4.4.2</t>
  </si>
  <si>
    <t>4.4.3</t>
  </si>
  <si>
    <t>4.4.4</t>
  </si>
  <si>
    <t>Is the availability and corresponding use of the delivery schedule ensured with an EDI standard?</t>
  </si>
  <si>
    <t>4.5.1</t>
  </si>
  <si>
    <t>Are suitable parameters available in procurement logistics, incl. realistic target values?</t>
  </si>
  <si>
    <t>4.5.2</t>
  </si>
  <si>
    <t>4.5.3</t>
  </si>
  <si>
    <t>4.5.4</t>
  </si>
  <si>
    <t>4.5.5</t>
  </si>
  <si>
    <t>Are the procurement logistics processes checked in case of changes?</t>
  </si>
  <si>
    <t>4.6.1</t>
  </si>
  <si>
    <t>4.6.2</t>
  </si>
  <si>
    <t>Process element 5 - Transport logistics</t>
  </si>
  <si>
    <t>5.1.1</t>
  </si>
  <si>
    <t>Is the output of the upstream process integrated into transport logistics?</t>
  </si>
  <si>
    <t>5.1.2</t>
  </si>
  <si>
    <t>Are compliance obligations integrated into transport logistics and continuously taken into account?</t>
  </si>
  <si>
    <t>5.2.1</t>
  </si>
  <si>
    <t>Is the cargo handled according to the requirements for transport?</t>
  </si>
  <si>
    <t>5.2.2</t>
  </si>
  <si>
    <t>Are the load securing specifications implemented and checked, and are deviations documented?</t>
  </si>
  <si>
    <t>5.2.3</t>
  </si>
  <si>
    <t>Are the transport-related special characteristics accounted for?</t>
  </si>
  <si>
    <t>5.2.4</t>
  </si>
  <si>
    <t>Are all relevant specifications for carrying out transports fully recorded and included in instructions?</t>
  </si>
  <si>
    <t>5.2.5</t>
  </si>
  <si>
    <t>Are incorrectly performed transport services identified and analyzed, and are appropriate measures taken?</t>
  </si>
  <si>
    <t>5.3.1</t>
  </si>
  <si>
    <t>5.3.2</t>
  </si>
  <si>
    <t>5.3.3</t>
  </si>
  <si>
    <t>Do the employees know their responsibilities and authorizations regarding the monitoring of product and process quality?</t>
  </si>
  <si>
    <t>5.3.4</t>
  </si>
  <si>
    <t>5.4.1</t>
  </si>
  <si>
    <t>Is there a suitable comprehensive emergency solution and crisis management strategy?</t>
  </si>
  <si>
    <t>5.4.2</t>
  </si>
  <si>
    <t>Are the workstations set up in accordance with ergonomic, product-specific and safety principles?</t>
  </si>
  <si>
    <t>5.4.3</t>
  </si>
  <si>
    <t>Are suitable means of transport available in order to ensure continuous and quality-compliant material flow?</t>
  </si>
  <si>
    <t>5.4.4</t>
  </si>
  <si>
    <t>Is the availability of transportation ensured systematically?</t>
  </si>
  <si>
    <t>5.5.1</t>
  </si>
  <si>
    <t>Are suitable parameters available in transport logistics, incl. realistic target values?</t>
  </si>
  <si>
    <t>5.5.2</t>
  </si>
  <si>
    <t>5.5.3</t>
  </si>
  <si>
    <t>5.5.4</t>
  </si>
  <si>
    <t>5.5.5</t>
  </si>
  <si>
    <t>Are the transport logistics processes checked regularly and in case of changes?</t>
  </si>
  <si>
    <t>5.5.6</t>
  </si>
  <si>
    <t>Are ESG aspects factored into the selection of transport types and routes?</t>
  </si>
  <si>
    <t>5.6.1</t>
  </si>
  <si>
    <t>5.6.2</t>
  </si>
  <si>
    <t>Process element 6 - In-house logistics</t>
  </si>
  <si>
    <t>6.1.1</t>
  </si>
  <si>
    <t>Is the output of upstream processes integrated into in-house logistics?</t>
  </si>
  <si>
    <t>6.1.2</t>
  </si>
  <si>
    <t>Are compliance obligations integrated into in-house logistics and continuously taken into account?</t>
  </si>
  <si>
    <t>6.1.3</t>
  </si>
  <si>
    <t>Is the right order data prepared and processed in in-house logistics?</t>
  </si>
  <si>
    <t>6.2.1</t>
  </si>
  <si>
    <t>Are all relevant specifications for providing logistical services recorded and included in instructions?</t>
  </si>
  <si>
    <t>6.2.2</t>
  </si>
  <si>
    <t>6.2.3</t>
  </si>
  <si>
    <t>Do the defined instructions contain the necessary checks?</t>
  </si>
  <si>
    <t>6.2.4</t>
  </si>
  <si>
    <t>Are potentially faulty and/or faulty goods or logistical processes identified and measures taken?</t>
  </si>
  <si>
    <t>6.2.5</t>
  </si>
  <si>
    <t>Is the flow of materials and parts secured against mixing/wrong items, and are the special characteristics accounted for?</t>
  </si>
  <si>
    <t>6.2.6</t>
  </si>
  <si>
    <t>Have processes been established for controlling and monitoring the material flow?</t>
  </si>
  <si>
    <t>6.2.7</t>
  </si>
  <si>
    <t>Have processes been established for controlling and monitoring the transport equipment?</t>
  </si>
  <si>
    <t>6.2.8</t>
  </si>
  <si>
    <t>Has a process been defined for continuous warehouse optimization, and are suitable optimization measures implemented?</t>
  </si>
  <si>
    <t>6.2.9</t>
  </si>
  <si>
    <t>Are the materials stored/handled appropriately in order to preserve the product characteristics?</t>
  </si>
  <si>
    <t>6.2.10</t>
  </si>
  <si>
    <t>Are the capacities and flexibilities planned and defined in accordance with customer requirements?</t>
  </si>
  <si>
    <t>6.3.1</t>
  </si>
  <si>
    <t>6.3.2</t>
  </si>
  <si>
    <t>6.3.3</t>
  </si>
  <si>
    <t>6.3.4</t>
  </si>
  <si>
    <t>6.4.1</t>
  </si>
  <si>
    <t>6.4.2</t>
  </si>
  <si>
    <t>6.4.3</t>
  </si>
  <si>
    <t>6.4.4</t>
  </si>
  <si>
    <t>Is the logistical infrastructure capable of meeting the product and process-specific requirements?</t>
  </si>
  <si>
    <t>6.4.5</t>
  </si>
  <si>
    <t>Is the equipment available at the right location and in the right time, quantity and quality?</t>
  </si>
  <si>
    <t>6.4.6</t>
  </si>
  <si>
    <t>Is the availability of infrastructure and equipment ensured?</t>
  </si>
  <si>
    <t>6.4.7</t>
  </si>
  <si>
    <t>Are containers/load carriers and packaging materials available at the right location and in the right time, quantity and quality?</t>
  </si>
  <si>
    <t>6.5.1</t>
  </si>
  <si>
    <t>Have suitable parameters been defined in in-house logistics, including target values, and are they applied?</t>
  </si>
  <si>
    <t>6.5.2</t>
  </si>
  <si>
    <t>6.5.3</t>
  </si>
  <si>
    <t>6.5.4</t>
  </si>
  <si>
    <t>6.5.5</t>
  </si>
  <si>
    <t>Are the in-house logistics processes checked regularly and in case of changes?</t>
  </si>
  <si>
    <t>6.5.6</t>
  </si>
  <si>
    <t>Are ESG aspects taken into account in in-house-logistics?</t>
  </si>
  <si>
    <t>6.6.1</t>
  </si>
  <si>
    <t>6.6.2</t>
  </si>
  <si>
    <t>Process element 7 - Customer management</t>
  </si>
  <si>
    <t>7.1.1</t>
  </si>
  <si>
    <t>Is the output of upstream processes integrated into customer management?</t>
  </si>
  <si>
    <t>7.1.2</t>
  </si>
  <si>
    <t>Are compliance obligations integrated into customer management and continuously taken into account?</t>
  </si>
  <si>
    <t>7.1.3</t>
  </si>
  <si>
    <t>Is the right data available for measuring customer satisfaction?</t>
  </si>
  <si>
    <t>7.2.1</t>
  </si>
  <si>
    <t>Are all relevant specifications for customer management recorded and included in instructions?</t>
  </si>
  <si>
    <t>7.2.2</t>
  </si>
  <si>
    <t>Does proactive communication take place on all levels, and does this communication include any relevant changes?</t>
  </si>
  <si>
    <t>7.2.3</t>
  </si>
  <si>
    <t>7.3.1</t>
  </si>
  <si>
    <t>7.3.2</t>
  </si>
  <si>
    <t>7.3.3</t>
  </si>
  <si>
    <t>Do the employees know their responsibility and authorizations with regard to customer management control?</t>
  </si>
  <si>
    <t>7.3.4</t>
  </si>
  <si>
    <t>7.4.1</t>
  </si>
  <si>
    <t>7.4.2</t>
  </si>
  <si>
    <t>7.4.3</t>
  </si>
  <si>
    <t>7.5.1</t>
  </si>
  <si>
    <t>Have suitable parameters been defined for customer management, including target values, and are they applied?</t>
  </si>
  <si>
    <t>7.5.2</t>
  </si>
  <si>
    <t>Is process data consolidated, evaluated and communicated in customer management?</t>
  </si>
  <si>
    <t>7.5.3</t>
  </si>
  <si>
    <t>7.5.4</t>
  </si>
  <si>
    <t>7.5.5</t>
  </si>
  <si>
    <t>Are the customer management processes checked regularly and in case of changes?</t>
  </si>
  <si>
    <t>7.6.1</t>
  </si>
  <si>
    <t>7.6.2</t>
  </si>
  <si>
    <t>VDA 6.8 – Scoring engine</t>
  </si>
  <si>
    <t>L1</t>
  </si>
  <si>
    <t>L2</t>
  </si>
  <si>
    <t>L3</t>
  </si>
  <si>
    <t>L4</t>
  </si>
  <si>
    <t>L5</t>
  </si>
  <si>
    <t>L6</t>
  </si>
  <si>
    <t>L7</t>
  </si>
  <si>
    <t>E_Kn</t>
  </si>
  <si>
    <t>E_K1</t>
  </si>
  <si>
    <t>E_K2</t>
  </si>
  <si>
    <t>E_K3</t>
  </si>
  <si>
    <t>E_K4</t>
  </si>
  <si>
    <t>E_K5</t>
  </si>
  <si>
    <t>E_K6</t>
  </si>
  <si>
    <t>E_K7</t>
  </si>
  <si>
    <t>E_G sum (helpers)</t>
  </si>
  <si>
    <t>E_G count (helpers)</t>
  </si>
  <si>
    <t>n.e. count</t>
  </si>
  <si>
    <t>DOWNGRADE CHECKS</t>
  </si>
  <si>
    <t>MIN E_Ln</t>
  </si>
  <si>
    <t>Overall E_K</t>
  </si>
  <si>
    <t>Any * = 4?</t>
  </si>
  <si>
    <t>Any * = 0?</t>
  </si>
  <si>
    <t>Any Q = 0?</t>
  </si>
  <si>
    <t>FINAL RATING:</t>
  </si>
  <si>
    <t>OVERALL RESULT</t>
  </si>
  <si>
    <t>E_G</t>
  </si>
  <si>
    <t>E_K overall</t>
  </si>
  <si>
    <t>Base rating</t>
  </si>
  <si>
    <t>2/3 RULE</t>
  </si>
  <si>
    <t>Total Q</t>
  </si>
  <si>
    <t>Min 2/3</t>
  </si>
  <si>
    <t>Answered</t>
  </si>
  <si>
    <t>Valid?</t>
  </si>
  <si>
    <t>Any No Result?</t>
  </si>
  <si>
    <t>FINAL RATING (copy)</t>
  </si>
  <si>
    <t>DOWNGRADE REASONS</t>
  </si>
  <si>
    <t>Label</t>
  </si>
  <si>
    <t>Points</t>
  </si>
  <si>
    <t>Symbol</t>
  </si>
  <si>
    <t>met in full</t>
  </si>
  <si>
    <t>✅</t>
  </si>
  <si>
    <t>predominantly met</t>
  </si>
  <si>
    <t>✔</t>
  </si>
  <si>
    <t>partially met</t>
  </si>
  <si>
    <t>⚠</t>
  </si>
  <si>
    <t>insufficiently met</t>
  </si>
  <si>
    <t>❌</t>
  </si>
  <si>
    <t>not met</t>
  </si>
  <si>
    <t>not evaluated</t>
  </si>
  <si>
    <t>n.e.</t>
  </si>
  <si>
    <t>⏳</t>
  </si>
  <si>
    <t>Minimum requirements / Question</t>
  </si>
  <si>
    <t>Examples for implementation</t>
  </si>
  <si>
    <t>Notes</t>
  </si>
  <si>
    <t>L1.1 Input</t>
  </si>
  <si>
    <t>Are requirements integrated into project management and continuously taken into account? (1.1.1)</t>
  </si>
  <si>
    <t>▶️</t>
  </si>
  <si>
    <t>Is project-specific data and/or information available to the logistical project? (1.1.2)</t>
  </si>
  <si>
    <t>Has the project objective been checked for technical and economic feasibility? (1.1.3)</t>
  </si>
  <si>
    <t>Can logistical targets be derived from a superordinate company strategy? (1.1.4)</t>
  </si>
  <si>
    <t>L1.2 Process flow</t>
  </si>
  <si>
    <t>Have criteria and processes for the classification of logistical projects been established? (1.2.1)</t>
  </si>
  <si>
    <t>Are the SC functions integrated in the commodity creation process? (1.2.2)</t>
  </si>
  <si>
    <t>Has a project management strategy (including a project organization) been established? (1.2.3)</t>
  </si>
  <si>
    <t>Has an escalation process, including coordinated communication, been established, and is it effectively implemented? (1.2.4)</t>
  </si>
  <si>
    <t>Are methods of risk analysis established at the start of the project phase, and are they implemented? (1.2.5)</t>
  </si>
  <si>
    <t>L1.3 Human resources</t>
  </si>
  <si>
    <t>Have requirement profiles been defined for all required tasks in the project structure? (1.3.1)</t>
  </si>
  <si>
    <t>Is there a concept for utilizing and implementing specialized knowledge outside one's own organization? (1.3.2)</t>
  </si>
  <si>
    <t>Do the employees know their responsibilities and authorizations within the project structure? (1.3.3)</t>
  </si>
  <si>
    <t>Are the necessary human resources available? (1.3.4)</t>
  </si>
  <si>
    <t>L1.4 Material resources</t>
  </si>
  <si>
    <t>Is there a suitable IT emergency solution strategy, incl. regular data backup? (1.4.1)</t>
  </si>
  <si>
    <t>Is there a suitable pervasive IT infrastructure? (1.4.2)</t>
  </si>
  <si>
    <t>Are the workstations set up in accordance with ergonomic and safety principles? (1.4.3)</t>
  </si>
  <si>
    <t>L1.5 Effectiveness and efficiency</t>
  </si>
  <si>
    <t>Have suitable parameters been defined for project management, including target values, and are they applied? (1.5.1)</t>
  </si>
  <si>
    <t>Is analyzable process data collected and communicated? (1.5.2)</t>
  </si>
  <si>
    <t>In case of process and target deviations, are causes analyzed and corrective measures checked for effectiveness? (1.5.3)</t>
  </si>
  <si>
    <t>Are methods of continuous process improvement implemented? (1.5.4)</t>
  </si>
  <si>
    <t>L1.6 Output</t>
  </si>
  <si>
    <t>Are all processes from the process flow effectively/efficiently implemented, reviewed and communicated and available as results? (1.6.1)</t>
  </si>
  <si>
    <t>Is the lessons-learned method regularly used in order to implement the resulting findings and potential improvements? (1.6.2)</t>
  </si>
  <si>
    <t>Has a handover to the downstream process taken place? (1.6.3)</t>
  </si>
  <si>
    <t>Result Project management/strategy:</t>
  </si>
  <si>
    <t>Critical path (E_Kn):</t>
  </si>
  <si>
    <t>Min *-question score:</t>
  </si>
  <si>
    <t>Min any-question score:</t>
  </si>
  <si>
    <t>L2.1 Input</t>
  </si>
  <si>
    <t>Is the output of the upstream process integrated into planning and implementation? (2.1.1)</t>
  </si>
  <si>
    <t>Are requirements integrated into supply chain planning and continuously taken into account? (2.1.2)</t>
  </si>
  <si>
    <t>L2.2 Process flow</t>
  </si>
  <si>
    <t>Are methods of risk analysis established during the implementation of logistical processes, and are they used? (2.2.1)</t>
  </si>
  <si>
    <t>Are deviations from / changes to the planning status documented and communicated? (2.2.2)</t>
  </si>
  <si>
    <t>Is material master and material flow data defined in the planning process and continuously monitored? (2.2.3)</t>
  </si>
  <si>
    <t>Has an emergency concept been described for the defined logistical processes and is it tested? (2.2.4)</t>
  </si>
  <si>
    <t>Are the processes for in-house logistics, including packaging and container management, defined in planning, and are they continuously adjusted? (2.2.5)</t>
  </si>
  <si>
    <t>Is there a transport concept for ensuring customized supply? (2.2.6)</t>
  </si>
  <si>
    <t>Are the processes for procurement and supplier management defined in planning, and are they continuously monitored? (2.2.7)</t>
  </si>
  <si>
    <t>L2.3 Human resources</t>
  </si>
  <si>
    <t>Have requirement profiles been defined for all activities, and do they correspond to the activities to be performed? (2.3.1)</t>
  </si>
  <si>
    <t>Is the qualification concept suitable for qualifying the employees in accordance with the task descriptions? (2.3.2)</t>
  </si>
  <si>
    <t>Do the employees know their responsibility and authorizations regarding the monitoring of SC processes? (2.3.3)</t>
  </si>
  <si>
    <t>Are the necessary human resources available? (2.3.4)</t>
  </si>
  <si>
    <t>L2.4 Material resources</t>
  </si>
  <si>
    <t>Is there a suitable IT emergency solution strategy, incl. regular data backup? (2.4.1)</t>
  </si>
  <si>
    <t>Is there a suitable pervasive IT infrastructure? (2.4.2)</t>
  </si>
  <si>
    <t>Are the workstations set up in accordance with ergonomic and safety principles? (2.4.3)</t>
  </si>
  <si>
    <t>Are the material resources for the supply chain infrastructure planned and fit to represent the entire value stream? (2.4.4)</t>
  </si>
  <si>
    <t>L2.5 Effectiveness and efficiency</t>
  </si>
  <si>
    <t>Is progress, including project contents, tracked using milestone plans and communicated? (2.5.1)</t>
  </si>
  <si>
    <t>In case of process and target deviations, are causes analyzed and corrective measures checked for effectiveness? (2.5.2)</t>
  </si>
  <si>
    <t>Are methods of continuous process improvement implemented? (2.5.3)</t>
  </si>
  <si>
    <t>Are sustainability aspects factored into the planning and implementation of logistical processes? (2.5.4)</t>
  </si>
  <si>
    <t>L2.6 Output</t>
  </si>
  <si>
    <t>Are all processes from the process flow effectively/efficiently implemented, reviewed and communicated and available as results? (2.6.1)</t>
  </si>
  <si>
    <t>Is the lessons-learned method regularly used in order to implement the resulting findings and potential improvements? (2.6.2)</t>
  </si>
  <si>
    <t>Is the feasibility of the planned logistical processes checked, and is the approval documented? (2.6.3)</t>
  </si>
  <si>
    <t>Result Planning and implementation of logistical processes:</t>
  </si>
  <si>
    <t>L3.1 Input</t>
  </si>
  <si>
    <t>Is the output of upstream processes integrated into supplier and service provider management? (3.1.1)</t>
  </si>
  <si>
    <t>L3.2 Process flow</t>
  </si>
  <si>
    <t>Has a process been defined which ensures that only approved and quality-capable suppliers and service providers are used? (3.2.1)</t>
  </si>
  <si>
    <t>Is there a service contract, and are compliance obligations analyzed, taken into account and observed? (3.2.2)</t>
  </si>
  <si>
    <t>Has an emergency management plan been agreed with the logistical service providers, and is it effectively implemented? (3.2.3)</t>
  </si>
  <si>
    <t>Is there a complaint process which has been coordinated with the logistical service provider? (3.2.4)</t>
  </si>
  <si>
    <t>Have the risk transfers and process owners of the process steps been identified, documented and communicated? (3.2.5)</t>
  </si>
  <si>
    <t>Has standardized communication been established between the organization and the service provider? (3.2.6)</t>
  </si>
  <si>
    <t>Is outsourcing to an external service provider planned and controlled? (3.2.7)</t>
  </si>
  <si>
    <t>L3.3 Human resources</t>
  </si>
  <si>
    <t>Have requirement profiles been defined for all activities, and do they correspond to the activities to be performed? (3.3.1)</t>
  </si>
  <si>
    <t>Is the qualification concept suitable for ensuring training in accordance with the task descriptions? (3.3.2)</t>
  </si>
  <si>
    <t>Do the employees know their responsibilities and authorizations in supplier and service provider management? (3.3.3)</t>
  </si>
  <si>
    <t>Are the necessary human resources available? (3.3.4)</t>
  </si>
  <si>
    <t>L3.4 Material resources</t>
  </si>
  <si>
    <t>Is there a suitable IT emergency solution strategy, incl. regular data backup? (3.4.1)</t>
  </si>
  <si>
    <t>Is there a suitable pervasive IT infrastructure? (3.4.2)</t>
  </si>
  <si>
    <t>Are the workstations set up in accordance with ergonomic and safety principles? (3.4.3)</t>
  </si>
  <si>
    <t>L3.5 Effectiveness and efficiency</t>
  </si>
  <si>
    <t>Are suitable parameters available in the supplier and service provider management, incl. realistic target values? (3.5.1)</t>
  </si>
  <si>
    <t>Is analyzable supplier-specific data collected and communicated? (3.5.2)</t>
  </si>
  <si>
    <t>In case of deviations, are causes analyzed and corrective measures checked for effectiveness? (3.5.3)</t>
  </si>
  <si>
    <t>Are methods of continuous process improvement implemented? (3.5.4)</t>
  </si>
  <si>
    <t>Are the supplier and service management processes checked in case of changes? (3.5.5)</t>
  </si>
  <si>
    <t>L3.6 Output</t>
  </si>
  <si>
    <t>Are all processes from the process flow effectively/efficiently implemented, reviewed and communicated and available as results? (3.6.1)</t>
  </si>
  <si>
    <t>Is the lessons-learned method regularly used in order to implement the resulting findings and potential improvements? (3.6.2)</t>
  </si>
  <si>
    <t>Result Supplier and service provider management:</t>
  </si>
  <si>
    <t>L4.1 Input</t>
  </si>
  <si>
    <t>Are the logistical plans implemented in procurement logistics? (4.1.1)</t>
  </si>
  <si>
    <t>Is the supplier evaluation and control data integrated into procurement logistics? (4.1.2)</t>
  </si>
  <si>
    <t>Are requirements integrated into procurement logistics and continuously taken into account? (4.1.3)</t>
  </si>
  <si>
    <t>Is the planned production volume integrated into material requirements planning? (4.1.4)</t>
  </si>
  <si>
    <t>L4.2 Process flow</t>
  </si>
  <si>
    <t>Have processes been established for ensuring that materials are supplied in accordance with demand? (4.2.1)</t>
  </si>
  <si>
    <t>Has a container management system been established in accordance with demand and capacity? (4.2.2)</t>
  </si>
  <si>
    <t>Have processes and concepts (inventory types) been defined for systematic inventory audits and analyses? (4.2.3)</t>
  </si>
  <si>
    <t>Has an escalation process, including coordinated communication, been established, and is it effectively implemented? (4.2.4)</t>
  </si>
  <si>
    <t>Does production planning and control take place? (4.2.5)</t>
  </si>
  <si>
    <t>L4.3 Human resources</t>
  </si>
  <si>
    <t>Have requirement profiles been defined for all activities, and do they correspond to the activities to be performed? (4.3.1)</t>
  </si>
  <si>
    <t>Is the qualification concept suitable for ensuring training in accordance with the task descriptions? (4.3.2)</t>
  </si>
  <si>
    <t>Do the employees know their responsibilities and authorizations in procurement logistics? (4.3.3)</t>
  </si>
  <si>
    <t>Are the necessary human resources available? (4.3.4)</t>
  </si>
  <si>
    <t>L4.4 Material resources</t>
  </si>
  <si>
    <t>Is there a suitable IT emergency solution strategy, incl. regular data backup? (4.4.1)</t>
  </si>
  <si>
    <t>Is there a suitable pervasive IT infrastructure? (4.4.2)</t>
  </si>
  <si>
    <t>Are the workstations set up in accordance with ergonomic and safety principles? (4.4.3)</t>
  </si>
  <si>
    <t>Is the availability and corresponding use of the delivery schedule ensured with an EDI standard? (4.4.4)</t>
  </si>
  <si>
    <t>L4.5 Effectiveness and efficiency</t>
  </si>
  <si>
    <t>Are suitable parameters available in procurement logistics, incl. realistic target values? (4.5.1)</t>
  </si>
  <si>
    <t>Is analyzable process data collected and communicated? (4.5.2)</t>
  </si>
  <si>
    <t>In case of deviations, are causes analyzed and corrective measures checked for effectiveness? (4.5.3)</t>
  </si>
  <si>
    <t>Are methods of continuous process improvement implemented? (4.5.4)</t>
  </si>
  <si>
    <t>Are the procurement logistics processes checked in case of changes? (4.5.5)</t>
  </si>
  <si>
    <t>L4.6 Output</t>
  </si>
  <si>
    <t>Are all processes from the process flow effectively/efficiently implemented, reviewed and communicated and available as results? (4.6.1)</t>
  </si>
  <si>
    <t>Is the lessons-learned method regularly used in order to implement the resulting findings and potential improvements? (4.6.2)</t>
  </si>
  <si>
    <t>Result Procurement logistics:</t>
  </si>
  <si>
    <t>L5.1 Input</t>
  </si>
  <si>
    <t>Is the output of the upstream process integrated into transport logistics? (5.1.1)</t>
  </si>
  <si>
    <t>Are compliance obligations integrated into transport logistics and continuously taken into account? (5.1.2)</t>
  </si>
  <si>
    <t>L5.2 Process flow</t>
  </si>
  <si>
    <t>Is the cargo handled according to the requirements for transport? (5.2.1)</t>
  </si>
  <si>
    <t>Are the load securing specifications implemented and checked, and are deviations documented? (5.2.2)</t>
  </si>
  <si>
    <t>Are the transport-related special characteristics accounted for? (5.2.3)</t>
  </si>
  <si>
    <t>Are all relevant specifications for carrying out transports fully recorded and included in instructions? (5.2.4)</t>
  </si>
  <si>
    <t>Are incorrectly performed transport services identified and analyzed, and are appropriate measures taken? (5.2.5)</t>
  </si>
  <si>
    <t>L5.3 Human resources</t>
  </si>
  <si>
    <t>Have requirement profiles been defined for all activities, and do they correspond to the activities to be performed? (5.3.1)</t>
  </si>
  <si>
    <t>Is the qualification concept suitable for ensuring training in accordance with the task descriptions? (5.3.2)</t>
  </si>
  <si>
    <t>Do the employees know their responsibilities and authorizations regarding the monitoring of product and process quality? (5.3.3)</t>
  </si>
  <si>
    <t>Are the necessary human resources available? (5.3.4)</t>
  </si>
  <si>
    <t>L5.4 Material resources</t>
  </si>
  <si>
    <t>Is there a suitable comprehensive emergency solution and crisis management strategy? (5.4.1)</t>
  </si>
  <si>
    <t>Are the workstations set up in accordance with ergonomic, product-specific and safety principles? (5.4.2)</t>
  </si>
  <si>
    <t>Are suitable means of transport available in order to ensure continuous and quality-compliant material flow? (5.4.3)</t>
  </si>
  <si>
    <t>Is the availability of transportation ensured systematically? (5.4.4)</t>
  </si>
  <si>
    <t>L5.5 Effectiveness and efficiency</t>
  </si>
  <si>
    <t>Are suitable parameters available in transport logistics, incl. realistic target values? (5.5.1)</t>
  </si>
  <si>
    <t>Is analyzable process data collected and communicated? (5.5.2)</t>
  </si>
  <si>
    <t>In case of process and target deviations, are causes analyzed and corrective measures checked for effectiveness? (5.5.3)</t>
  </si>
  <si>
    <t>Are methods of continuous process improvement implemented? (5.5.4)</t>
  </si>
  <si>
    <t>Are the transport logistics processes checked regularly and in case of changes? (5.5.5)</t>
  </si>
  <si>
    <t>Are ESG aspects factored into the selection of transport types and routes? (5.5.6)</t>
  </si>
  <si>
    <t>L5.6 Output</t>
  </si>
  <si>
    <t>Are all processes from the process flow effectively/efficiently implemented, reviewed and communicated and available as results? (5.6.1)</t>
  </si>
  <si>
    <t>Is the lessons-learned method regularly used in order to implement the resulting findings and potential improvements? (5.6.2)</t>
  </si>
  <si>
    <t>Result Transport logistics:</t>
  </si>
  <si>
    <t>L6.1 Input</t>
  </si>
  <si>
    <t>Is the output of upstream processes integrated into in-house logistics? (6.1.1)</t>
  </si>
  <si>
    <t>Are compliance obligations integrated into in-house logistics and continuously taken into account? (6.1.2)</t>
  </si>
  <si>
    <t>Is the right order data prepared and processed in in-house logistics? (6.1.3)</t>
  </si>
  <si>
    <t>L6.2 Process flow</t>
  </si>
  <si>
    <t>Are all relevant specifications for providing logistical services recorded and included in instructions? (6.2.1)</t>
  </si>
  <si>
    <t>Are the load securing specifications implemented and checked, and are deviations documented? (6.2.2)</t>
  </si>
  <si>
    <t>Do the defined instructions contain the necessary checks? (6.2.3)</t>
  </si>
  <si>
    <t>Are potentially faulty and/or faulty goods or logistical processes identified and measures taken? (6.2.4)</t>
  </si>
  <si>
    <t>Is the flow of materials and parts secured against mixing/wrong items, and are the special characteristics accounted for? (6.2.5)</t>
  </si>
  <si>
    <t>Have processes been established for controlling and monitoring the material flow? (6.2.6)</t>
  </si>
  <si>
    <t>Have processes been established for controlling and monitoring the transport equipment? (6.2.7)</t>
  </si>
  <si>
    <t>Has a process been defined for continuous warehouse optimization, and are suitable optimization measures implemented? (6.2.8)</t>
  </si>
  <si>
    <t>Are the materials stored/handled appropriately in order to preserve the product characteristics? (6.2.9)</t>
  </si>
  <si>
    <t>Are the capacities and flexibilities planned and defined in accordance with customer requirements? (6.2.10)</t>
  </si>
  <si>
    <t>L6.3 Human resources</t>
  </si>
  <si>
    <t>Have requirement profiles been defined for all activities, and do they correspond to the activities to be performed? (6.3.1)</t>
  </si>
  <si>
    <t>Is the qualification concept suitable for ensuring training in accordance with the task descriptions? (6.3.2)</t>
  </si>
  <si>
    <t>Do the employees know their responsibilities and authorizations regarding the monitoring of product and process quality? (6.3.3)</t>
  </si>
  <si>
    <t>Are the necessary human resources available? (6.3.4)</t>
  </si>
  <si>
    <t>L6.4 Material resources</t>
  </si>
  <si>
    <t>Is there a suitable IT emergency solution strategy, incl. regular data backup? (6.4.1)</t>
  </si>
  <si>
    <t>Is there a suitable pervasive IT infrastructure? (6.4.2)</t>
  </si>
  <si>
    <t>Are the workstations set up in accordance with ergonomic, product-specific and safety principles? (6.4.3)</t>
  </si>
  <si>
    <t>Is the logistical infrastructure capable of meeting the product and process-specific requirements? (6.4.4)</t>
  </si>
  <si>
    <t>Is the equipment available at the right location and in the right time, quantity and quality? (6.4.5)</t>
  </si>
  <si>
    <t>Is the availability of infrastructure and equipment ensured? (6.4.6)</t>
  </si>
  <si>
    <t>Are containers/load carriers and packaging materials available at the right location and in the right time, quantity and quality? (6.4.7)</t>
  </si>
  <si>
    <t>L6.5 Effectiveness and efficiency</t>
  </si>
  <si>
    <t>Have suitable parameters been defined in in-house logistics, including target values, and are they applied? (6.5.1)</t>
  </si>
  <si>
    <t>Is analyzable process data collected and communicated? (6.5.2)</t>
  </si>
  <si>
    <t>In case of process and target deviations, are causes analyzed and corrective measures checked for effectiveness? (6.5.3)</t>
  </si>
  <si>
    <t>Are methods of continuous process improvement implemented? (6.5.4)</t>
  </si>
  <si>
    <t>Are the in-house logistics processes checked regularly and in case of changes? (6.5.5)</t>
  </si>
  <si>
    <t>Are ESG aspects taken into account in in-house-logistics? (6.5.6)</t>
  </si>
  <si>
    <t>L6.6 Output</t>
  </si>
  <si>
    <t>Are all processes from the process flow effectively/efficiently implemented, reviewed and communicated and available as results? (6.6.1)</t>
  </si>
  <si>
    <t>Is the lessons-learned method regularly used in order to implement the resulting findings and potential improvements? (6.6.2)</t>
  </si>
  <si>
    <t>Result In-house logistics:</t>
  </si>
  <si>
    <t>L7.1 Input</t>
  </si>
  <si>
    <t>Is the output of upstream processes integrated into customer management? (7.1.1)</t>
  </si>
  <si>
    <t>Are compliance obligations integrated into customer management and continuously taken into account? (7.1.2)</t>
  </si>
  <si>
    <t>Is the right data available for measuring customer satisfaction? (7.1.3)</t>
  </si>
  <si>
    <t>L7.2 Process flow</t>
  </si>
  <si>
    <t>Are all relevant specifications for customer management recorded and included in instructions? (7.2.1)</t>
  </si>
  <si>
    <t>Does proactive communication take place on all levels, and does this communication include any relevant changes? (7.2.2)</t>
  </si>
  <si>
    <t>Is outsourcing to an external service provider planned and controlled? (7.2.3)</t>
  </si>
  <si>
    <t>L7.3 Human resources</t>
  </si>
  <si>
    <t>Have requirement profiles been defined for all activities, and do they correspond to the activities to be performed? (7.3.1)</t>
  </si>
  <si>
    <t>Is the qualification concept suitable for qualifying the employees in accordance with the task descriptions? (7.3.2)</t>
  </si>
  <si>
    <t>Do the employees know their responsibility and authorizations with regard to customer management control? (7.3.3)</t>
  </si>
  <si>
    <t>Are the necessary human resources available? (7.3.4)</t>
  </si>
  <si>
    <t>L7.4 Material resources</t>
  </si>
  <si>
    <t>Is there a suitable IT emergency solution strategy, incl. regular data backup? (7.4.1)</t>
  </si>
  <si>
    <t>Is there a suitable pervasive IT infrastructure? (7.4.2)</t>
  </si>
  <si>
    <t>Are the workstations set up in accordance with ergonomic and safety principles? (7.4.3)</t>
  </si>
  <si>
    <t>L7.5 Effectiveness and efficiency</t>
  </si>
  <si>
    <t>Have suitable parameters been defined for customer management, including target values, and are they applied? (7.5.1)</t>
  </si>
  <si>
    <t>Is process data consolidated, evaluated and communicated in customer management? (7.5.2)</t>
  </si>
  <si>
    <t>In case of process and target deviations, are causes analyzed and corrective measures checked for effectiveness? (7.5.3)</t>
  </si>
  <si>
    <t>Are methods of continuous process improvement implemented? (7.5.4)</t>
  </si>
  <si>
    <t>Are the customer management processes checked regularly and in case of changes? (7.5.5)</t>
  </si>
  <si>
    <t>L7.6 Output</t>
  </si>
  <si>
    <t>Are all processes from the process flow effectively/efficiently implemented, reviewed and communicated and available as results? (7.6.1)</t>
  </si>
  <si>
    <t>Is the lessons-learned method regularly used in order to implement the resulting findings and potential improvements? (7.6.2)</t>
  </si>
  <si>
    <t>Result Customer management:</t>
  </si>
  <si>
    <t>Percent (max.)</t>
  </si>
  <si>
    <t>Percent (real)</t>
  </si>
  <si>
    <t>Chart
(critera.)</t>
  </si>
  <si>
    <t>Chart
(standard)</t>
  </si>
  <si>
    <t>Process element 1:
Project management/strategy</t>
  </si>
  <si>
    <t>Process element 2:
Planning of logistical processes</t>
  </si>
  <si>
    <t>Process element 3:
Supplier and service provider management</t>
  </si>
  <si>
    <t>Process element 4:
Procurement logistics</t>
  </si>
  <si>
    <t>Process element 5:
Transport logistics</t>
  </si>
  <si>
    <t>Process element 6:
In-house logistics</t>
  </si>
  <si>
    <t>Process element 7:
Customer management</t>
  </si>
  <si>
    <t>LOP - List of Open Points</t>
  </si>
  <si>
    <t>Description/comment</t>
  </si>
  <si>
    <t>Action</t>
  </si>
  <si>
    <t>Responsible</t>
  </si>
  <si>
    <t>Date</t>
  </si>
  <si>
    <t>Status</t>
  </si>
  <si>
    <t>Verification</t>
  </si>
  <si>
    <t>VDA 6.8</t>
  </si>
  <si>
    <t>Topic an deviation</t>
  </si>
  <si>
    <t>Precise wording of the action to correct the deviation</t>
  </si>
  <si>
    <t>Contact person at supplier</t>
  </si>
  <si>
    <t>Corrected until</t>
  </si>
  <si>
    <t>Proof of effectiveness (e.g. trainings certificate, working order,…)</t>
  </si>
  <si>
    <t>The supplier analyses the reasons for the deviations and defines countermeasures, immediate measures and corrective actions including responsibilities and planned dates of introduction.
This information must be sent back to the assessor within 14 days.</t>
  </si>
  <si>
    <t>Li Jiajun</t>
    <phoneticPr fontId="20" type="noConversion"/>
  </si>
  <si>
    <t>Supply Chain rating (final)</t>
  </si>
  <si>
    <t>Notes / Remarks / Signature</t>
  </si>
  <si>
    <t xml:space="preserve">Rating-classes    </t>
  </si>
  <si>
    <t xml:space="preserve">A : </t>
  </si>
  <si>
    <t xml:space="preserve">B : </t>
  </si>
  <si>
    <t xml:space="preserve">C : </t>
  </si>
  <si>
    <t>90% &gt; X</t>
  </si>
  <si>
    <t>Assessed Company:</t>
  </si>
  <si>
    <t>Information about the company</t>
  </si>
  <si>
    <t>Information about the company evaluation</t>
  </si>
  <si>
    <t>Audited company participants:</t>
    <phoneticPr fontId="20" type="noConversion"/>
  </si>
  <si>
    <t>1. 必须考虑以下需求：客户要求、内部要求、ESG 要求 / The following requirements must be considered: customer requirements, internal requirements, ESG requirements
2. 必须有识别、评估和实施具有约束力的义务的流程。 / There must be processes for identifying, evaluating and implementing binding obligations.</t>
  </si>
  <si>
    <t>• 需求规格与客户要求 / Requirement specification with customer requirements
• 相关客户要求概览 / Overview of relevant customer requirements
• 识别具有约束力的义务的流程描述 / Process description for identifying binding obligations
• 法律 / Laws</t>
  </si>
  <si>
    <t>1. 项目特定数据和信息在项目启动前可用 / Project-specific data and information are available before project start
2. 数据在项目过程中持续更新并保持可用 / Data are continuously updated and kept available during the project</t>
  </si>
  <si>
    <t>• 批准和修改 / Approvals and modifications
• 预算 / Budget
• 单片机规格 / SCM specifications
• 合约 / Contracts
• 项目订单 / Project order
• 项目文档 / Project documentation
• 项目结构图 / Project structure plan
• 预算计划 / Budget plan
• 订购文件 / Order documents
• 批准发布文件 / Approved release documents</t>
  </si>
  <si>
    <t>1. 可行性是根据明确的标准定义的。 / Feasibility is defined based on clear-cut criteria.
2. 有一个积极的结果，并记录在案。 / There is a positive result, and it is documented.</t>
  </si>
  <si>
    <t>• 可行性分析，包括。结果 / Feasibility analysis, incl. the results</t>
  </si>
  <si>
    <t>1. 公司战略包含供应安全的方面 / Company strategy includes aspects of supply security
2. 公司战略包含供应安全的方面 / Company strategy includes aspects of supply security
3. 公司战略包含 ESG 方面 / Company strategy includes ESG aspects</t>
  </si>
  <si>
    <t>• 公司战略 / Company strategy
• 战略制定流程 L1.2 流程：该流程如何运作？ / Strategy development process</t>
  </si>
  <si>
    <t>1. 已经制定了物流项目的分类标准并描述了项目的构成。 / Criteria have been established for the classification of logistical projects and describe what constitutes a project.
2. 使用已定义的标准识别物流项目 / Defined criteria are used to identify logistical projects
3. 已为 SC 流程中的变更管理定义了流程。 / A process has been defined for change management in SC processes.
4. 战略目标被考虑在内。 / Strategic goals are taken into account.</t>
  </si>
  <si>
    <t>• 标准目录 / Catalogue of criteria
• 记录/批准的变更 / Documented/approved changes
• 公司战略 / Company strategy
• 要求 / Requirements
• 项目概述文件 / Project overview document</t>
  </si>
  <si>
    <t>1. 供应链职能的工作内容被定义为项目的一部分。 / Work contents for the supply chain functions are defined as part of the project.
2. 相关供应链工作人员参与产品创建过程。 / Relevant supply chain workers are involved in the product creation process.
3. 在商品创建过程中观察物流里程碑。 / Logistical milestones are observed during the commodity creation process.
4. 战略目标被考虑在内。 / Strategic goals are taken into account.</t>
  </si>
  <si>
    <t>• 项目计划 / Project plan
• 里程碑计划 / Milestone plan
• 公司战略 / Company strategy</t>
  </si>
  <si>
    <t>1. 有一个项目管理流程，并且已实施。 / There is a project management process, and it is implemented.
2. 已建立变更管理流程 / A change management process has been established
3. 指定了跨学科的项目组织。 / An interdisciplinary project organization is specified.
4. 客户和供应商已被告知相关联系人是谁。 / The customer and the supplier have been informed who the relevant contact persons are.
5. 考虑战略目标 / Strategic goals are taken into account</t>
  </si>
  <si>
    <t>• 项目组织结构图，包括角色分配 / Project organization chart, incl. allocation of roles
• 项目团队的组成 / Composition of the project team
• 项目接口 / Project interfaces
• RACI图表 / RACI chart</t>
  </si>
  <si>
    <t>1. 项目组织和相关的升级管理满足客户的要求。指定了升级标准，并在不符合规范的情况下制定了措施。 / The project organization and the associated escalation management meet the customer requirements. The criteria for escalation are specified, and measures are derived in case of non-compliance with the specifications.
2. 持续实施既定措施，并定期监测和通报状况。 / Defined measures are sustainably implemented, and the status is regularly monitored and communicated.
3. 战略目标被考虑在内。 / Strategic goals are taken into account.
4. 所有相关员工均可获取应将问题升级至的相关职能部门（包括联系信息）。内部和外部升级矩阵 行动计划 沟通计划 54 / The relevant functions (including contact information) to which matters should be escalated are available to all employees concerned.</t>
  </si>
  <si>
    <t>• 内部和外部升级矩阵 / Internal and external escalation matrix
• 行动计划 / Action plan
• 沟通计划 / Communication plan</t>
  </si>
  <si>
    <t>1. 项目风险已被识别、评估，并已通过适当措施减轻。 / Project risks have been identified, assessed, and have been mitigated by means of appropriate measures.
2. 考虑到正在进行的或以前的类似项目的经验（特别是吸取的教训）。 / Experiences (especially lessons learned) from ongoing or previous comparable projects are taken into account.
3. 有一个灾难恢复策略。 / There is a disaster recover strategy.
4. 战略目标被考虑在内。 / Strategic goals are taken into account.
5. 考虑了运营环境风险。 / Operative environment risks are accounted for.</t>
  </si>
  <si>
    <t>• 失效模式分析 / FMEA
• 应急策略 / Emergency strategy
• SWOT分析 / SWOT analysis
• PESTEL 分析 / PESTEL analysis</t>
  </si>
  <si>
    <t>1. 有一个人员部署时间表，表明项目团队中的哪个职位必须在何时填补。 / There is a staff deployment schedule which indicates which position must be filled on the project team at which times.
2. 该职位的要求概况构成了招聘流程以及与潜在新员工的员工概况进行比较的基础。 / The requirement profile for the job forms the basis for the recruiting process and the comparison with the employee profile of potential new hires.
3. 活动说明 / Activity descriptions
4. 所需的专业知识已被描述并涵盖所有流程。 / The required expertise has been described and covers all processes.
5. 项目成员拥有项目经验并带来经验教训。 / The project members have project experience and bring lessons-learned experience to the table.
6. 客户和供应商已被告知相关联系人是谁。 / The customer and the supplier have been informed who the relevant contact persons are.
7. 战略目标被考虑在内。 / Strategic goals are taken into account.</t>
  </si>
  <si>
    <t>• 项目组织结构图 / Project organization chart
• 技能和能力矩阵 / Skills &amp; competency matrix
• 资格证明 / Evidence of qualifications
• 职业安全 / Occupational safety
• 活动说明 / Activity description
• 需求简介 / Requirement profile
• 培训/资格证明（例如 Scrum） / Proof of training/qualifications (e.g. Scrum)
• 初步训练计划 / Initial training plan
• 适当的资格证明（例如视力测试、听力测试、触觉测试） / Suitable evidence of qualification (e.g. vision test, hearing test, touch test)
• 员工认可的职位描述 / Job description acknowledged by the employee</t>
  </si>
  <si>
    <t>1. 项目团队拥有必要的网络联系，能够引进技术专业知识。 / The project team has the necessary network contacts to be able to bring in technical expertise.
2. 确保网络联系人的可用性。 / The availability of the network contacts is ensured.
3. 有适当的预算可用于外部项目任务。 / An appropriate budget is available for external project tasks.
4. 战略目标被考虑在内。 / Strategic goals are taken into account.</t>
  </si>
  <si>
    <t>• 具有专业知识的人员概述 / Overview of persons with specialized knowledge
• 利益相关者分析 / Stakeholder analysis
• 培训计划 / Training plan
• 培训理念 / Training concept
• 专利理念 / Patent concept
• 质量和时间 / Quality and time
• 技能和能力矩阵 / Skills &amp; competency matrix
• 第一天简报 / First-day briefing
• 初始培训计划及参考资料 / Initial training plan with references
• 简报（例如职业安全、ESG 要求、数据保护） L.1.3.3 / Briefings (e.g. occupational safety, ESG requirements, data protection) L.1.3.3</t>
  </si>
  <si>
    <t>1. 工作人员完全了解自己的任务。 / The staff have complete knowledge of their tasks.
2. 升级路径已规划。 / Escalation paths are planned.
3. 工作人员定期了解项目状态的最新情况。 / The staff are regularly updated on the project status.
4. 定义了对流程中不当执行的工作和/或错误的响应。 / The response to improperly performed work and/or errors in the process is defined.
5. 工作人员识别项目进展中的干扰并能够采取适当的行动。 / The staff identify disruptions in the project progress and are able to initialize appropriate actions.
6. 传达流程变更。 / Process changes are communicated.</t>
  </si>
  <si>
    <t>• 功能说明 / Function description
• 升级矩阵 / Escalation matrix
• 沟通计划 / Communication plan
• 工作失误应对计划 / Response plan to faulty work
• 出现问题时的行动计划 / Action plan in case of problems
• 过程干扰的识别 / Identification of process disturbances
• 安全工作行为/实践 / Safe work conduct/practices
• 工作/检查说明 / Work/inspection instructions
• 服务协议（例如服务级别协议、目标/实际 KPI） / Service agreement (e.g. service-level agreement, target/actual KPIs)
• 秩序和清洁 / Order and cleanliness
• 相关法律/监管要求的培训 / Training on relevant statutory/ regulatory requirements
• IT权限 / IT permissions
• 功能及要求 / Functions and requirements</t>
  </si>
  <si>
    <t>1. 有一个防止波动的概念。 / There is a concept for preventing fluctuations.
2. 专家有轮班时间表。 / There is a shift schedule for specialists.
3. 所有活动都有一套缺勤管理规则。 / A set of absence management rules is in place for all activities.
4. 所有活动和角色都映射在组织结构图或团队结构中。 / All activities and roles are mapped in an organization chart or team structure.
5. 内外部接口已知 / Internal and external interfaces are known
6. 已制定人力资源规划流程。 / A process is in place for planning human resources.</t>
  </si>
  <si>
    <t>• 轮班安排 / Shift schedule
• KPI波动 / KPI for fluctuation
• 接口矩阵 / Interface matrix
• 应急策略 / Emergency strategy
• 资源规划，包括预算 / Resource planning, incl. budget
• 记录的替代规则 / Documented substitution rules
• 缺勤计划 / Absence planning
• 组织结构图 / Organization chart
• 技能和能力矩阵 / Skills &amp; competency matrix
• 资格证明 / Evidence of qualifications</t>
  </si>
  <si>
    <t>1. 项目管理必须通过灾难恢复策略，定义必要的生产相关 IT 元素（例如硬件、应用程序、托管）的最大可容忍停机时间。 / Project Management must, by means of a disaster recovery strategy, define the maximum tolerable downtime for necessary production- related IT elements (e.g.
2. 如果 IT 元素出现故障，项目管理必须确保恢复时间，且不会影响客户所需的到达日期。 / In case of a failure of IT elements, Project Management must ensure a recovery time without affecting the customer’s required arrival dates.
3. 存档可用且受保护。 / An archive is available and protected.
4. 数据必须备份在冗余且可靠的存储介质上。 / Data must be backed up on redundant and reliable storage media.
5. 数据备份必须定期进行功能测试。 / Regular function tests must be conducted for data backup.</t>
  </si>
  <si>
    <t>• 应急策略 / Emergency strategy
• 备份计划，包括。升级级别 / Backup plan, incl. escalation levels
• 归档要求 / Archiving requirements
• 备份概念 / Backup concept
• 应急信息预案 / Emergency information plan
• 根据 VDA 1 进行功能测试 / Function test according to VDA 1
• 客户特定的响应时间 / Customer-specific response times
• 蒂萨克斯® / TISAX ®</t>
  </si>
  <si>
    <t>1. 遵守内外部要求 / Internal and external requirements are complied with
2. 始终确保可用性。 / Availability is consistently ensured.
3. 相关接口功能齐全。 / Relevant interfaces are functional.
4. IT基础设施能够代表相关流程。 / The IT infrastructure is capable of representing the relevant processes.</t>
  </si>
  <si>
    <t>• 网络结构规划 / Network structure plan
• 硬件和软件 / Hardware and software
• 访问权限概述 / Overview of access permissions
• 接口矩阵 / Interface matrix
• KPI 和系统可用性 / KPIs and system availability
• 数据保护政策 / Data protection policies</t>
  </si>
  <si>
    <t>1. 工作开始时，可​​用性得到保证。 / Availability is ensured as of the start of work.
2. 考虑到个人需求和身体要求。 / Individual needs and physical requirements are taken into account.
3. 逃生和救援路线清晰可见并保持畅通。 / Escape and rescue routes are visible and kept clear.</t>
  </si>
  <si>
    <t>• 适当的照明 / Appropriate lighting
• 噪声防护的概念 / Concepts for noise protection
• 有关环境温度的规格 / Specifications regarding ambient temperature
• 职场分析 / Workplace analysis
• 危害评估 / Hazard assessments
• 办公室/空间概念 / Office/space concepts
• 秩序和清洁 / Order and cleanliness
• 逃生和救援路线 / Escape and rescue routes
• 人体工学方面 / Ergonomic aspects</t>
  </si>
  <si>
    <t>1. 根据风险定义、监控特定流程的 KPI 并进行沟通。 / Process-specific KPIs are defined, monitored according to risk and communicated.
2. 目标是商定的、具体的、可衡量的、可实现的、现实的和预定的。 / Targets are agreed, specific, measurable, attainable, realistic and scheduled.
3. 进行基于风险的目标/实际比较。 / A risk-based target/actual comparison is conducted.
4. 确保了目标的及时性。 / The timeliness of the targets is ensured.
5. 目标已传达给公司所有相关职位。项目进展 里程碑 行动计划 沟通计划 风险评估 资源利用 58 / Targets are communicated to all relevant positions in the company.</t>
  </si>
  <si>
    <t>• 项目进展 / Project progress
• 里程碑 / Milestones
• 行动计划 / Action plan
• 沟通计划 / Communication plan
• 风险评估 / Risk estimation
• 资源利用 / Resource utilization</t>
  </si>
  <si>
    <t>1. 定义并记录必要的流程 KPI（目标值）。实际数据被记录、评估和传达。 / The necessary process KPIs (target values) are defined and documented. The actual data is recorded, evaluated and communicated.
2. 记录的数据可以分配给流程，数据可用、清晰、可访问并按规定存档。满足可追溯性要求。 / The recorded data can be allocated to processes, the data is available, legible, accessible and archived as specified. Traceability requirements are met.
3. KPI 确定的数据来源合理且可信。必须在规定的时间段内确保可分析性。 KPI 系统 归档概念 可追溯性规范 KPI 定义 / The data sources for KPI determination are plausible and reasonable. Analyzability must be ensured over a defined time period. KPI systems Archiving concept Traceability specifications KPI definition</t>
  </si>
  <si>
    <t>• 关键绩效指标系统 / KPI systems
• 归档概念 / Archiving concept
• 可追溯性规范 / Traceability specifications
• 关键绩效指标定义 / KPI definition</t>
  </si>
  <si>
    <t>1. 如果不满足过程要求，则立即采取措施满足要求，直到证明纠正措施有效。员工们熟悉立即采取的行动。 / If process requirements are not met, immediate actions are taken to fulfill the requirements, until it has been proven that the corrective actions have been effective. The employees are familiar with the immediate actions.
2. 采用适当的方法来分析原因，并考虑客户的要求。 / Suitable methods are implemented to analyze the causes, and customer requirements are taken into account.
3. 重复错误会被记录。必须相应地对原因进行更详细的分析。 / Repeat errors are recorded. A more detailed analysis of the causes must be carried out accordingly.
4. 制定纠正措施，监督其实施并验证其有效性。 / Corrective actions are derived, their implementation is monitored and the effectiveness verified.
5. 记录特殊事件。 / Special incidents are documented.
6. 记录与目标值的偏差及其原因。 / Deviations from the target value and their causes are documented.</t>
  </si>
  <si>
    <t>• 8D报告 / 8D report
• 5个为什么方法 / 5 whys method
• 石川图 / Ishikawa diagram
• 行动计划 / Action plan
• 审计 / Audit</t>
  </si>
  <si>
    <t>1. 改进的潜力是根据与质量、成本和服务相关的调查结果不断确定的。 / The potential for improvement is continuously determined based on findings relating to quality, costs, and services.
2. 持续改进绩效能力的流程适用于整个公司和所有供应链合作伙伴。 / A process for continuous improvement of performance capability is applied throughout the company and with all supply chain partners.
3. 风险分析定期更新。 / Risk analyses are regularly updated.
4. 员工有动力提出持续改进的建议。审计 精益管理 Kaizen 5S FMEA 理念管理 PDCA 循环 / Employees are motivated to submit suggestions for continuous improvement.</t>
  </si>
  <si>
    <t>• 审计 / Audit
• 精益管理 / Lean management
• 改善 / Kaizen
• 失效模式分析 / FMEA
• 理念管理 / Idea management
• PDCA循环 / PDCA cycle</t>
  </si>
  <si>
    <t>1. 必须执行工艺流程的最低要求。 / The minimum requirements from the process flow must be implemented.
2. 有一个项目计划。 / There is a project plan.
3. 定义了项目组织。 / A project organization is defined.
4. 有一个里程碑计划。 / There is a milestone plan.
5. 包括预算在内的资源计划已经到位。 / A resource plan, including budget, is in place.
6. 有一个灾难恢复策略。 / There is a disaster recover strategy.
7. 已进行文档记录。 / Documentation has been performed.
8. 所有过程结果均根据定义的标准存档。项目计划 战略 里程碑计划 预算计划 标准目录 60 / All process results are archived according to defined criteria.</t>
  </si>
  <si>
    <t>• 项目计划 / Project plan
• 战略 / Strategy
• 里程碑计划 / Milestone plan
• 预算计划 / Budget plan
• 标准目录 / Catalogue of criteria</t>
  </si>
  <si>
    <t>1. 经验教训方法定期更新结构/流程内容/工具/目标和策略。 / The lessons-learned method regularly updates structures/process contents/tools/targets and strategy.
2. 考虑接口的结果。 / Findings from interfaces are taken into account.
3. 偏差被记录下来并用于改进措施。 / Deviations are documented and used for improvement measures.
4. 实施是基于风险的。经验教训数据库 不合格品管理 改进计划 / The implementation is risk-based.</t>
  </si>
  <si>
    <t>• 经验教训数据库 / Lessons-learned database
• 不合格管理 / Non-conformity management
• 改善方案 / Improvement program</t>
  </si>
  <si>
    <t>1. 文件化的验收和移交程序已完成。 / Documented acceptance and handover procedures have been completed.</t>
  </si>
  <si>
    <t>• 交接报告 / Handover report
• 成熟度级别 / Maturity level</t>
  </si>
  <si>
    <t>Process element 2 - Logistics planning</t>
  </si>
  <si>
    <t>1. 1.6.1 中批准的以下项目得以延续： – 项目计划 – 项目组织 – 里程碑计划 – 资源规划，包括资源规划预算——灾难恢复策略 / The following approved items from 1.6.1 are carried over: – Project plan – Project organization – Milestone plan – Resource planning, incl.
2. 在流程开始之前，可以获得明确定义的工作订单。 / A clearly defined work order is available before the start of the process.
3. 变革管理的结果被整合。 / Results from change management are inte- grated.
4. CIP 的结果已集成。 / Results from CIP are integrated.</t>
  </si>
  <si>
    <t>• 项目计划 / Project plan
• 战略 / Strategy
• 里程碑计划 / Milestone plan
• 资源规划 / Resource planning
• 预算计划 / Budget plan
• 标准目录 / Catalogue of criteria</t>
  </si>
  <si>
    <t>1. 必须考虑以下要求： - 客户要求 - 内部要求 - ESG 要求 / The following requirements must be taken into account: - customer requirements - internal requirements - ESG requirements
2. 必须有识别、评估和实施有约束力的义务的流程。 / There must be processes for identifying, eval- uating and implementing binding obligations.
3. 数据和/或信息可用于流程规划。 / Data and/or information is available for the planning of processes.</t>
  </si>
  <si>
    <t>• 经验教训数据库 / Lessons-learned database
• 不合格管理 / Non-conformity management
• 改善方案 / Improvement program
• 交接报告 / Handover report
• 成熟度级别 / Maturity level
• 客户特定要求</t>
  </si>
  <si>
    <t>1. 在规划过程中已识别、评估并通过适当措施减轻风险。 / Risks have been identified, assessed, and have been mitigated by means of appropriate measures during planning.
2. 考虑到正在进行的或以前的类似项目的经验（特别是吸取的教训）。 / Experiences (especially lessons learned) from ongoing or previous comparable projects are taken into account.
3. 已识别的风险已纳入说明/规范中。 / Identified risks are integrated into instructions/specifications.</t>
  </si>
  <si>
    <t>• 失效模式分析 / FMEA
• 潜力分析 / Potential analysis
• SWOT 分析 / SWOT analysis
• 乌龟图 / Turtle diagram</t>
  </si>
  <si>
    <t>1. 已为规划流程的变更管理定义了流程。 / A process has been defined for the change management of planning processes.
2. 已经定义了变更的升级流程。 / An escalation process for changes has been defined.
3. 通信概念已经被定义。 / A communication concept has been defined.
4. 已定义文档流程。 / A documentation process has been defined.
5. 服务提供商、货运代理和供应商有义务将任何组织变更告知合同伙伴。流程描述 沟通计划 升级矩阵 合并、收购 程序符合 VDA 第 2 卷 / Service-providers, forwarders and suppliers are obligated to inform contractual partners of any organizational changes.</t>
  </si>
  <si>
    <t>• 流程说明 / Process descriptions
• 沟通计划 / Communication plan
• 升级矩阵 / Escalation matrix
• 合并、收购 / Mergers, acquisitions
• 程序符合 VDA 第 2 卷 / Procedure in accordance with VDA Volume 2</t>
  </si>
  <si>
    <t>1. 物料主数据可用且可访问。 / Material master data is available and accessi- ble.
2. 角色是为主数据管理而定义的。 / Roles are defined for master data manage- ment.
3. 建立了一个流程来描述如何持续记录物料主数据的更改并将其传达给受影响的部门。 / A process is established which describes how changes to material master data are continu- ously recorded and communicated to the affected departments.</t>
  </si>
  <si>
    <t>• 功能说明 / Function description
• 变革管理 / Change management
• 访问权限 / Access permissions
• 企业资源计划系统 / ERP systems</t>
  </si>
  <si>
    <t>1. 必须制定资源短缺的紧急策略。 / Emergency strategies for resource shortages must be in place.
2. 定义操作是为了确保在软件和/或硬件故障时为客户提供服务。应急策略 升级矩阵 更换系统 / Actions are defined in order to ensure cus- tomer supply in case of software and/or hard- ware failure.</t>
  </si>
  <si>
    <t>• 应急策略 / Emergency strategies
• 升级矩阵 / Escalation matrix
• 更换系统 / Replacement systems</t>
  </si>
  <si>
    <t>1. 包装和容器开发须经过审批流程并考虑客户特定和 ESG 要求。 / Packaging and container development is sub- ject to an approval process and accounts for customer-specific and ESG requirements.
2. 定义了各种包装级别。 / The various packaging levels are defined.
3. 为包装合规标签建立了流程。 / A process is established for compliant label- ling of packaging.
4. 内部物流采用供应链概念。 / A supply chain concept is in place for in-house logistics.
5. 产能根据客户要求进行规划，并提供实施内部物流的概念。 / Capacities are planned in accordance with customer requirements, and a concept for imple- menting in-house logistics is available.
6. 流程描述、工作指导和其他相关文件均以足够的细节清晰地描述。 / The process descriptions, work instructions and other relevant documents are clearly described with an adequate degree of detail.</t>
  </si>
  <si>
    <t>• 流程相关/程序说明 / Process-related/procedural instructions
• 容量规划、最大容量、处理时间 / Capacity planning, maximum capacity, process times
• 换档型号 / Shift models
• 仓储物流概念，先进先出 / Warehouse logistics concept, FIFO
• 包装和容器概念 / Packaging and container concept
• 包装等级概述 / Overview of packaging levels
• 替代包装 / Alternative packaging
• 供应链概念 / Supply chain concept
• 标签概述 / Labelling overview
• 可回收或再生包装材料 / Recyclable or recycled packaging materials</t>
  </si>
  <si>
    <t>1. 已经确定哪种类型的传输应用于哪些范围/路线。 / It has been determined which type of trans- port should be used for which scopes/routes.
2. 针对瓶颈部件和特殊情况的运输建立了流程。 / A process is established for the transport of bottleneck parts and special situations.
3. 时间窗口管理 / Time window management
4. 流程描述、工作指导和其他相关文件均以足够的细节清晰地描述。运输概念 路线概念 时间管理 瓶颈管理 66 / The process descriptions, work instructions and other relevant documents are clearly described with an adequate degree of detail.</t>
  </si>
  <si>
    <t>• 运输理念 / Transport concept
• 路线概念 / Route concept
• 时间管理 / Time management
• 瓶颈管理 / Bottleneck management</t>
  </si>
  <si>
    <t>1. 定义了供应商选择流程。 / A process for supplier selection is defined.
2. 为供应商定义了评估标准。 / Evaluation criteria are defined for suppliers.
3. 流程描述、工作指导和其他相关文件均以足够的细节清晰地描述。批准的供应商名单 供应商管理流程 审核报告 / The process descriptions, work instructions and other relevant documents are clearly described with an adequate degree of detail.</t>
  </si>
  <si>
    <t>• 认可供应商名单 / List of approved suppliers
• 供应商管理流程 / Supplier management process
• 审计报告 / Audit reports</t>
  </si>
  <si>
    <t>1. 该职位的要求概况构成了招聘流程以及与潜在新员工的员工概况进行相关比较的基础。 / The requirement profile for the job forms the basis for the recruiting process and the associ- ated comparison with the employee profile of potential new hires.
2. 每个职位都有活动描述。 / Activity descriptions are available for every position.
3. 教育背景、先前知识、职业和高等教育都被考虑在内。 / Educational background prior knowledge, career and higher education are taken into account.
4. 定义了必要的权限。 / The necessary permissions are defined.
5. 定义了相关命令。 / Relevant orders are defined.
6. 定期进行检查。 / Checks are performed regularly.
7. 定义了与工作场所相关的资格。 / Workplace-related qualifications are defined.</t>
  </si>
  <si>
    <t>• 项目组织结构图 / Project organization chart
• 项目成员的需求概况 / Requirements profiles for project members
• 技能和能力矩阵 / Skills &amp; competency matrix
• 资格证明 / Evidence of qualifications
• 职业安全 / Occupational safety
• 活动说明 / Activity description
• 需求简介 / Requirement profile
• 培训/资格证明（例如 Scrum） / Proof of training/qualifications (e.g. Scrum)
• 初步训练计划 / Initial training plan
• 简报（例如职业安全、ESG 要求） / Briefings (e.g. occupational safety, ESG requirements)
• 适当的资格证明（例如视力测试、听力测试、触觉测试） / Suitable evidence of qualification (e.g. vision test, hearing test, touch test)
• 员工认可的职位描述 / Job description acknowledged by the employee</t>
  </si>
  <si>
    <t>1. 对于每个职位，都有一个基于工作描述的培训计划。 / For each position, there is a training schedule based on the work description.
2. 使用技能和能力矩阵。 / A Skills &amp; competency matrix is used.
3. 定义了“初始培训”的类型和范围。 / The type and the scope of the “initial training” are defined.
4. 规定了法定培训、内部培训和经常性培训的类型和范围。 / The type and the scope of statutory, internal and recurring training are defined.
5. 鉴定措施的有效性在质量和时间上得到保证。 / The effectiveness of the qualification meas- ures is ensured in terms of quality and time.
6. 培训由合格的员工/培训师进行。 / Training is conducted by qualified staff/train- ers.
7. 培训知识必须是可证明的。 / Training know-how must be demonstrable.
8. 必须确保符合内部物流特殊特征的资格。 / Qualifications for compliance with special characteristics of in-house logistics must be ensured.
9. 确保与工作场所相关的资格。 / Workplace-related qualifications are ensured.
10. 培训概念（包括适当的培训文件）已经到位。 / A training concept, including appropriate training documents, is in place.</t>
  </si>
  <si>
    <t>• 具有专业知识的人员概述 / Overview of persons with specialized knowledge
• 利益相关者分析 / Stakeholder analysis
• 培训计划 / Training plan
• 培训理念 / Training concept
• 专利理念 / Patent concept
• 技能和能力矩阵 / Skills &amp; competency matrix
• 第一天简报 / First-day briefing
• 初始培训计划及参考资料 / Initial training plan with references
• 简报（例如职业安全、ESG 要求、数据保护） / Briefings (e.g. occupational safety, ESG requirements, data protection)
• 确认有效性 / Confirmation of effectiveness</t>
  </si>
  <si>
    <t>1. 工作人员了解他们的工作和检查指示 / The staff know their work and inspection instructions
2. 工作人员知道他们的活动描述。 / The staff know their activity description.
3. 员工知道不正确执行工作的后果。 / The staff know the consequences of incorrect execution of work.
4. 定义了对流程中不当执行的工作和/或错误的响应。 / The response to improperly performed work and/or errors in the process is defined.
5. 员工定期收到有关当前所达到的质量标准的信息，并了解客户投诉。 / Employees receive regular information on the current standard of quality achieved and are informed about customer complaints.
6. 向员工提供的说明、培训和入职培训以及资格证明均已记录在案。 / Instructions, trainings and inductions provided to the staff as well as proofs of qualification are documented.
7. 如果流程发生变化，将提供培训/说明并记录在案。 / In case of changes to processes, trainings/ instructions are provided and documented.</t>
  </si>
  <si>
    <t>1. 所有轮班都有员工时间表。人员安排考虑了所需的合格员工数量。 / There is a staff schedule for all shifts.
2. 考虑了产量的变化。 / Variations in the production volume are taken into account.
3. 所有活动都有一套缺勤管理规则。 / A set of absence management rules is in place for all activities.
4. 所有活动和角色都映射在组织结构图或团队结构中。 / All activities and roles are mapped in an organization chart or team structure.
5. 制定了危机管理计划。 / A crisis management plan is defined.
6. 负责的员工，包括发出指示的权力，都已被任命。 / The responsible employees, including author- ity to give instructions, have been named.</t>
  </si>
  <si>
    <t>• 轮班安排 / Shift schedule
• 指定人员 / Appointed persons
• KPI波动 / KPI for fluctuation
• 接口矩阵 / Interface matrix
• 应急策略 / Emergency strategy
• 资源规划，包括预算 / Resource planning, incl. budget
• 记录的替代规则 / Documented substitution rules
• 缺勤计划 / Absence planning
• 组织结构图 / Organization chart
• 技能和能力矩阵 / Skills &amp; competency matrix
• 资格证明 / Evidence of qualifications</t>
  </si>
  <si>
    <t>1. 公司必须通过灾难恢复策略，定义必要的生产相关 IT 元素（例如硬件、应用程序、托管）的最大可容忍停机时间。 / The company must, by means of a disaster recovery strategy, define the maximum tolerable downtime for necessary production-related IT elements (e.g.
2. 如果 IT 元件出现故障，公司必须确保恢复时间，且不影响客户要求的到达日期。 / In case of a failure of IT elements, the com- pany must ensure a recovery time without affecting the customer’s required arrival dates.
3. 存档可用且受保护。 / Archive is available and protected.
4. 数据必须备份在冗余且可靠的存储介质上。 / Data must be backed up on redundant and reliable storage media.
5. 数据备份必须定期进行功能测试。应急策略 备份计划，包括。升级级别 归档要求 备份概念 应急信息计划 根据 VDA 1 进行功能测试 客户特定的反应时间 TISAX ® / Regular function tests must be conducted for data backup.</t>
  </si>
  <si>
    <t>• 应急策略 / Emergency strategy
• 备份计划，包括。升级级别 / Backup plan, incl. escalation levels
• 归档要求 / Archiving requirements
• 备份概念 / Backup concept
• 应急信息预案 / Emergency information plan
• 功能测试根据 / Function test according to
• VDA 1
• 客户定制 / Customer-specific
• 反应时间 / Reaction times
• 蒂萨克斯® / TISAX ®</t>
  </si>
  <si>
    <t>1. 遵守内部和外部要求。 / Internal and external requirements are observed.
2. 始终确保可用性。 / Availability is consistently ensured.
3. 相关接口功能齐全。 / Relevant interfaces are functional.
4. IT 基础设施能够代表相关流程。 / The IT infrastructure is capable of represent- ing the relevant processes.
5. 可以访问必要的客户 IT 系统 网络结构规划 硬件和软件 访问权限概述 接口矩阵 KPI 和系统可用性 数据保护策略 70 / Access to necessary customer IT systems is available Network structure plan Hardware and software Overview of access permissions Interface matrix KPIs and system availability Data protection policies</t>
  </si>
  <si>
    <t>1. 工作开始时，可​​用性得到保证。 / Availability is ensured as of the start of work.
2. 考虑到个人需求和身体要求。 / Individual needs and physical requirements are taken into account.
3. 逃生和救援路线已明确并明确指示。适当的照明 噪音防护概念 环境温度规范 工作场所分析 危害评估 检查报告 办公室/空间概念 秩序和清洁度 逃生和救援路线 人体工程学方面 / Escape and rescue routes are defined and clearly indicated.</t>
  </si>
  <si>
    <t>• 适当的照明 / Appropriate lighting
• 噪声防护的概念 / Concepts for noise protection
• 有关环境温度的规格 / Specifications regarding ambient temperature
• 职场分析 / Workplace analysis
• 危害评估 / Hazard assessments
• 检验报告 / Inspection reports
• 办公室/空间概念 / Office/space concepts
• 秩序和清洁 / Order and cleanliness
• 逃生和救援路线 / Escape and rescue routes
• 人体工学方面 / Ergonomic aspects</t>
  </si>
  <si>
    <t>1. 提供了规划数量。 / Quantities for planning are provided.
2. 确保对各个仓库功能区域和路线进行标记。 / The labelling of the individual warehouse functional areas and routes is ensured.
3. 库存接收区域有足够的保护免受自然因素的影响。 / Stock receipt areas have adequate protection from the elements.
4. 卸货区有足够的卸货能力。 / The unloading zone has adequate capacity for unloading.
5. 有足够的存储空间。 / Adequate storage spaces are available.
6. 容器：标签、可视化/内部容器标签（操作材料） / Containers: labelling, visualization / internal container label (operating materials)</t>
  </si>
  <si>
    <t>• 秩序和清洁 / Order and cleanliness
• 标签概念 / Labelling concept
• 功能区定义 / Definition of functional areas
• 布局 / Layout
• 存储系统的定义（例如货架、高架、链斗式货架等） / Definition of storage systems (e.g. shelf, high rack, paternoster rack, etc.)
• 内部运输设备 / Internal transport equipment
• 工作设备检测证书 / Test certificates of work equipment</t>
  </si>
  <si>
    <t>1. 根据项目计划记录合规程度。里程碑计划 成熟度级别状态 项目计划 合规级别 Scrum / The level of compliance is documented according to the project plan.</t>
  </si>
  <si>
    <t>• 里程碑计划 / Milestone plan
• 成熟度级别状态 / Maturity level status
• 项目计划 / Project plan
• 合规程度 / Level of compliance
• Scrum</t>
  </si>
  <si>
    <t>1. 如果未满足过程要求，则立即采取行动以满足要求，直至证明纠正措施有效。员工们熟悉立即采取的行动。 / If process requirements are not met, immedi- ate actions are taken to fulfill the requirements, until it has been proven that the corrective actions have been effective. The employees are familiar with the immediate actions.
2. 采用适当的方法来分析原因，并考虑客户的要求。 / Suitable methods are implemented to analyze the causes, and customer requirements are taken into account.
3. 重复错误会被记录。必须相应地对原因进行更详细的分析。 / Repeat errors are recorded. A more detailed analysis of the causes must be carried out accordingly.
4. 制定纠正措施，监督其实施并验证其有效性。 / Corrective actions are derived, their imple- mentation is monitored and the effectiveness verified.
5. 记录特殊事件。 / Special incidents are documented.
6. 记录与目标值的偏差及其原因。行动计划 8D 报告 KPI 矩阵 升级矩阵 有效性证据 待办事项清理 72 / Deviations from the target value and their causes are documented.</t>
  </si>
  <si>
    <t>• 行动计划 / Action plan
• 8D报告 / 8D report
• 关键绩效指标矩阵 / KPI matrix
• 升级矩阵 / Escalation matrix
• 有效性证据 / Evidence of effectiveness
• 积压 / Backlog
• 清理 / Clean Up</t>
  </si>
  <si>
    <t>1. 改进的潜力是根据与质量、成本和服务相关的调查结果不断确定的。 / The potential for improvement is continuously determined based on findings relating to quality, costs, and services.
2. 持续改进绩效能力的流程适用于整个公司和所有供应链合作伙伴。 / A process for continuous improvement of per- formance capability is applied throughout the company and with all supply chain partners.
3. 风险分析定期更新。 / Risk analyses are regularly updated.
4. 员工有动力提交持续改进的建议。 5S 审核 CIP Kaizen 六西格码创意管理 / Employees are motivated to submit sugges- tions for continuous improvement.</t>
  </si>
  <si>
    <t>• 审计 / Audits
• 就地清洗 / CIP
• 改善 / Kaizen
• 六西格码 / Six Sigma
• 理念管理 / Idea management</t>
  </si>
  <si>
    <t>1. 考虑内部和外部要求。 / Internal and external requirements are con- sidered.
2. 包装和容器开发考虑了客户特定和 ESG 要求并受到监控。 / Packaging and container development accounts for customer-specific and ESG requirements and is monitored.</t>
  </si>
  <si>
    <t>• 需求规格 / Requirement specification
• 客户指南 / Customer guidelines
• 包装标准 / Packaging standards
• 合同 / Contract</t>
  </si>
  <si>
    <t>1. 规划中的所有（内部/外部）活动均根据里程碑计划实施和批准。 / All (internal/external) activities from planning are implemented and approved according to the milestone plan.
2. 必须完成以下流程： – 基础设施计划 – 工作指导 – 物料主数据 – 控制计划 – 根据客户要求进行性能测试 – 根据计划实施员工资格认证 / The following processes must be completed: – infrastructure plan – work instruction – material master data – control plan – performance test based on customer requirements – qualification of the staff is implemented according to planning
3. 所有过程结果均根据定义的标准存档。里程碑计划 移交报告 资源规划，包括。预算 绩效测试结果 技能和能力矩阵 ERP 系统 成熟度水平 / All process results are archived according to defined criteria.</t>
  </si>
  <si>
    <t>• 里程碑计划 / Milestone plan
• 移交报告 / Handover reports
• 资源规划，包括预算 / Resource planning, incl. budget
• 性能测试结果 / Results from performance tests
• 技能和能力矩阵 / Skills &amp; competency matrix
• ERP系统 / ERP system
• 成熟度级别 / Maturity level</t>
  </si>
  <si>
    <t>1. 经验教训方法定期更新结构/流程内容/工具/目标和策略。 / The lessons-learned method regularly updates structures/process contents/tools/ targets and strategy.
2. 考虑接口的结果。 / Findings from interfaces are taken into account.
3. 偏差被记录下来并用于改进措施。 / Deviations are documented and used for improvement measures.
4. 实施是基于风险的。经验教训数据库 行动清单 FMEA/Turtle 改进计划 不合格管理 技能和能力矩阵 74 / The implementation is risk-based.</t>
  </si>
  <si>
    <t>• 经验教训数据库 / Lessons-learned database
• 行动清单 / Action list
• FMEA/海龟 / FMEA/Turtle
• 改善方案 / Improvement program
• 不合格管理 / Non-conformity management
• 技能和能力矩阵 / Skills &amp; competency matrix</t>
  </si>
  <si>
    <t>1. 经核实，在物流流程规划期间已满足所有相关要求。 / It is verified that all relevant requirements have been met during the planning of logistical processes.
2. 在规划物流流程时会考虑项目管理 (L1) 中定义的所有任务/要求。 / All the tasks/requirements defined in project management (L1) are taken into account in the planning of logistical processes.</t>
  </si>
  <si>
    <t>• 可行性分析结果 / Results from feasibility analysis
• 潜力分析 / Potential analysis
• 审核（例如 VDA 6.8、MMOG/LE） / Audit (e.g. VDA 6.8, MMOG/LE)
• 交接报告 / Handover report
• 供应链概念 / Supply chain concept
• 自我评估 / Self-assessment
• 戴明循环 / Deming Cycle
• 每日例会 / Daily Scrum
• 冲刺回顾 / Sprint Review</t>
  </si>
  <si>
    <t>1. 提供以下结果/文件： – 可行性分析 – 经验教训 – 项目管理和后勤规划的结果 / The following results/documents are provided: – Feasibility analysis – Lessons learned – Results from project management and ­logistical planning
2. 提供工单。总体规划 经验教训 反面例子 项目结构计划 报告 L3.2 流程：流程如何运作？ / A work order is provided.</t>
  </si>
  <si>
    <t>• 总体规划 / Master plan
• 经验教训 / Lessons learned
• 反面例子 / Negative examples
• 项目结构图 / Project structure plan
• 报告 L3.2 流程：流程如何运作？ / Reports</t>
  </si>
  <si>
    <t>1. 流程描述、工作指导和其他相关文件均以足够的细节清晰地描述。 / The process descriptions, work instructions and other relevant documents are clearly described with an adequate degree of detail.
2. 根据既定标准（例如 Q 能力、Q 绩效），仅选择有质量能力的物流供应商和服务提供商。 / Only quality-capable logistical suppliers and service providers are selected, in accordance with established criteria (e.g.
3. 在推出新产品或审查性能时，会使用正式的评估工具（例如 VDA 6.8、Global MMOG/LE 或同等方法）。 / When introducing new products or reviewing performance, formal evaluation instruments (e.g. VDA 6.8, Global MMOG/LE, or equivalent methods) are used.
4. 使用适当的措施来识别、评估和减轻供应链（内部/外部）中的风险。 / Risks in the supply chain (internal/external) are identified, evaluated and mitigated using suitable measures.
5. 在供应商开发中，对规定的措施进行监控。 / In supplier development, defined measures are monitored.
6. 接口已定义并记录。 / Interfaces are defined and documented.
7. 供应链参与相关采购小组以选择物流服务提供商。 / Supply Chain participates in relevant procure- ment panels for selecting logistical service pro- viders.</t>
  </si>
  <si>
    <t>• 工艺计划 / Process plans
• 审核结果 / Audit results
• 批准/替代供应商和服务提供商名单 / List of approved/alternative suppliers and service providers
• 证书（质量管理体系） / Certificates (QM systems)
• 供应商质量表现概览 / Quality performance overview of suppliers
• 明确选择供应商的标准 / Defined criteria for the selection of suppliers
• 基于KPI的质量能力评价 / Quality capability evaluation based on KPIs
• 升级级别 / Escalation level
• 供应商审核结果 / Audit results of the suppliers</t>
  </si>
  <si>
    <t>1. 对于供应商和/或服务提供商执行的物流流程，服务范围通过合同约定并受到监控。 / For the performance of logistical processes by suppliers and/or service providers, the scope of services is contractually agreed and moni- tored.
2. 物流质量目标是本协议的一部分。 / Logistical quality targets are part of this agreement.
3. 规定了不遵守协议的后果。 / Consequences are defined for non-compli- ance with agreements.
4. 对相关约束性义务及其履行情况的分析受到监控。合同商定 KPI 绩效证明 证书（质量管理体系） 可行性分析 / The analysis of relevant binding obligations and their fulfillment is monitored.</t>
  </si>
  <si>
    <t>• 合约 / Contracts
• 商定的关键绩效指标 / Agreed KPIs
• 性能证明 / Proofs of performance
• 证书（质量管理体系） / Certificates (QM systems)
• 可行性分析 / Feasibility analysis</t>
  </si>
  <si>
    <t>1. 与供应商和/或物流服务提供商商定书面的应急管理计划，包括责任和升级级别。 / A documented emergency management plan, including responsibilities and escalation levels, is agreed with suppliers and/or logistical service providers.
2. 紧急情况概念基于明确的风险。应急理念 供应瓶颈 不可抗力 物质资源短缺 人力资源短缺 / The emergency concept is based on defined risks.</t>
  </si>
  <si>
    <t>• 紧急概念 / Emergency concepts
• 供应瓶颈 / Supply bottleneck
• 不可抗力 / Force majeure
• 物质资源短缺 / Shortage of material resources
• 人力资源短缺 / Shortage of human resources</t>
  </si>
  <si>
    <t>1. 为物流投诉的跟踪和记录定义了规范。 / Specifications are defined for the tracking and documentation of logistical complaints.
2. 定义了处理投诉的流程，包括相关的客户规范。 / A process is defined for processing com- plaints, including relevant customer specifica- tions.
3. 定义了故障纠正过程，包括合适的方法。 / A fault correction process is defined, includ- ing suitable methods.
4. 通过立即行动确保供应。 / Supply is ensured by means of immediate actions.
5. 定义了补偿（例如收回）额外成本的流程。 / Processes are defined for compensation (e.g.</t>
  </si>
  <si>
    <t>• 升级流程 / Escalation process
• 投诉指引 / Complaint guidelines
• 作业指导书 / Work instructions
• 联系人名单 / List of contact persons</t>
  </si>
  <si>
    <t>1. 风险转移受合同规定，并且为所有相关方所知并可用。 / Transfers of risk are contractually regulated and are known and available to all relevant par- ties.
2. 流程所有者已与内部和外部接口达成一致并已被指定。合同 流程图 RACI 图 国际贸易术语解释通则 个别合同的规定 / Process owners have been agreed upon with the internal and external interfaces and have been appointed.</t>
  </si>
  <si>
    <t>• 合约 / Contracts
• 工艺流程图 / Process flow diagrams
• RACI图表 / RACI chart
• 国际贸易术语解释通则 / Incoterm
• 个人合同的规定 / Provisions of individual contracts</t>
  </si>
  <si>
    <t>1. 及时、完整地传达与物流服务有关的变化。 / Changes pertaining to logistical services are communicated in a timely and complete manner.
2. 为组织和供应商和/或服务提供商定义接口和联系人。 / Interfaces and contact persons are defined for the organization and the supplier and/or ­service provider.
3. 定期就流程绩效和目标实现情况进行交流。如果出现目标偏差，则制定并实施纠正措施。 / There is a regular exchange on process ­performance and target achievement. In case of target deviations, corrective measures are defined and implemented.
4. 定义了电子数据交换 (EDI) 的使用和应用。 / The use and application of an Electronic Data Interchange (EDI) are defined.
5. 提供对相关客户平台的访问。车间管理，包括。服务提供商 定期沟通 联系人名单，包括紧急联系人 IT 要求 访问权限 客户反馈 80 / Access to the relevant customer platforms is provided.</t>
  </si>
  <si>
    <t>• 车间管理，包括。服务提供商 / Shopfloor management, incl. service provider
• 定期沟通 / Regular communication
• 联系人名单，包括紧急联系方式 / List of contact persons, incl. emergency contact
• 信息技术要求 / IT requirements
• 访问权限 / Access permissions
• 客户反馈 / Customer feedback</t>
  </si>
  <si>
    <t>1. 定义了分配给供应商和/或外部服务提供商的绩效范围。 / Scopes of performance which are assigned to suppliers and/or external service providers are defined.
2. 供应商和外部服务提供商的控制责任受到监管并整合到供应链中。 / Responsibility for the control of suppliers and external service providers is regulated and ­integrated into the supply chain.
3. 与外部服务提供商的通信规则已被定义，并且所有参与者都知道。 / Rules for communication with external ser- vice providers are defined, and are known to all participants.
4. 定义了供应商或外部服务提供商向客户直接供货的调度控制。 / The dispatch control for direct supply by the supplier or external service provider to the ­customer is defined.
5. 确保需求和容量管理。 / Requirement and capacity management is ensured.</t>
  </si>
  <si>
    <t>• 合约 / Contracts
• 需求规格 / Requirement specifications
• 接口矩阵 / Interface matrices
• 沟通计划 / Communication plans
• 需求和容量规划 / Requirement and capacity planning</t>
  </si>
  <si>
    <t>1. 该职位的要求概况构成了招聘流程以及与潜在新员工的员工概况进行相关比较的基础。 / The requirement profile for the job forms the basis for the recruiting process and the associ- ated comparison with the employee profile of potential new hires.
2. 每个职位都有活动描述。 / Activity descriptions are available for every position.
3. 教育背景、先前知识、职业和高等教育都被考虑在内。 / Educational background prior knowledge, career and higher education are taken into account.</t>
  </si>
  <si>
    <t>• 职位描述 / Job description
• 需求简介 / Requirement profile
• 培训/资格证明 / Proof of training/qualifications
• 客户特定要求 / Customer-specific requirements
• 技能和能力矩阵 / Skills &amp; competency matrix
• 初步训练计划 / Initial training plan
• 简报（例如职业安全、ESG 要求） / Briefings (e.g. occupational safety, ESG requirements)
• 适当的资格证明（例如视力测试、听力测试、触觉测试） / Suitable evidence of qualification (e.g. vision test, hearing test, touch test)
• 供应商评估方法（例如审核、目标合规性、统计） / Supplier evaluation methods (e.g. audit, target compliance, statistics)
• 质量程序（例如 8D、5W） / Quality procedures (e.g. 8D, 5W)
• 供应商审核员资质 / Qualification of supplier auditor
• 外语知识 / Knowledge of foreign languages
• 员工认可的职位描述 / Job description acknowledged by the employee</t>
  </si>
  <si>
    <t>1. 对于每个职位，都有一个基于工作描述的培训计划。 / For each position, there is a training schedule based on the work description.
2. 使用技能和能力矩阵。 / A skills &amp; competency matrix is used.
3. 定义了“首日简报”的范围。 / The scope of the “first-day briefing” is defined.
4. 确保了资格认证措施的有效性。 / The effectiveness of the qualification meas- ures is ensured.
5. 培训由合格的培训师进行。 / Training is conducted by qualified trainers.</t>
  </si>
  <si>
    <t>• 初步培训计划 / Initial training plans
• 专利理念 / Patent concept
• 在职培训 / Training on the job
• 培训理念 / Training concept
• 职业安全 / Occupational safety
• 培训计划 / Training plan
• 技能和能力矩阵 / Skills &amp; competency matrix
• 第一天简报 / First-day briefing
• 初始培训计划及参考资料 / Initial training plan with references
• 货物处理（例如使用处理图标） / Handling of goods (e.g. use of handling icons)
• 简报（例如职业安全、ESG 要求、数据保护） / Briefings (e.g. occupational safety, ESG requirements, data protection)</t>
  </si>
  <si>
    <t>1. 工作人员了解他们的工作和流程说明。 / The staff know their work and process instructions.
2. 工作人员知道他们的活动描述。 / The staff know their activity description.
3. 员工知道不正确执行工作的后果。 / The staff know the consequences of incorrect execution of work.
4. 工作人员可以了解供应商和服务提供商的选择和评估状态。 / The staff have access to the supplier and service provider selection and assessment ­status.
5. 向员工提供的说明、培训和入职培训以及资格证明均已记录在案。 / Instructions, trainings and inductions provided to the staff as well as proofs of qualification are documented.
6. 如果流程发生变化，将提供培训/说明并记录在案。 / In case of changes to processes, trainings/ instructions are provided and documented.</t>
  </si>
  <si>
    <t>• 应急计划/责任矩阵 / Emergency plans/ responsibility matrix
• 专业领域 / Areas of expertise
• 接口界定 / Interface delimitations
• 更改日志， / Change logs,
• 活动说明 / Activity description
• 过程干扰的识别 / Identification of process disturbances
• 安全工作行为/实践 / Safe work conduct/practices
• 工作/检查说明 / Work/inspection instructions
• 阻止/解除阻止 / Blocking/unblocking
• 授权 / authorizations
• 服务协议（例如服务级别协议、目标/实际 KPI） / Service agreement (e.g. service-level agreement, target/actual KPIs)
• 秩序和清洁 / Order and cleanliness
• 相关法律/监管要求的培训 / Training on relevant statutory/ regulatory requirements
• IT权限 / IT permissions
• 功能及要求 / Functions and requirements</t>
  </si>
  <si>
    <t>1. 有一个员工计划，其中考虑了所需的合格员工数量（技能和能力矩阵）。 / There is a staff schedule which takes into account the required number of qualified employees (skills &amp; competency matrix).
2. 所有活动都有一套缺勤管理规则。 / A set of absence management rules is in place for all activities.
3. 所有活动和角色都映射在组织结构图或团队结构中。 / All activities and roles are mapped in an organization chart or team structure.
4. 负责的员工，包括发出指示的权力，都已被任命。 / The responsible employees, including author- ity to give instructions, have been named.</t>
  </si>
  <si>
    <t>• 轮班安排 / Shift schedule
• 指定人员 / Appointed persons
• 最低人员配置 / Minimum staffing
• 人员要求 / Staff requirement
• 记录的替换规则， / Documented substitution rules,
• 缺勤计划 / Absence planning
• 组织结构图 / Organization chart
• 技能和能力矩阵 / Skills &amp; competency matrix
• 资格证明</t>
  </si>
  <si>
    <t>1. 定义了 IT 应急解决方案。 / An IT emergency solution is defined.
2. 存档可用且受保护。 / An archive is available and protected.
3. 数据必须备份在冗余且可靠的存储介质上。 / Data must be backed up on redundant and reliable storage media.
4. 数据备份必须定期进行功能测试。客户特定的响应时间 应急策略 备份计划，包括。升级级别 归档要求 备份概念 应急信息计划 根据 VDA 1 进行功能测试 / Regular function tests must be conducted for data backup.</t>
  </si>
  <si>
    <t>• 客户特定的响应时间 / Customer-specific response times
• 应急策略 / Emergency strategy
• 备份计划，包括。升级级别 / Backup plan, incl. escalation levels
• 归档要求 / Archiving requirements
• 备份概念 / Backup concept
• 应急信息预案 / Emergency information plan
• 根据 VDA 1 进行功能测试 / Function test according to VDA 1</t>
  </si>
  <si>
    <t>1. 遵守内部和外部要求。 / Internal and external requirements are observed.
2. 始终确保可用性。 / Availability is consistently ensured.
3. 相关接口功能齐全。 / Relevant interfaces are functional.
4. IT基础设施能够代表相关流程。 / The IT infrastructure is capable of ­representing the relevant processes.</t>
  </si>
  <si>
    <t>1. 工作开始时，可​​用性得到保证。 / Availability is ensured as of the start of work.
2. 考虑到个人需求和身体要求。 / Individual needs and physical requirements are taken into account.
3. 逃生和救援路线已明确并明确指示。 / Escape and rescue routes are defined and clearly indicated.</t>
  </si>
  <si>
    <t>1. 定义、监控和传达特定于流程的目标。 / Process-specific targets are defined, ­monitored and communicated.
2. 目标是商定的、具体的、可衡量的、可实现的、现实的和预定的。 / Targets are agreed, specific, measurable, attainable, realistic and scheduled.
3. 进行基于风险的目标/实际比较。 / A risk-based target/actual comparison is conducted.
4. 确保了目标的及时性。 / The timeliness of the targets is ensured.
5. 目标已传达给公司所有相关职位。交付可靠性 交付错误率 供应商控制 目标合规性的早期指标 供应商评估 交付质量 86 / Targets are communicated to all relevant positions in the company.</t>
  </si>
  <si>
    <t>• 交付可靠性 / Delivery reliability
• 交付错误率 / Rate of error in delivery
• 供应商控制 / Supplier controlling
• 目标达标的早期指标 / Early indicators of target compliance
• 供应商评估 / Supplier assessment
• 交货质量 / Delivery quality</t>
  </si>
  <si>
    <t>1. 定义并记录必要的流程 KPI（目标值）。实际数据被记录、评估和传达。 / The necessary process KPIs (target values) are defined and documented. The actual data is recorded, evaluated and communicated.
2. 记录的供应商和服务提供商特定数据可以分配给流程，数据可用、清晰、可访问并按规定存档。满足可追溯性要求。 / The recorded supplier and service provid- er-specific data can be allocated to processes, the data is available, legible, accessible and archived as specified. Traceability requirements are met.
3. KPI 确定的数据来源合理且可信。必须在规定的时间段内确保可分析性。主数据维护 变更管理 供应商门户 审核结果 投诉管理 / The data sources for KPI determination are plausible and reasonable. Analyzability must be ensured over a defined time period. Master data maintenance Change management Supplier portal Audit results Complaint management</t>
  </si>
  <si>
    <t>• 主数据维护 / Master data maintenance
• 变革管理 / Change management
• 供应商门户 / Supplier portal
• 审核结果 / Audit results
• 投诉管理 / Complaint management</t>
  </si>
  <si>
    <t>1. 如果未满足过程要求，则立即采取行动以满足要求，直至证明纠正措施有效。员工们熟悉立即采取的行动。 / If process requirements are not met, immedi- ate actions are taken to fulfill the requirements, until it has been proven that the corrective actions have been effective. The employees are familiar with the immediate actions.
2. 采用适当的方法来分析原因，并考虑客户的要求。 / Suitable methods are implemented to analyze the causes, and customer requirements are taken into account.
3. 重复错误会被记录。必须相应地对原因进行更详细的分析。 / Repeat errors are recorded. A more detailed analysis of the causes must be carried out accordingly.
4. 制定纠正措施，监督其实施并验证其有效性。 / Corrective actions are derived, their imple- mentation is monitored and the effectiveness verified.
5. 记录特殊事件。 / Special incidents are documented.
6. 记录与目标值的偏差及其原因。 / Deviations from the target value and their causes are documented.</t>
  </si>
  <si>
    <t>• PDCA循环 / PDCA cycle
• 石川图 / Ishikawa diagram
• 价值流分析 / Value stream analysis
• 8D报告 / 8D report
• 门户结果处理 / Portal result processing
• 过程失效模式与影响分析 / Process FMEA
• 偏差许可 / Deviation permission
• 豁免 / Waivers</t>
  </si>
  <si>
    <t>1. 改进的潜力是根据与质量、成本和服务相关的调查结果不断确定的。 / The potential for improvement is continuously determined based on findings relating to quality, costs, and services.
2. 持续改进绩效能力的流程适用于供应商和服务提供商管理以及所有供应链合作伙伴。 / A process for continuous improvement of per- formance capability is applied within supplier and service provider management and with all supply chain partners.
3. 风险分析定期更新。 / Risk analyses are regularly updated.
4. 员工有动力提交持续改进的建议。 CIP 文件 建议方案 实施经验教训的证据 / Employees are motivated to submit sugges- tions for continuous improvement.</t>
  </si>
  <si>
    <t>• CIP 文档 / CIP documentation
• 建议方案 / Suggestion scheme
• 已实施经验教训的证据 / Evidence for implemented lessons learned</t>
  </si>
  <si>
    <t>1. 客户的要求已被考虑在内。 / Customer requirements are factored in.
2. 有一些行动列表，其中包含出现偏差时的有效性预测。 / There are action lists with effectiveness ­predictions in case of deviations.
3. 更改已记录。供应商可行性分析 处理变更文件和审批流程 及时沟通变更 变更历史记录 / Changes are documented.</t>
  </si>
  <si>
    <t>• 供应商可行性分析 / Supplier feasibility analysis
• 流程变更文档及审批流程 / Process change documentation with approval process
• 及时沟通变更 / Timely communication of changes</t>
  </si>
  <si>
    <t>1. 必须完成以下流程： – 定义使用经批准的供应商/服务提供商。 – 评估结果（评估的供应商）可用。 – 记录供应商的绩效。 – 供应商发展计划已经到位。 / The following processes must be completed: – The use of approved suppliers/service ­providers is defined. – Evaluation results (evaluated suppliers) are available. – Supplier performance is documented. – A supplier development program is in place.
2. 所有过程结果均根据定义的标准存档。协调响应计划 协调薪酬处理 绩效测试结果 战略供应商发展计划 中央数据库 供应商评估 供应商名单 88 / All process results are archived according to defined criteria.</t>
  </si>
  <si>
    <t>• 协调响应计划 / Coordinated response plans
• 协调补偿处理 / Coordinated compensation processing
• 性能测试结果 / Performance test results
• 战略供应商发展计划 / Strategic supplier development plan
• 中央数据库 / Central database
• 供应商评估 / Supplier assessment
• 供应商名单 / Supplier list</t>
  </si>
  <si>
    <t>1. 考虑相关供应商的批准/评估 / Relevant supplier approvals/evaluations are taken into account
2. 考虑接口的结果。 / Findings from interfaces are taken into account.
3. 偏差被记录下来并用于改进措施。 / Deviations are documented and used for improvement measures.
4. 实施是基于风险的。 / The implementation is risk-based.</t>
  </si>
  <si>
    <t>• 8D报告 / 8D report
• 后续审核 / Follow-up audits
• PDCA循环 / PDCA cycle
• 石川图 / Ishikawa diagram
• 沟通计划 / Communication plan
• 戴明循环 / Deming Cycle
• 每日例会 / Daily Scrum
• 冲刺回顾 / Sprint Review</t>
  </si>
  <si>
    <t>1. 战略目标和概念都被考虑在内。确保材料的可用性 质量保证 缩短交货时间 成本优化 供应链的可持续性和合规性 / Strategic goals and concepts are taken into account.</t>
  </si>
  <si>
    <t>• 确保材料的可用性 / Ensuring the availability of material
• 品质保证 / Quality assurance
• 减少交货时间 / Reduction of delivery times
• 成本优化 / Cost optimization
• 供应链的可持续性和合规性 / Sustainability and compliance in the supply chain</t>
  </si>
  <si>
    <t>1. 供应商评估和绩效均被考虑在内。 / Supplier evaluation and performance are taken into account.
2. 考虑供应商的批准。供应商错误率 供应商质量 供应商可靠性 批准的供应商 供应商记分卡 / Supplier approvals are taken into account.</t>
  </si>
  <si>
    <t>• 供应商错误率 / Supplier error rate
• 供应商质量 / Supplier quality
• 供应商可靠性 / Supplier reliability
• 认可供应商 / Approved suppliers
• 供应商记分卡 / Supplier scorecard</t>
  </si>
  <si>
    <t>1. 必须考虑以下要求： – 客户要求 – 内部要求 – ESG 要求 / The following requirements must be taken into account: – customer requirements – internal requirements – ESG requirements
2. 必须有识别、评估和实施具有约束力的义务的流程。 / There must be processes for identifying, ­evaluating and implementing binding ­obligations.
3. 数据和/或信息可用于采购物流流程。 ESG 要求 风险管理 客户要求 合同 指南 QM 体系 92 / Data and/or information is available for the procurement logistics processes.</t>
  </si>
  <si>
    <t>• ESG 要求 / ESG requirements
• 风险管理 / Risk management
• 客户要求 / Customer requirements
• 合约 / Contracts
• 指南 / Guidelines
• 质量管理体系 / QM system</t>
  </si>
  <si>
    <t>1. 有一个生产量计划，该计划影响物料需求计划。 / There is a plan for the production volume, and this plan influences material requirements planning.
2. 实施积极的变革管理。 / Active change management is implemented.</t>
  </si>
  <si>
    <t>• 生产计划 / Production plan
• 变更请求 / Change requests
• 生产需求分析 / Analysis of production demand
• 物料清单和工作计划 / Bills of materials and work plans
• 库存监控 / Inventory monitoring
• 持续监控 / Continuous monitoring</t>
  </si>
  <si>
    <t>1. 流程描述、工作指导和其他相关文件均以足够的细节清晰地描述。 / The process descriptions, work instructions and other relevant documents are clearly described with an adequate degree of detail.
2. 必须至少定义并考虑以下流程的流程规范： – 采购申请/交付计划的处理 – 手动订单的触发 – 瓶颈管理 – 时间窗口控制 / Process specifications must be defined and taken into account for at least the following ­processes: – Processing of purchase requisitions/ delivery plan – Triggering of manual orders – Bottleneck management – Time window control
3. 采购申请得到及时处理。 / Purchase requisitions are processed in good time.
4. 监控未处理的采购申请并确保处理。 / Unprocessed purchase requisitions are ­monitored, and processing is ensured.
5. 确保检查异常订单数量（异常值）的合理性。 / It is ensured that unusual order quantities (outliers) are checked for plausibility.
6. 系统 KPI 变化根据定义的标准和特殊因素进行调整、记录和沟通。 / System KPI changes are adjusted, docu- mented and communicated based on defined criteria and special factors.
7. 定期检查安全库存、最低订购量和保质期。 / Safety stocks, minimum order quantities and shelf lives are regularly checked.
8. 确保按照指定标准进行进出货物控制。 / Goods in and goods out control is ensured in accordance with specified criteria.
9. 容器和批量大小均已考虑在内。流程描述 工作指导 采购申请 一般库存管理 ERP 系统 沟通计划 94 / Containers and batch sizes are taken into account.</t>
  </si>
  <si>
    <t>• 流程说明 / Process descriptions
• 作业指导书 / Work instructions
• 采购申请 / Purchase requisitions
• 一般库存管理 / General stock management
• 企业资源计划系统 / ERP systems
• 沟通计划 / Communication plan</t>
  </si>
  <si>
    <t>1. 基于需求的容器管理，包括考虑供应商的反馈。 / Demand-based container management, including consideration of feedback from ­suppliers.
2. 定义了替代包装的用途和类型。 / The use and the type of alternative packaging are defined.
3. 有足够数量的单独和特殊负载载体。 / Separate and special load carriers are ­available in sufficient quantity.
4. 描述了回流概念，包括回流标准。 / A return flow concept, including return criteria, is described.
5. 库存透明地呈现。负载载体库存管理 负载载体周期 特殊负载载体 替代包装 交货频率 / Inventories are presented transparently.</t>
  </si>
  <si>
    <t>• 承运商库存管理 / Load carrier stock management
• 负载循环 / Load carrier cycle
• 特殊负载载体 / Special load carriers
• 替代包装 / Alternative packaging
• 送货频率 / Delivery frequencies</t>
  </si>
  <si>
    <t>1. 库存概念已经到位。 / An inventory concept is in place.
2. 监控材料需求的流程已经到位。 / A process for monitoring material demand is in place.
3. 库存检查是根据相关且有效的规范进行的。 / Inventory checks are conducted according to relevant and valid specifications.
4. 建立了处理废弃零件的流程。 / A process is established for dealing with obsolete parts.
5. 研究库存差异的原因（地点数量、零件数量和零件价值），进行集中分析，并在必要时采取改进措施。 / Causes of stock discrepancies in inventories (number of locations, part quantities and part values) are researched, focussed analyses are conducted and, if necessary, improvement measures are initiated.</t>
  </si>
  <si>
    <t>• 库存记录 / Stock records
• 补货间隔 / Restocking intervals
• 库存数据 / Stock data
• 识别差异 / Identification of discrepancies
• 行动计划 / Action plan
• 股票走势 / Stock movements
• 库存概念 / Inventory concept</t>
  </si>
  <si>
    <t>1. 针对逾期物品、延迟交货和库存偏差定义了多阶段升级流程。 / A multi-stage escalation process is defined for overdue items, late delivery and stock ­deviations.
2. 升级规则是已知的并且得到遵守。 / Escalation rules are known and are observed.
3. Overdue items are regularly checked and escalated to the suppliers.
4. 为瓶颈管理定义了一个流程（包含在瓶颈控制、分配、终止和瓶颈控制中的标准）。 / A process is defined for bottleneck manage- ment (criteria for inclusion in bottleneck control, for allocation, for termination and bottleneck control).
5. 逾期物品的交货日期信息可供客户使用。交叉供应流程 交叉采购 库存 升级流程 瓶颈控制 责任矩阵 触发标准 / Delivery date information for overdue items is made available to the customer.</t>
  </si>
  <si>
    <t>• 交叉供应流程 / Process for cross-supply
• 交叉采购 / Cross-procurement
• 库存 / Inventories
• 升级流程 / Escalation process
• 瓶颈控制 / Bottleneck control
• 职责矩阵 / Responsibilities matrix
• 触发条件 / Triggering criteria</t>
  </si>
  <si>
    <t>1. 生产计划和控制系统在生成生产计划时必须自动考虑客户要求。 / The production planning and control system must automatically factor in customer require- ments in the generation of production plans.
2. 定义并遵守计划和生产订单的时间范围。 / The time horizon for planning and production orders is defined and observed.
3. 连续的生产阶段是相互联系和协调的。 / Sequential production stages are interlinked and coordinated.
4. 相对于总周转时间，以合理的间隔提供生产订单反馈 / Production order feedback is provided at ­reasonable intervals in relation to the total ­turnaround
5. 生产状态在生产过程中发出信号。 / The production status is signaled over the course of production.
6. 尽早通知生产计划，以防出现预材料瓶颈。 / Production planning is informed early on in case of pre-material bottlenecks.
7. 批量大小和加工时间均被考虑在内，并根据设定标准在各个生产部分中定义。 / Batch sizes and tooling times are taken into account and are defined in the individual pro- duction sections based on set criteria.
8. 订单顺序基于设定的标准。 / The order sequence is based on set criteria.</t>
  </si>
  <si>
    <t>• 物料需求计划 / Material requirements planning
• 交货取消 / Delivery call-offs
• 材料可用性/批准 / Material availability/approval
• 瓶颈是已知的 / Bottlenecks are known
• 变体创建 (JIS/JIT) / Variant creation (JIS/JIT)
• 废品率已知 / Reject rates are known
• 在制品库存 / WIP inventories
• 透明的生产计划和逾期物品跟踪 / Transparent production schedules and overdue item tracking
• 预测 / Forecasts
• MES/ERP系统 / MES/ERP systems
• 动作控制 / Action control
• 供应链规划</t>
  </si>
  <si>
    <t>• 技能和能力矩阵 / Skills &amp; competency matrix
• 资格证明 / Evidence of qualifications
• 职业安全 / Occupational safety
• 活动说明 / Activity description
• 需求简介 / Requirement profile
• 培训/资格证明 / Proof of training/qualifications
• 客户特定要求 / Customer-specific requirements
• 初步训练计划 / Initial training plan
• 简报（例如职业安全、ESG 要求） / Briefings (e.g. occupational safety, ESG requirements)
• 适当的资格证明（例如视力测试、听力测试、触觉测试） / Suitable evidence of qualification (e.g. vision test, hearing test, touch test)
• 员工认可的职位描述 / Job description acknowledged by the employee
• 外语知识 / Knowledge of foreign languages</t>
  </si>
  <si>
    <t>1. 对于每个职位，都有一个基于工作描述的培训计划。 / For each position, there is a training schedule based on the work description.
2. 使用技能和能力矩阵。 / A skills &amp; competency matrix is used.
3. “首日简报”范围已明确 / The scope of the “first-day briefing” is defined
4. 确保了资格认证措施的有效性。 / The effectiveness of the qualification meas- ures is ensured.
5. 培训由合格的培训师进行。 / Training is conducted by qualified trainers.</t>
  </si>
  <si>
    <t>• 具有专业知识的人员概述 / Overview of persons with specialized knowledge
• 利益相关者分析 / Stakeholder analysis
• 培训计划 / Training plan
• 培训理念 / Training concept
• 专利理念 / Patent concept
• 质量和时间 / Quality and time
• 技能和能力矩阵 / Skills &amp; competency matrix
• 第一天简报 / First-day briefing
• 初始培训计划及参考资料 / Initial training plan with references
• 简报（例如职业安全、ESG 要求、数据保护） / Briefings (e.g. occupational safety, ESG requirements, data protection)</t>
  </si>
  <si>
    <t>1. 工作人员了解他们的工作和检查说明。 / The staff know their work and inspection instructions.
2. 工作人员知道他们的活动描述。 / The staff know their activity description.
3. 员工知道不正确执行工作的后果。 / The staff know the consequences of incorrect execution of work.
4. 定期向员工通报目标合规情况和客户投诉。 / The staff are regularly informed of target ­compliance and customer complaints.
5. 向员工提供的说明、培训和入职培训以及资格证明均已记录在案。 / Instructions, trainings and inductions provided to the staff as well as proofs of qualification are documented.
6. 如果流程发生变化，将提供培训/说明并记录在案。 / In case of changes to processes, trainings/ instructions are provided and documented.</t>
  </si>
  <si>
    <t>• 功能及要求 / Functions and requirements
• 功能说明 / Function description
• 升级矩阵 / Escalation matrix
• 沟通计划 / Communication plan
• 工作失误应对计划 / Response plan to faulty work
• 出现问题时的行动计划 / Action plan in case of problems
• 过程干扰的识别 / Identification of process disturbances
• 安全工作行为/实践 / Safe work conduct/practices
• 工作/检查说明 / Work/inspection instructions
• 服务协议（例如服务级别协议、目标/实际 KPI） / Service agreement (e.g. service-level agreement, target/actual KPIs)
• 秩序和清洁 / Order and cleanliness
• 相关法律/监管要求的培训 / Training on relevant statutory/ regulatory requirements
• IT权限 / IT permissions</t>
  </si>
  <si>
    <t>1. 所有轮班都有员工时间表。人员安排考虑了所需的合格员工数量。 / There is a staff schedule for all shifts.
2. 考虑了产量的变化。 / Variations in the production volume are taken into account.
3. 所有活动都有一套缺勤管理规则。 / A set of absence management rules is in place for all activities.
4. 所有活动和角色都映射在组织结构图或团队结构中。 / All activities and roles are mapped in an organization chart or team structure.
5. 负责的员工，包括发出指示的权力，都已被任命。 / The responsible employees, including author- ity to give instructions, have been named.</t>
  </si>
  <si>
    <t>1. 公司必须通过灾难恢复策略，定义必要的生产相关 IT 元素（例如硬件、应用程序、托管）的最大可容忍停机时间。 / The company must, by means of a disaster recovery strategy, define the maximum tolerable downtime for necessary production-related IT elements (e.g.
2. 如果 IT 元件出现故障，公司必须确保恢复时间，且不影响客户要求的到达日期。 / In case of a failure of IT elements, the ­company must ensure a recovery time without affecting the customer’s required arrival dates.
3. 存档可用且受保护。 / Archive is available and protected.
4. 数据必须备份在冗余且可靠的存储介质上。 / Data must be backed up on redundant and reliable storage media.
5. 数据备份必须定期进行功能测试。应急策略 备份计划，包括。升级级别 归档要求 备份概念 应急信息计划 根据 VDA 1 进行功能测试 客户特定的响应时间 TISAX ® / Regular function tests must be conducted for data backup.</t>
  </si>
  <si>
    <t>1. 遵守内部和外部要求。 / Internal and external requirements are observed.
2. 始终确保可用性。 / Availability is consistently ensured.
3. 相关接口功能齐全。 / Relevant interfaces are functional.
4. IT 基础设施能够代表相关流程。 / The IT infrastructure is capable of represent- ing the relevant processes.</t>
  </si>
  <si>
    <t>• ERP（计划和供应链） / ERP (planning and supply chain)
• 车间管理系统 / Shopfloor Management System
• MES（运营管理） / MES (Operation Management)
• 泳道 / SwimLane
• 网络结构规划 / Network structure plan
• 硬件和软件 / Hardware and software
• 访问权限概述 / Overview of access permissions
• 接口矩阵 / Interface matrix
• KPI 和系统可用性 / KPIs and system availability
• 数据保护政策 / Data protection policies</t>
  </si>
  <si>
    <t>1. 工作开始时，可​​用性得到保证。 / Availability is ensured as of the start of work.
2. 考虑到个人需求和身体要求。 / Individual needs and physical requirements are taken into account.
3. 逃生和救援路线已明确并明确指示。适当的照明 噪音防护概念 环境温度规范 工作场所分析 危险评估 办公室/空间概念 秩序和清洁度 逃生和救援路线 人体工程学方面 / Escape and rescue routes are defined and clearly indicated.</t>
  </si>
  <si>
    <t>1. 确保 EDI 是最新且无错误的。 / Up-to-date and error-free EDIs are ensured.
2. EDI 用于后续流程。 / EDIs are used for follow-up processes.
3. 有合适的硬件可供使用。 / Suitable hardware is available.
4. 系统之间的接口是安全的。 / The interfaces between the systems are secured.</t>
  </si>
  <si>
    <t>• 呼叫关闭系统 / Call-off system
• EDI 的手动或自动处理 / Manual or automatic processing of EDIs
• EDI 处理的时间范围 / Time horizon for the processing of the EDIs
• EDI 的转换和通信 / Conversion and communication of the EDIs
• 企业资源计划系统 / ERP systems</t>
  </si>
  <si>
    <t>1. 定义、监控和传达特定于流程的目标。 / Process-specific targets are defined, ­monitored and communicated.
2. 目标是商定的、具体的、可衡量的、可实现的、现实的和预定的。 / Targets are agreed, specific, measurable, attainable, realistic and scheduled.
3. 进行基于风险的目标/实际比较。 / A risk-based target/actual comparison is ­conducted.
4. 确保了目标的及时性。 / The timeliness of the targets is ensured.
5. 目标已传达给公司所有相关职位。到期日 没有需求的材料 库存持有天数 供应商交货时间 延期交货 库存水平 / Targets are communicated to all relevant positions in the company.</t>
  </si>
  <si>
    <t>• 到期日 / Expiry date
• 材料无需求 / Material without demand
• 库存持有天数 / Days inventory held
• 供应商交货时间 / Supplier delivery time
• 延期交货 / Backorder
• 库存水平 / Stock level</t>
  </si>
  <si>
    <t>1. 定义并记录必要的流程 KPI（目标值）。实际数据被记录、评估和传达。 / The necessary process KPIs (target values) are defined and documented. The actual data is recorded, evaluated and communicated.
2. 记录的数据可以分配给流程，数据可用、清晰、可访问并按规定存档。满足可追溯性要求。 / The recorded data can be allocated to pro- cesses, the data is available, legible, accessible and archived as specified. Traceability require- ments are met.
3. 确定 KPI 的数据来源合理且合理。必须在规定的时间段内确保可分析性。补货提前期 订单准确性 供应商质量 供应商可靠性 订单数量 订单周期 102 / The data sources for KPIs determination are plausible and reasonable. Analyzability must be ensured over a defined time period. Replenishment lead time Order accuracy Supplier quality Supplier reliability Order quantity Order cycle</t>
  </si>
  <si>
    <t>• 补货时间 / Replenishment lead time
• 订单准确率 / Order accuracy
• 供应商质量 / Supplier quality
• 供应商可靠性 / Supplier reliability
• 订购数量 / Order quantity
• 订单周期 / Order cycle</t>
  </si>
  <si>
    <t>• 供应商投诉 / Supplier complaints
• 供应商错误率 / Supplier rates of error
• 根本原因分析（5W/石川） / Root cause Analysis (5W / Ishikawa)
• 供应链绩效能力 / Performance capability of the supply chain
• 8D报告 / 8D report
• 失效模式分析 / FMEA
• 行动计划 / Action plan
• 升级计划 / Escalation plan
• 沟通计划 / Communication plan</t>
  </si>
  <si>
    <t>1. 改进的潜力是根据与质量、成本和服务相关的调查结果不断确定的。 / The potential for improvement is continuously determined based on findings relating to quality, costs, and services.
2. 持续改进绩效能力的流程适用于整个公司和所有供应链合作伙伴。 / A process for continuous improvement of per- formance capability is applied throughout the company and with all supply chain partners.
3. 风险分析定期更新。 / Risk analyses are regularly updated.
4. 员工有动力提交持续改进的建议。 / Employees are motivated to submit sugges- tions for continuous improvement.</t>
  </si>
  <si>
    <t>• 供应商评估 / Supplier assessment
• 就地清洗 / CIP
• 行动计划 / Action plans
• PDCA / 改善 / FMEA / PDCA / Kaizen / FMEA
• 经验教训 / Lessons learned</t>
  </si>
  <si>
    <t>1. 客户的要求已被考虑在内。 / Customer requirements are factored in.
2. 有一些行动列表，其中包含出现偏差时的有效性预测。 / There are action lists with effectiveness ­predictions in case of deviations.
3. 更改已记录。行动计划 职责列表 变更管理工具 流程文档 变更请求 文档修订 / Changes are documented.</t>
  </si>
  <si>
    <t>• 行动计划 / Action plans
• 职责清单 / Lists of responsibilities
• 变更管理工具 / Change management tools
• 流程文档 / Process documentation
• 变更请求 / Change requests
• 文件修订 / Document revisions</t>
  </si>
  <si>
    <t>1. 必须完成以下流程： – 确保供应安全 – 干预限制及相应的后续措施 – 最低库存水平/安全库存 / The following processes must be completed: – Ensuring supply security – Intervention limits with corresponding ­follow-up measures – Minimum stock levels/safety stocks
2. 当前和合理的 EDI 用于所有后续流程。 / Current and plausible EDIs are used for all follow-up processes.
3. 所有过程结果均根据定义的标准存档。到期合规性 预警系统 生产输出 仓库管理 订购和订单处理 归档要求 / All process results are archived according to defined criteria.</t>
  </si>
  <si>
    <t>• 到期合规性 / Maturity compliance
• 预警系统 / Early warning systems
• 产量 / Production output
• 仓库管理 / Warehouse management
• 订购和订单处理 / Ordering and order processing
• 归档要求 / Archiving requirements</t>
  </si>
  <si>
    <t>1. 分析瓶颈，找出其原因，并作为经验教训方法的基础。 / Bottlenecks are analyzed to find their causes and serve as the basis for the lessons-learned method.
2. 考虑接口的结果。 / Findings from interfaces are taken into account.
3. 偏差被记录下来并用于改进措施。 / Deviations are documented and used for improvement measures.
4. 实施是基于风险的 / The implementation is risk-based</t>
  </si>
  <si>
    <t>• 持续风险管理 / Continuous risk management
• 动作追踪 / Action tracking
• 根本原因分析 / Root cause analysis
• 回顾性 / Retrospective
• 最佳实践/良好实践 / Best practice/ good practice
• 戴明循环 / Deming Cycle
• 每日例会 / Daily Scrum
• 冲刺回顾 / Sprint Review</t>
  </si>
  <si>
    <t>1. 运输概念已经到位。 / A transport concept is in place.
2. 有经过批准的运输服务提供商。 / Approved transport service providers are available.
3. 委托运输服务，包括以下内容： – 正确的数量/商定的质量/正确的产品/正确的收件人/标签/运输文件/商定的截止日期 – 提供额外的批准 / Transport services are commissioned, ­including the following: – right quantity / agreed quality / right product / right recipient / labelling / shipping docu- ments / agreed deadline – additional approvals are provided
4. 变革管理的结果被整合。 / Results from change management are integrated.
5. CIP 的结果已集成。批准的服务提供商概述 运输规划（例如行程、产品要求） 升级概念 沟通概念 运输概念 CIP Kaizen 理念管理 改进项目 / Results from CIP are integrated.</t>
  </si>
  <si>
    <t>• 认可服务提供商概览 / Overview of approved service providers
• 运输规划（例如行程、产品要求） / Transport planning (e.g. trips, product requirements)
• 升级概念 / Escalation concept
• 沟通理念 / Communication concept
• 运输理念 / Transport concept
• 就地清洗 / CIP
• 改善 / Kaizen
• 理念管理 / Idea management
• 改善工程 / Improvement project</t>
  </si>
  <si>
    <t>1. 必须考虑以下要求： – 法定要求 – 客户要求 – 内部要求 – ESG 要求 / The following requirements must be taken into account: – Statutory requirements – customer requirements – internal requirements – ESG requirements
2. 必须有识别、评估和实施具有约束力的义务的流程。 / There must be processes for identifying, ­evaluating and implementing binding ­obligations.
3. 数据和/或信息可用于运输物流。 / Data and/or information is available for ­transport logistics.</t>
  </si>
  <si>
    <t>• 合同文件，包括需求规格 / Contract documents, including requirement specifications
• 包装要求 / Packaging requirements
• 产品要求（例如危险品） / Product requirements (e.g. hazardous goods)
• ESG 和安全法规 / ESG and safety regulations
• 作业指导书 / Work instructions
• 流程说明 / Process description
• 质量管理体系 / QM system
• 贸易法、货运法、运输保险法、税收和海关法、交通法</t>
  </si>
  <si>
    <t>1. 遵守装载、卸载和运输的操作规范。 / Handling specifications for loading, unloading and transport are observed.
2. 考虑并观察包装概念（例如可堆叠性）。 / A packaging concept (e.g. stackability) is taken into account and observed.
3. 集成并观察加载方案。 JIS/JIT 装载说明 装载矩阵 包装概念 搬运规格工作说明 / A loading scheme is integrated and observed.</t>
  </si>
  <si>
    <t>• JIS/JIT 装载说明 / Instructions for JIS/JIT loading
• 加载矩阵 / Loading matrix
• 包装理念 / Packaging concept
• 搬运规范作业指导书 / Work instructions for handling specifications</t>
  </si>
  <si>
    <t>1. 遵守法律法规，包括。法律责任以及适用的规范和行业标准。 / Compliance with statutory regulations, incl.
2. 考虑物理基础知识，包括。作用在负载上的力。 / Consideration of physical fundamentals, incl.
3. 车辆/货物运输车装载时考虑负载分布。不得超过有效载荷、允许总重量以及轴载荷。 / Consideration of load distribution when load- ing the vehicle/cargo carrier. The pay load, the permissible total weight as well as the axle loads must not be exceeded.</t>
  </si>
  <si>
    <t>• 装载说明 / Instructions for loading
• 法律法规要求概述 / Overview of statutory and regulatory requirements
• 装载控制文件 / Documentation of loading control
• 负荷分布图 / Load distribution diagram
• 加载固定文档 / Load securing documentation</t>
  </si>
  <si>
    <t>1. 运输设备和运输的货物根据相关规范进行标记。 / Transport equipment and transported goods are labelled according to the relevant specifica- tions.
2. 所需文件已完成。 / Required documentation is completed.
3. 描述并观察了对环境有影响的材料的处理。 / The handling of environmentally impactful materials is described and observed.
4. 考虑了运输设备的特定属性。 / Specific properties of the transport equipment are taken into account.</t>
  </si>
  <si>
    <t>• 危险品（例如电池） / Hazardous goods (e.g. batteries)
• 超大号 / Oversizes
• 特殊运输 / Special transports
• 温湿度监测 / Temperature and humidity monitoring
• 运输文件 / Shipping documents
• 货物标签（现场目视检查货物） / Cargo labelling (visual inspection of cargo on-site)</t>
  </si>
  <si>
    <t>1. 流程描述、工作指导和其他相关文件均以足够的细节清晰地描述。 / The process descriptions, work instructions and other relevant documents are clearly described with an adequate degree of detail.
2. 考虑以下要求： – 客户要求 – 内部要求 – ESG 要求 / The following requirements are taken into account: – customer requirements – internal requirements – ESG requirements
3. 防盗概念已经到位。 / A concept for theft prevention is in place.
4. 描述了不当商业的后果。 / The consequences of improper commerce are described.
5. 必要的文件已在适当的地方发布并提供。 GPS 跟踪器 监控摄像头 视频 象形图 海关退货流程 运输单 工作说明 程序说明 文件管理系统 合同 国际贸易术语解释通则 / Necessary documents are issued and ­available in the right place.</t>
  </si>
  <si>
    <t>• GPS追踪器 / GPS trackers
• 监控摄像头 / Surveillance cameras
• 视频 / Videos
• 象形图 / Pictograms
• 海关 / Customs
• 退货流程 / Return process
• 运输订单 / Transport order
• 工作指示 / Work instruction(s)
• 程序说明 / Procedural instructions
• 文件管理系统 / Document management system
• 合同 / Contract
• 国际贸易术语解释通则 / Incoterm</t>
  </si>
  <si>
    <t>1. 运输损坏管理概念已经到位。 / A transport damage management concept is in place.
2. 定义了故障传输服务的标准。 / Criteria for faulty transport services are defined.
3. 定义了识别和预防运输风险的概念。 / Concepts for identifying and preventing ­transport risks are defined.
4. 描述了传输服务出现故障时的响应。 / The response in case of faulty transport ­services is described.
5. 应在风险点和接口转移处检查运输货物是否有损坏。 / The transported goods should be checked for damage at transfers of risk points and inter- faces.</t>
  </si>
  <si>
    <t>• 流程概览 / Process overview
• 程序说明 / Procedural instructions
• 工作指示 / Work instruction(s)
• 资源（例如运输损坏管理部门） / Resources (e.g. Transport Damage Management Dept.)
• 8D报告 / 8D report
• FMEA</t>
  </si>
  <si>
    <t>• 指定人员（危险品、负载固定等） / Assigned person (hazardous goods, load securing, etc.)
• 安全许可证 / Safety permits
• 活动说明 / Activity description
• 需求简介 / Requirement profile
• 内审员 / Internal auditor
• 培训/资格证明（例如叉车许可证、起重机操作许可证） / Proof of training/qualifications (e.g. forklift license, crane operating license)
• 技能和能力矩阵 / Skills &amp; competency matrix
• 初步训练计划 / Initial training plan
• 货物处理（例如阅读处理图标） / Handling of goods (e.g. reading handling icons)
• 简报（例如职业安全、ESG 要求） / Briefings (e.g. occupational safety, ESG requirements)
• 适当的资格证明（例如视力测试、听力测试、触觉测试） / Suitable evidence of qualification (e.g. vision test, hearing test, touch test)
• 员工认可的职位描述 / Job description acknowledged by the employee
• 外语知识 / Knowledge of foreign languages</t>
  </si>
  <si>
    <t>1. 对于每个职位，都有一个基于工作描述的培训计划。 / For each position, there is a training schedule based on the work description.
2. 使用技能和能力矩阵。 / A skills &amp; competency matrix is used.
3. 定义了“初始培训”的类型和范围。 / The type and the scope of the “initial training” are defined.
4. 规定了法定培训、内部培训和经常性培训的类型和范围。 / The type and the scope of statutory, internal and recurring training are defined.
5. 鉴定措施的有效性在质量和时间上得到保证。 / The effectiveness of the qualification meas- ures is ensured in terms of quality and time.
6. 培训由合格的员工/培训师进行。 / Training is conducted by qualified staff/­ trainers.
7. 培训知识必须是可证明的。 / Training know-how must be demonstrable.
8. 必须确保符合内部物流特殊特征的资格。 / Qualifications for compliance with special characteristics of in-house logistics must be ensured.
9. 确保与工作场所相关的资格。 / Workplace-related qualifications are ensured.
10. 培训概念（包括适当的培训文件）已经到位。 / A training concept, including appropriate training documents, is in place.</t>
  </si>
  <si>
    <t>• 专项培训（空运、危险品、堆叠系数、ESD等） / Specific training (air cargo, hazardous goods, stacking factor, ESD, etc.)
• 培训理念 / Training concept
• 专利理念 / Patent concept
• 职业安全 / Occupational safety
• 质量和时间 / Quality and time
• 培训内容 / Training components
• 培训计划 / Training plan
• 技能和能力矩阵 / Skills &amp; competency matrix
• 第一天简报 / First-day briefing
• 初始培训计划及参考资料 / Initial training plan with references
• 货物处理（例如阅读处理图标） / Handling of goods (e.g. reading handling icons)
• 简报（例如职业安全、ESG 要求、数据保护） / Briefings (e.g. occupational safety, ESG requirements, data protection)</t>
  </si>
  <si>
    <t>1. 工作人员了解他们的工作和流程说明。 / The staff know their work and process instructions.
2. 工作人员知道他们的活动描述。 / The staff know their activity description.
3. 员工知道不正确执行工作的后果。 / The staff know the consequences of incorrect execution of work.
4. 定义了对流程中不当执行的工作和/或错误的响应。 / The response to improperly performed work and/or errors in the process is defined.
5. 工作人员可以获取相关的工作说明。 / The staff have access to relevant work instructions.
6. 向员工提供的说明、培训和入职培训以及资格证明均已记录在案。 / Instructions, trainings and inductions provided to the staff as well as proofs of qualification are documented.
7. 如果流程发生变化，将提供培训/说明并记录在案。 / In case of changes to processes, trainings/ instructions are provided and documented.
8. 确保完成法律要求的定期培训。 / The completion of legally required recurring training is ensured.</t>
  </si>
  <si>
    <t>• 过程干扰的识别 / Identification of process disturbances
• 安全工作行为/实践 / Safe work conduct/practices
• 工作/检查说明 / Work/inspection instructions
• 职位描述 / Job description
• 阻止/解除阻止权限 / Blocking/unblocking permissions
• 服务协议（例如服务级别协议、目标/实际 KPI） / Service agreement (e.g. service-level agreement, target/actual KPIs)
• 秩序和清洁 / Order and cleanliness
• 相关法律/监管要求的培训 / Training on relevant statutory/ regulatory requirements
• IT权限 / IT permissions
• 功能及要求 / Functions and requirements</t>
  </si>
  <si>
    <t>1. 有一个员工计划，其中考虑了所需的合格员工数量。 / There is a staff schedule which takes into account the required number of qualified employees.
2. 所有轮班均提供替补人员。 / Substitutes are provided for all shifts.
3. 所有活动和角色都映射在组织结构图或团队结构中。 / All activities and roles are mapped in an organization chart or team structure.
4. 训练有素的工作人员可以保护负载和危险物品。 / Trained staff are available for securing loads and hazardous goods.
5. 定义了人员不足情况下的应对措施和措施。 / Response and measures in case of under-staffing are defined.
6. 制定了危机管理计划。 / A crisis management plan is defined.
7. 负责的员工，包括发出指示的权力，都已被任命。 / The responsible employees, including author- ity to give instructions, have been named.</t>
  </si>
  <si>
    <t>• 技能和能力矩阵 / Skills &amp; competency matrix
• 轮班安排 / Shift schedule
• 组织结构图 / Organization chart
• 培训证明 / Evidence of training
• 换人规则 / Substitution rules
• 具有角色和授权的应急计划 / Contingency plan with roles and authorizations</t>
  </si>
  <si>
    <t>1. 结合流程规划，应设计潜在流程问题的紧急概念，该概念描述紧急情况下执行实际服务流程的流程以及纠正问题所需的步骤。 / In conjunction with process planning, ­emergency concepts for potential process issues should be de-vised which describe both the processes for performing the actual service processes during an emergency and the steps required in order to rectify the issue.
2. 确保定义的解决方案的实施并成功测试和/或模拟。 / The implementation of the defined solutions is ensured and successfully tested and/or ­simulated.
3. 所需的备用解决方案已确定、合适、有效并且在需要时可用。 / Required back-up solutions are determined, suitable, effective and are available when needed.
4. 确保获得紧急解决方案。 / Access to the emergency solution is ensured.
5. 根据规划提供 IT 应急解决方案。 / The IT emergency solutions are available based on planning.
6. 紧急解决方案考虑了升级机制。 / Escalation mechanisms are taken into account in the emergency solution.</t>
  </si>
  <si>
    <t>• 业务连续性管理（BCM） / Business Continuity Management (BCM)
• 替代能力（车辆、仓库等） / Alternative capacities (vehicles, storage, etc.)
• 风险分析（例如 FMEA） / Risk analysis (e.g. FMEA)
• 危机管理（例如不可抗力） / Crisis management (e.g. force majeure)
• 应急策略 / Emergency strategy
• 备份计划，包括。升级级别 / Backup plan, incl. escalation levels
• 归档要求 / Archiving requirements
• 备份概念 / Backup concept
• 应急信息预案 / Emergency information plan
• 根据 VDA 1 进行功能测试 / Function test according to VDA 1
• 客户特定的响应时间 / Customer-specific response times
• 蒂萨克斯® / TISAX ®</t>
  </si>
  <si>
    <t>1. 工作开始时，可​​用性得到保证。 / Availability is ensured as of the start of work.
2. 考虑到个人需求和身体要求。 / Individual needs and physical requirements are taken into account.
3. 噪音防护符合法律要求。 / Noise protection meets legal requirements.
4. 确保适当的环境温度。 / An appropriate ambient temperature is ensured.
5. 逃生和救援路线已明确并明确指示。 / Escape and rescue routes are defined and clearly indicated.</t>
  </si>
  <si>
    <t>• 危害评估 / Hazard assessment
• 职业安全和事故预防说明 / Occupational safety and accident prevention instructions
• 个人防护装备 / Personal protective equipment
• 适当的照明 / Appropriate lighting
• 噪声防护的概念 / Concepts for noise protection
• 有关环境温度的规格 / Specifications regarding ambient temperature
• 职场分析 / Workplace analysis
• 工作场所概念 / Workplace concepts
• 秩序和清洁 / Order and cleanliness
• 逃生和救援路线 / Escape and rescue routes
• 人体工学方面 / Ergonomic aspects</t>
  </si>
  <si>
    <t>1. 运输设备的合格证明是最新的、有效的且可用的。 / Proofs of conformity for transport equipment are up-to-date, valid and available.
2. 有足够的运输工具（包括特种运输）。 / Sufficient means of transport are available for transports (incl.
3. 运输和装载设备的要求是根据负载的重量、类型和尺寸确定的。 / Requirements for transport and loading equipment are defined based on weight, type and size of load.
4. 足以满足运输负载的负载固定材料的选择、数量和正确使用。检查负载固定材料是否完好。 / Selection, quantity and proper use of load securing materials which are sufficient for the transported loads.</t>
  </si>
  <si>
    <t>• 检查清单/清单 / Inspection lists/checklists
• 车辆检查（例如，根据 § 29 StVZO 进行主要检查） / Vehicle inspection (e.g. main inspection as per § 29 StVZO)
• 服务检验 / Service inspection
• 规格文件 / Specification document
• 工作指导 / Work instruction
• 可运输状态（例如无损坏） / Transportable condition (e.g. no damage)
• 集装箱可用性、集装箱检验贴纸 / Container availability, container inspection sticker
• 工作设备检测证书 / Test certificates of work equipment</t>
  </si>
  <si>
    <t>1. 遵守维护间隔，并及时启动替代品采购。 / Maintenance intervals are observed, and sub- stitute procurements are initiated in good time.
2. 有合适的工具可用于正确的维护。 / Suitable tools are available for proper ­maintenance.
3. 维护区域是分开的、有标记的并且足够可用。 / Maintenance areas are separated, marked and adequately available.
4. 标签/标识 / Labelling/identification
5. 根据风险级别定义和实施运输设备维修、检查和维护的预防性和/或预测性维护活动。 / Preventive and/or predictive maintenance activities for the servicing, inspection and ­maintenance of transport equipment are defined and implemented based on the risk level.</t>
  </si>
  <si>
    <t>• TPM（全面生产维护） / TPM (Total Productive Maintenance)
• 维修合同 / Maintenance contract
• 清单 / Checklists
• 检查和维护计划 / Inspection and maintenance schedule
• 运输设备更换零件的可用性 / The availability of replacement parts for transport equipment
• 已完成维护工作的文件 / Documentation of completed maintenance work
• 集装箱堆场 / Container depot</t>
  </si>
  <si>
    <t>1. 根据风险定义、监控特定流程的 KPI 并进行沟通。 / Process-specific KPIs are defined, monitored according to risk and communicated.
2. 目标是商定的、具体的、可衡量的、可实现的、现实的和预定的。 / Targets are agreed, specific, measurable, attainable, realistic and scheduled.
3. 进行基于风险的目标/实际比较。 / A risk-based target/actual comparison is ­conducted.
4. 确保了目标的及时性。 / The timeliness of the targets is ensured.
5. 目标已传达给公司所有相关职位。 / Targets are communicated to all relevant positions in the company.
6. 记录 ESG 相关 KPI。 KPI 规范文件 仪表板 目标/实际比较 沟通矩阵 二氧化碳足迹 116 / ESG-related KPIs are recorded.</t>
  </si>
  <si>
    <t>• KPI 规范文件 / Specification document for KPIs
• 仪表板 / Dashboard
• 目标/实际比较 / Target/actual comparison
• 通讯矩阵 / Communication matrix
• 二氧化碳足迹 / CO2 footprint</t>
  </si>
  <si>
    <t>1. 定义并记录必要的流程 KPI（目标值）。实际数据被记录、评估和传达。 / The necessary process KPIs (target values) are defined and documented. The actual data is recorded, evaluated and communicated.
2. 记录的数据可以分配给流程，数据可用、清晰、可访问并按规定存档。满足可追溯性要求。 / The recorded data can be allocated to pro- cesses, the data is available, legible, accessible and archived as specified. Traceability require- ments are met.
3. KPI 确定的数据来源合理且合理。必须在规定的时间段内确保可分析性。目标/实际比较 KPI 跟踪工具 KPI 分析 沟通（例如发帖、仪表板、会议等） 跟踪和追踪 / The data sources for KPI determination are plausible and reasonable. Analyzability must be ensured over a defined time period. Target/actual comparison KPI tracking tool KPI analysis Communication (e.g. posting, dashboard, meeting, etc.) Track &amp; trace</t>
  </si>
  <si>
    <t>• 目标/实际比较 / Target/actual comparison
• 关键绩效指标跟踪工具 / KPI tracking tool
• 关键绩效指标分析 / KPI analysis
• 沟通（例如发帖、仪表板、会议等） / Communication (e.g. posting, dashboard, meeting, etc.)
• 跟踪与追踪 / Track &amp; trace</t>
  </si>
  <si>
    <t>• 服务提供商投诉 / Service provider complaints
• 服务提供商错误率 / Service provider error rates
• 根本原因 / Root cause
• 分析（5W/石川） / Analysis (5W / Ishikawa)
• 供应链绩效能力 / Performance capability of the supply chain
• 8D报告 / 8D report
• 失效模式分析 / FMEA
• 行动计划 / Action plan
• 升级计划 / Escalation plan
• 沟通计划 / Communication plan</t>
  </si>
  <si>
    <t>1. 改进的潜力是根据与质量、成本和服务相关的调查结果不断确定的。 / The potential for improvement is continuously determined based on findings relating to quality, costs, and services.
2. 持续改进绩效能力的流程适用于整个公司和所有供应链合作伙伴。 / A process for continuous improvement of ­performance capability is applied throughout the company and with all supply chain partners.
3. 风险分析定期更新。 / Risk analyses are regularly updated.
4. 员工有动力提出持续改进的建议。 / Employees are motivated to submit ­suggestions for continuous improvement.</t>
  </si>
  <si>
    <t>• 服务商评估 / Service provider evaluation
• 就地清洗 / CIP
• 行动计划 / Action plans
• PDCA / 改善 / FMEA / PDCA / Kaizen / FMEA
• 经验教训 / Lessons learned</t>
  </si>
  <si>
    <t>1. 定义了审核的类型和范围。 / The type and scope of audits are defined.
2. 客户的要求已被考虑在内。 / Customer requirements are factored in.
3. 如果出现偏差，可以使用带有有效性预测的行动列表。 / Lists of actions with effectiveness forecasts are available in the event of deviations.
4. 更改已记录。 / Changes are documented.
5. 检查是根据风险进行的。审核计划/审核方案 流程描述 文件管理系统（工作流程） 审核员资格 客户特定要求 VDA 卷 内部检查表 有效性检查 行动列表 / Checks are performed based on risk.</t>
  </si>
  <si>
    <t>• 审核计划/审核计划 / Audit plan/audit program
• 流程说明 / Process descriptions
• 文档管理系统（工作流程） / Document management system (workflow)
• 审核员资格 / Auditor qualification
• 客户特定要求 / Customer-specific requirements
• VDA 卷 / VDA volumes
• 内部清单 / Internal checklists
• 有效性检查 / Effectiveness check
• 行动清单 / Action list</t>
  </si>
  <si>
    <t>1. 落实ESG（环境社会治理）要求。 / ESG requirements (Environmental Social Governance) are implemented.
2. 目标是已知的并已传达。 / Targets are known and communicated.
3. 跟踪计划的 ESG 活动。 / The planned ESG activities are tracked.</t>
  </si>
  <si>
    <t>• ESG 要求 / ESG requirements
• 公司使命宣言 / Company mission statement
• 公司战略 / Company strategy
• 法定登记册 / Legal register
• 提高效率的措施 / Measures for improving efficiency
• 产能利用率</t>
  </si>
  <si>
    <t>1. 运输物流部确保以下几点： – 完整交付 – 按时 – 到达正确地点 – 状态良好 – 供应安全 / The Transport Logistics Dept.
2. 运输单据按照要求签发。 / Shipping documents are issued in accordance with requirements.
3. 归档过程中会考虑客户特定要求和法律要求。 / Customer-specific and legal requirements are considered in the archiving process.
4. 确保（库存）过帐的正确执行。投诉概述 KPI 矩阵 运输文件 目标/实际比较 归档 跟踪系统 服务提供商评估 / Proper performance of (inventory) postings is ensured.</t>
  </si>
  <si>
    <t>• 投诉概览 / Complaint overview
• 关键绩效指标矩阵 / KPI matrix
• 运输文件 / Shipping documents
• 目标/实际比较 / Target/actual comparison
• 归档 / Archiving
• 追踪系统 / Tracking systems
• 服务商评估 / Service provider evaluation</t>
  </si>
  <si>
    <t>1. 分析过程偏差以找出其原因并作为经验教训方法的基础。 / Process deviations are analyzed to find their causes and serve as the basis for the lessons-learned method.
2. 考虑接口的结果。 / Findings from interfaces are taken into account.
3. 偏差被记录下来并用于改进措施。 / Deviations are documented and used for improvement measures.
4. 实施是基于风险的。 / The implementation is risk-based.</t>
  </si>
  <si>
    <t>1. 批准的规划结果已全部结转。 / Approved results from planning have been carried over in full.
2. 有经过批准的供应商。 / Approved suppliers are available.
3. 变革管理的结果被整合。 / Results from change management are ­integrated.
4. CIP 的结果和经验教训得到了整合。 / Results from CIP and lessons learned are integrated.
5. 提供处理规范。运输概念 供应链概念 包装概念 物料流概念标准（例如白皮书） 移交报告 批准文件 流程规划 / Handling specifications are available.</t>
  </si>
  <si>
    <t>• 运输理念 / Transport concept
• 供应链概念 / Supply chain concept
• 包装理念 / Packaging concept
• 物料流概念标准（例如白皮书） / Material flow concept standards (e.g. white paper)
• 移交报告 / Handover reports
• 审批文件 / Approval documentation
• 工艺规划 / Process planning</t>
  </si>
  <si>
    <t>1. 必须考虑以下要求： – 客户要求 – 内部要求 – 外部要求 – ESG 要求 / The following requirements must be taken into account: – customer requirements – internal requirements – external requirements – ESG requirements
2. 必须有识别、评估和满足所有相关要求的流程。 / There must be processes for identifying, eval- uating and fulfilling all relevant requirements.
3. 数据和/或信息可用于内部物流。法定/监管要求、可追溯性 合同 客户要求 纳入质量管理系统 约束性义务 122 / Data and/or information is available for in-house logistics.</t>
  </si>
  <si>
    <t>• 法定/监管要求、可追溯性 / Statutory/regulatory requirements, traceability
• 合约 / Contracts
• 客户要求 / Customer requirements
• 融入质量管理系统 / Integration into QM system
• 约束性义务 / Binding obligations</t>
  </si>
  <si>
    <t>1. 主数据可用。 / Master data is available.
2. 提供了数量结构。 / A quantity structure is provided.
3. 预测规划，包括。容量规划已到位。 / Forecast planning, incl. capacity planning is in place.
4. 考虑性能测试的结果。流程时间 容器移动 补货提前期 最大容量 流程控制数据 物料主数据，例如ESD 优先级 L6.2 流程：流程如何进行？ / Results from performance tests are taken into account.</t>
  </si>
  <si>
    <t>• 处理时间 / Process times
• 集装箱运输 / Container movements
• 补货交货时间 / Replenishment lead times
• 最大容量 / Maximum capacity
• 过程控制数据 / Process control data
• 物料主数据，例如静电放电 / Material master data, e.g. ESD
• 优先级 L6.2 流程：流程如何运作？ / Priorities</t>
  </si>
  <si>
    <t>1. 与物流活动绩效相关的规范得到了足够详细的描述和记录。 / The specifications relevant for the perfor- mance of logistical activities are described and documented in sufficient detail.
2. 描述了现场工作人员在发生错误或流程中断时的程序。 / The procedures for staff on site in case of errors or process disruptions is described.
3. 确保在工作环境中始终能够获取工作说明和规范。 / Access to work instructions and specifications is ensured at all times in the work environment.
4. 接口和职责都有明确的定义。 / Interfaces and responsibilities are clearly defined.
5. 流程描述和工作指导须经过审批流程、受到控制并定期检查，以确保它们是最新的。 / Process descriptions and work instructions are subject to an approval process, are con- trolled and are regularly checked to ensure they are up-to-date.
6. 文件的创建、控制和归档符合标准。 / Documents are created, controlled and filed in compliance with standards.</t>
  </si>
  <si>
    <t>• 变革管理 / Change management
• 作业指导书 / Work instructions
• 流程说明 / Process descriptions
• 应急计划 / Contingency plans
• 文件控制 / Control of documents
• 适用文件 / Applicable documents
• 文件归档 / Document archiving
• 文件安全分类 / Safety classification of documents
• 文件清单 / List of documents
• 合规规范 / Compliance specifications</t>
  </si>
  <si>
    <t>1. 遵守法律法规，包括。法律责任以及适用的规范和行业标准。 / Compliance with statutory regulations, incl.
2. 考虑物理基础知识，包括。作用在负载上的力。 / Consideration of physical fundamentals, incl.
3. 车辆/货物运输车装载时考虑负载分布。不得超过有效载荷、允许总重量以及轴载荷。装载说明 法律法规要求概述 装载控制文件 装载分布图 / Consideration of load distribution when load- ing the vehicle/cargo carrier. The pay load, the permissible total weight as well as the axle loads must not be exceeded. Instructions for loading Overview of statutory and ­regulatory requirements Documentation of loading ­control Load distribution diagram</t>
  </si>
  <si>
    <t>• 装载说明 / Instructions for loading
• 法律法规要求概述 / Overview of statutory and ­regulatory requirements
• 装载控制文件 / Documentation of loading ­control
• 负荷分布图 / Load distribution diagram</t>
  </si>
  <si>
    <t>1. 过程中质量监控的类型和范围在概述中定义和记录。 / The type and scope of the quality monitoring in the process are defined and documented in an overview.
2. 该定义至少包括以下控制组件： – 控制标准 – 控制规范 – 文档记录 – 响应计划 – 负责执行的人员。 / This definition includes at least the following control components: – control criteria – control specifications – documentation – response plan – persons responsible for execution.
3. 建立了投诉处理流程，包括：定义的标准。检查计划 控制计划 响应计划 接收检查 退货流程 检查表 工作指导 124 / A process for complaint processing is established, incl.</t>
  </si>
  <si>
    <t>• 检查计划 / Inspection plans
• 控制计划 / Control plan
• 应对计划 / Response plan
• 接受检查 / Receiving inspections
• 退货流程 / Return process
• 清单 / Checklists
• 作业指导书 / Work instructions</t>
  </si>
  <si>
    <t>1. 如果出现问题零件和/或关键零件（顶部零件），则会进行系统的接收检查。定义了类型和范围。 / In case of problem parts and/or critical parts (top parts), a systematic receiving inspection is performed. The type and the scope are defined.
2. 定义了识别缺陷商品的标准。 / Criteria for identifying faulty goods are defined.
3. 提供了处理有缺陷/可能有缺陷的货物的流程说明。 / A process description for handling faulty/ potentially faulty goods is available.
4. 考虑了接口和风险转移。确保分离和贴标签。 / Interfaces and transfers of risks are taken into account. Separation and labelling is ensured.
5. 检疫店实行库存管理。确保在货物被冻结的情况下更新可用库存。 / The quarantine store is inventory-managed. It is ensured that the available stock is updated in case of blocked goods.
6. 对于有缺陷的货物，有商定的沟通程序。 / There are agreed communication procedures in case of faulty goods.
7. 保障供应的措施已经启动。 / Measures for securing supply have been ­initiated.
8. 确保在货物有缺陷的情况下封锁货物和/或调整供应链。 / Blocked goods and/or adjustments in the sup- ply chain in case of faulty goods are ensured.</t>
  </si>
  <si>
    <t>• 错误检测 / Error detection
• 被封锁的货物 / Blocked goods
• 阻塞过程 / Blocking process
• 隔离区 / Quarantine area
• 检疫店 / Quarantine store
• 检疫卡 / Quarantine card
• 作业指导书 / Work instructions
• 应对计划 / Response plan
• 沟通计划 / Communication plan
• 澄清过程和领域 / Clarification process and areas</t>
  </si>
  <si>
    <t>1. 遵守产品和工艺的特定要求。 / Product and process-specific requirements are observed.
2. 定义并遵守标签要求。标签必须防丢失且清晰易读。 / Labelling requirements are defined and observed. Labels must be loss-proof and ­legible.
3. 制定了防止混合和错误物品的概念。 / A concept for the prevention of mixing and wrong items is in place.
4. 在贴标过程中必须保护该成分。 / The component must be protected in the labelling process.
5. 过期和无效的标签将被删除。 / Out-of-date and invalid labels are removed.
6. 遵守 ESD 要求。 / ESD requirements are observed.
7. 使用规定的包装辅助工具。 BBD 硬件和软件 防错收据标签 有害物质 顶部箭头 擦除 组件、容器、包装和存储区域的标签 可视化 环境温度 布局 零件识别标记 返工流程 126 / The defined packaging aids are used.</t>
  </si>
  <si>
    <t>• BBD
• 硬件和软件 / Hardware and software
• 防错 / Poka-Yoke
• 收据 / Receipts
• 标签 / Labels
• 有害物质 / Hazardous substances
• 顶部箭头 / Top arrow
• 抹杀 / Effacement
• 组件、容器的标签， / Labelling of components, containers,
• 包装和储存区域 / Packaging and storage areas
• 可视化 / Visualisation
• 环境温度 / Ambient temperature
• 布局 / Layouts
• 零件识别标记 / Part identification markings
• 返工流程 / Rework processes</t>
  </si>
  <si>
    <t>1. 物料流的结构是透明的。定义了升级和干预限制。 / The material flow is structured transparently. Escalation and intervention limits are defined.
2. 物料的处理状态（物料移动）必须通过唯一的状态标识或目标指示变得透明。 / The processing status of the material (mate- rial movement) must be made transparent with unique status identification or target indication.
3. 物料变动被正确且直接地发布。 / Material movements are properly and directly posted.
4. 系统中的库存与实际库存相符。 / The inventories in the system correspond to the actual inventories.
5. 如果出现库存差异，就会有响应，并及时进行纠正。 / In case of inventory discrepancies, there is a response, and a correction is promptly made.
6. 执行部门了解日常工作的预期范围。 / The expected scope of daily work is known in the executing departments.
7. 有一个系统能够引入优先订单和/或订单变化并确保优先处理。 / There is a system for being able to introduce prioritized orders and/or order variations and ensure preferential processing.
8. 已制定瓶颈控制流程。 / A process is in place for bottleneck control.
9. 作为基本原则，在整个流程链中使用特定于组件的资产管理方法。 / Component-specific asset management methods are used throughout the process chain as a basic principle.</t>
  </si>
  <si>
    <t>• 订单状态 / Order status
• 布局 / Layout
• 发送通知 / Dispatch notifications
• 订单量 / Order volume
• 资产管理方法（例如 FIFO、LIFO、HIFO、FEFO） / Asset management method (e.g. FIFO, LIFO, HIFO, FEFO)
• 物料控制站 / Material control station
• 材料张贴 / Material postings
• 瓶颈处理 / Bottleneck processing
• 库存差异 / Inventory discrepancy
• 库存水平 / Stock levels
• 材料库存 / Material stocks
• 运输订单 / Transport orders
• 补货时间 / Replenishment lead time
• 最小/最大规定 / Min./max. regulation
• 干预限制 / Intervention limits
• 处理时间（MTM 方法） / Process times (MTM method)</t>
  </si>
  <si>
    <t>1. 根据产品的特定特性，根据需要采购和重新订购运输设备（集装箱）。 / Transport equipment (containers) are ­procured and reordered as needed based on the product-specific characteristics.
2. 运输设备库存透明；设备被分类并单独存放在指定的存储区域中。退回运输设备的验收受到监管并基于验收和退货标准。 / The inventory of transport equipment is ­transparent; the equipment is sorted and stored separately in defined storage areas. The accept- ance of returned transport equipment is regu- lated and based on acceptance and return crite- ria.
3. 定义了“NOK”运输设备的标签和分离。定义了维修和更换的标准。 / The labelling and separation of “NOK” trans- port equipment are defined. Criteria for repair and replacement are defined.
4. 定义了替代运输设备。 / Alternative transport equipment is defined.
5. 定义了识别不合规运输设备的标准。 / Criteria for identifying non-compliant ­transport equipment are defined.
6. 已制定识别和处理脏污（标签污染和丢失）运输设备的流程。 / A process is in place for identifying and han- dling dirty (contamination and loss of labels) transport equipment.
7. 确保适当使用运输设备。 / The appropriate use of transport equipment is ensured.
8. 定义了修复概念的类型和范围。 / The type and the scope of the repair concept are defined.</t>
  </si>
  <si>
    <t>• 空箱管理 / Empties management
• 可重复使用的包装 / Reusable packaging
• 一次性包装 / Disposable packaging
• 集装箱限量样本目录 / Container limit sample catalog
• 可重复使用性和清洁度 / Reusability and cleanliness
• 特殊负载载体 / Special load carriers
• 替代包装 / Alternative packaging
• 包装规格 / Packaging specification
• 审批、运输设备管理系统 / Approvals, system for transport equipment management
• 维修理念 / Repair concept
• 识别系统 / Identification system</t>
  </si>
  <si>
    <t>1. 合适的存储策略和配套的仓库管理系统已经到位。 / A suitable storage strategy and a supporting warehouse management system are in place.
2. 定义位置分配的规则和程序，并系统地实施存储空间优化。 / Rules and procedures for location assignment are defined, and storage space optimization is implemented systematically.
3. 存储空间适合所存储零件和负载载体/容器的类型和尺寸。 / The storage spaces are appropriate for the type and size of the stored parts and load ­carriers/containers.
4. 定义了处理废弃零件的流程。存储策略 废弃材料 布局 存储利用率 KPI 吞吐量时间 行动计划 128 / A process is defined for dealing with obsolete parts.</t>
  </si>
  <si>
    <t>• 存储策略 / Storage strategy
• 过时的材料 / Obsolete materials
• 布局 / Layout
• 存储利用率 / Storage utilization
• 关键绩效指标 / KPIs
• 吞吐量时间 / Throughput times
• 行动计划 / Action plan</t>
  </si>
  <si>
    <t>1. 在转移、储存和运输过程中始终保护材料免受损坏。 / The materials are protected from damage at all times during transfer, storage and transport.
2. 零件按照包装规格进行包装。 / Parts are packed according to the packaging specification.
3. 商品的属性得以保留。 / The properties of the goods are preserved.
4. 观察包装上的处理图标。 / Handling icons on the packaging are observed.
5. 零件在负载载体中受到保护，防止丢失和损坏。 / The parts are protected against loss and damage in the load carrier.
6. 容器的填充水平被定义。 / The fill level of the containers is defined.
7. 识别 ESD 相关组件，并实施组件保护规范。 / ESD-related components are identified, and specifications for component protection are implemented.
8. 定义并实施了技术清洁度规范。 / Specifications on technical cleanliness are defined and implemented.
9. 危险物质和环境相关物质储存的特殊和法定规范是已知的并得到遵守。 / The special and statutory specifications for the storage of hazardous substances and ­environmentally relevant substances are known and are observed.</t>
  </si>
  <si>
    <t>• 屋顶 / Roofing
• 保持产品特性 / Maintaining the product characteristic
• 防风雨物料搬运 / Weather-proof material handling
• 保持质量的包装顺序和订单 / Packing sequences and orders that preserve quality
• 处理符号 / Handling symbols
• 腐蚀防护 / Corrosion protection
• 有关高压电池处理的要求 / Requirements regarding the handling of HV batteries
• 技术清洁度 / Technical cleanliness
• 气候和机械影响 / Climatic and mechanical influences
• 存储要求 / Storage requirements
• 静电放电要求 / ESD requirements
• 产品特定要求 / Product-specific requirements
• BBD</t>
  </si>
  <si>
    <t>1. 生产计划是已知的，并且在发生变化时可以根据客户要求进行更新。 / The production program is known and can be updated according to the customer requirements in case of changes.
2. 能力及其影响因素是已知的并被考虑在内。 / The capacities and their influencing factors are known and taken into account.
3. 将能力与客户需求进行比较并进行沟通。 / The capacities are compared with the ­customer needs and communicated.
4. 根据需要考虑和规划产能扩张措施。 / Capacity expansion measures are considered and planned as needed.</t>
  </si>
  <si>
    <t>• 减少吞吐时间 / Reduction of throughput times
• 生产订单的优先顺序 / Prioritization of production orders
• 法律要求，例如特殊轮班 / Legal requirements, e.g. special shifts
• 外部生产选项 / External production options
• 产能分布 / Capacity distribution
• 站点扩展的可能性 / Possibility of site expansion
• 合约 / Contracts
• 性能能力 / Performance capability</t>
  </si>
  <si>
    <t>• 职位描述 / Job description
• 需求简介 / Requirement profile
• 内审员 / Internal auditor
• 培训/资格证明（例如叉车许可证、起重机操作许可证） / Proof of training/qualifications (e.g. forklift license, crane operating license)
• 技能和能力矩阵 / Skills &amp; competency matrix
• 初步训练计划 / Initial training plan
• 货物处理（例如阅读处理图标） / Handling of goods (e.g. reading handling icons)
• 简报（例如职业安全、ESG 要求） / Briefings (e.g. occupational safety, ESG requirements)
• 适当的资格证明（例如视力测试、听力测试、触觉测试） / Suitable evidence of qualification (e.g. vision test, hearing test, touch test)
• 员工认可的职位描述 / Job description acknowledged by the employee
• 外语知识 / Knowledge of foreign languages</t>
  </si>
  <si>
    <t>1. 对于每个职位，都有一个基于工作描述的培训计划。 / For each position, there is a training schedule based on the work description.
2. 使用技能和能力矩阵。 / A skills &amp; competency matrix is used.
3. “初始培训”以及法定、内部和定期培训的类型和范围均已定义并记录。 / The type and the scope of the “initial training” and the statutory, internal and recurring training is defined and documented.
4. 鉴定措施的有效性在质量和时间上得到保证。 / The effectiveness of the qualification meas- ures is ensured in terms of quality and time.
5. 培训由合格的员工/培训师进行。培训知识必须是可证明的。 / Training is conducted by qualified staff/train- ers. Training know-how must be demonstrable.
6. 必须确保符合内部物流特殊特征的资格。 / Qualifications for compliance with special characteristics of in-house logistics must be ensured.
7. 确保与工作场所相关的资格。如果流程发生变化，将提供培训/说明并记录在案。 / Workplace-related qualifications are ensured. In case of changes to processes, trainings/ instructions are provided and documented.
8. 培训概念（包括适当的培训文件）已经到位。 / A training concept, including appropriate training documents, is in place.</t>
  </si>
  <si>
    <t>• 培训理念 / Training concept
• 专利理念 / Patent concept
• 质量和时间 / Quality and time
• 培训内容 / Training components
• 培训计划 / Training plan
• 技能和能力矩阵 / Skills &amp; competency matrix
• 第一天简报 / First-day briefing
• 初始培训计划及参考资料 / Initial training plan with references
• 货物处理（例如阅读处理图标） / Handling of goods (e.g. reading handling icons)
• 简报（例如职业安全、ESG 要求、数据保护） / Briefings (e.g. occupational safety, ESG requirements, data protection)</t>
  </si>
  <si>
    <t>1. 工作人员了解他们的工作和流程说明。 / The staff know their work and process instructions.
2. 工作人员知道他们的活动描述。 / The staff know their activity description.
3. 员工知道不正确执行工作的后果和影响。 / The staff know the consequences and effects of incorrect execution of work.
4. 定义了对流程中不当执行的工作和/或错误的响应。 / The response to improperly performed work and/or errors in the process is defined.
5. 任何职责转移都有记录。 / Any transfer of duties is documented.</t>
  </si>
  <si>
    <t>1. 有一个员工计划，其中考虑了所需的合格员工数量。 / There is a staff schedule which takes into account the required number of qualified employees.
2. 所有轮班均提供替补人员。 / Substitutes are provided for all shifts.
3. 所有活动和角色都映射在组织结构图或团队结构中。 / All activities and roles are mapped in an organization chart or team structure.
4. 训练有素的工作人员可以保护负载和危险物品。5。计划中定义的职位配备人员，并考虑到产量的变化。 / Trained staff are available for securing loads and hazardous goods.5. The positions defined in planning are staffed, taking variations in ­production volume into account.
5. 技能和能力矩阵用于每天检查人员配备要求。 / The skills &amp; competency matrix is used to check ­staffing requirements daily.
6. 定义了人员不足情况下的应对措施和措施。 / Response and measures in case of under-staffing are defined.
7. 制定了危机管理计划。 / A crisis management plan is defined.
8. 负责的员工，包括发出指示的权力，都已被任命。 / The responsible employees, including author- ity to give instructions, have been named.</t>
  </si>
  <si>
    <t>• 轮班安排 / Shift schedule
• 指定人员 / Appointed persons
• 最低人员配置 / Minimum staffing
• 人员要求 / Staff requirement
• 记录的替代规则 / Documented substitution rules
• 缺勤计划 / Absence planning
• 组织结构图 / Organization chart
• 技能和能力矩阵 / Skills &amp; competency matrix
• 资格证明</t>
  </si>
  <si>
    <t>1. 结合流程规划，应设计潜在流程问题的紧急概念，该概念描述紧急情况下执行实际服务流程的流程以及纠正问题所需的步骤。 / In conjunction with process planning, emer- gency concepts for potential process issues should be devised which describe both the ­processes for performing the actual service ­processes during an emergency and the steps required in order to rectify the issue.
2. 确保定义的解决方案的实施并成功测试和/或模拟。 / The implementation of the defined solutions is ensured and successfully tested and/or ­simulated.
3. 所需的备用解决方案已确定、合适、有效并且在需要时可用。 / Required back-up solutions are determined, suitable, effective and are available when needed.
4. 确保获得紧急解决方案。 / Access to the emergency solution is ensured.
5. 根据规划提供 IT 应急解决方案。 / The IT emergency solutions are available based on planning.
6. 紧急解决方案考虑了升级机制。 / Escalation mechanisms are taken into account in the emergency solution.</t>
  </si>
  <si>
    <t>• 业务连续性管理（BCM） / Business Continuity Management (BCM)
• 替代能力（车辆、仓库等） / Alternative capacities (vehicles, storage, etc.)
• 风险分析（例如 FMEA） / Risk analysis (e.g. FMEA)
• 危机管理（例如不可抗力） / Crisis management (e.g. force majeure)
• 应急策略（例如替代服务、分包商、包装、运输） / Contingency strategy (e.g. alternative services, subcontractors, packaging, transport)
• 备份计划，包括。升级级别 / Backup plan, incl. escalation levels
• 归档要求 / Archiving requirements
• 网络安全 / Cyber security
• 备份概念 / Backup concept
• 应急信息预案 / Emergency information plan
• 根据 VDA 1 进行功能测试 / Function test according to VDA 1
• 客户特定的响应时间 / Customer-specific response times
• 替代能源供应 / Alternative energy supply
• 使用外部容量 / Use of external capacity
• TISAX®</t>
  </si>
  <si>
    <t>1. IT基础设施，包括相关的EDP接口，可以在正确的地点和正确的时间使用。 / The IT infrastructure, including relevant EDP interfaces, is available in the right place and at the right time.
2. 访问权限已定义并到位。 / Access permissions are defined and in place.
3. 提供、批准和传达软件和硬件更新。 / The software and hardware updates are ­provided, approved and communicated.
4. 联系信息被输入到客户特定的系统中。 / Contact information is entered into the cus- tomer-specific systems.
5. 已考虑到与信息安全相关的要求。 / Requirements relating to information security have been taken into account.
6. 有关软件和硬件处理的说明已记录在案，是最新的且易于访问。 / Instructions on the handling of software and hardware are documented, up-to-date and accessible.
7. 物流 IT 系统的参数化适应基础设施和流程目标。 / The parameterization of the logistical IT sys- tems is adapted to the infrastructure and the process objectives.
8. 监控物流 IT 系统的功能；定义了升级的干预限制。 / The functionality of the logistical IT systems is monitored; intervention limits for escalation are defined.</t>
  </si>
  <si>
    <t>• 网络结构规划 / Network structure plan
• 软件（如仓库管理系统、生产计划系统、产能系统） / Software (e.g. warehouse management system, production planning system, capacity system)
• 硬件（例如扫描仪、RFID） / Hardware (e.g. scanner, RFID)
• 访问权限概述 / Overview of access permissions
• 接口矩阵 / Interface matrix
• KPI 和系统可用性 / KPIs and system availability
• 数据保护政策 / Data protection policies
• 大数据 / Big data
• 区块链 / Blockchain
• 卡车/运输控制 / Truck/transport control
• 限制样本目录/决策工具 / Limit sample catalog/ decision-making tool</t>
  </si>
  <si>
    <t>1. 工作开始时，可​​用性得到保证。 / Availability is ensured as of the start of work.
2. 考虑到个人需求和身体要求。 / Individual needs and physical requirements are taken into account.
3. 法定、监管和公司规范得到实施。 / Statutory, regulatory and company specifica- tions are implemented.
4. 工作场所有助于保持产品特定的特性。 / The workplace helps maintain the product-­ specific properties.
5. 定义了工作场所的 ESD 要求。 / ESD requirements for workplaces are defined.
6. 技术辅助工具是可用的并且已被使用。 / Technical aids are available and are used.
7. 个人防护装备已准备就绪并已使用。 / Personal protective equipment is available and is used.</t>
  </si>
  <si>
    <t>• 危害评估 / Hazard assessment
• 职业安全和事故预防说明 / Occupational safety and accident prevention instructions
• 个人防护装备 / Personal protective equipment
• 适当的照明 / Appropriate lighting
• 噪声防护的概念 / Concepts for noise protection
• 有关环境温度的规格 / Specifications regarding ambient temperature
• 职场分析 / Workplace analysis
• 工作场所概念 / Workplace concepts
• 检验站 / Inspection stations
• 秩序和清洁 / Order and cleanliness
• 逃生和救援路线 / Escape and rescue routes
• 人体工学方面 / Ergonomic aspects
• 防静电设备 / ESD equipment
• HRC（人机协作） / HRC (Human-Robot Collaboration)
• 机器人技术 / Robotics</t>
  </si>
  <si>
    <t>1. 后勤基础设施状况良好并定期接受检查。 / The logistical infrastructure is in proper condi- tion and is inspected regularly.
2. 规划的物流基础设施已可用、规模适当且已获得批准。 / The planned logistical infrastructure is ­available, appropriately sized and approved.
3. 后勤基础设施状况良好并定期接受检查。 / The logistical infrastructure is in proper condi- tion and is inspected regularly.
4. 确保对定义的功能区域和基础设施元素进行标记。 / Marking of defined functional areas and infra- structure elements is ensured.
5. 有足够的社交区域。 / Adequate social areas are available.
6. 物流基础设施考虑了 ESG 要求。 / ESG requirements are taken into account in the logistical infrastructure.
7. 单独存储区域的访问概念受到监管。 / Access concepts for separate storage areas are regulated.</t>
  </si>
  <si>
    <t>• 秩序和清洁 / Order and cleanliness
• 标签概念 / Labelling concept
• 功能区定义 / Definition of functional areas
• 布局 / Layout
• 客户对存储系统的特定要求（例如货架、高架、链斗式货架、危险材料存储、易被盗窃的部件） / customer-specific requirements for storage systems (e.g. shelf, high rack, paternoster rack, hazardous materials storage, parts vulnerable to theft)
• 内部运输设备 / Internal transport equipment
• 基础设施（例如建筑物、机架、仓库、地板、照明条件、机架标签） / Infrastructure (e.g. buildings, racks, warehouses, flooring, lighting conditions, rack labeling)
• ESD/ESG 要求 / ESD/ESG requirements
• 技术清洁度 / Technical cleanliness
• 气候要求 / Climatic requirements
• 访问权限 / Access authorizations
• DTS（无人驾驶运输系统） / DTS (Driverless Transport Systems)
• 叉车控制系统 / Forklift control systems
• 工业拖拉机控制系统 / Industrial tractor control system</t>
  </si>
  <si>
    <t>1. 操作设备必须可用、功能齐全并根据规划获得批准。 / Operating equipment must be available, ­functional and approved in accordance with planning.
2. 操作设备库存会根据产能/客户需求及时调整。 / The operating equipment stock is adapted on time to capacity/customer needs.
3. 作业设备库存必须按时补充。 / Operating equipment stocks must be ­replenished on time.
4. 定期对运行设备进行盘点。 / Inventories for operating equipment are ­performed regularly.
5. 定义了操作设备的添加和删除。 / The addition and removal of operating ­equipment is defined.
6. 不使用时，操作设备会以保持其质量的方式存放。 / When not in use, operating equipment is stored in a way which preserves its quality.
7. 考虑到产品的特定要求。 / Product-specific requirements are taken into account.</t>
  </si>
  <si>
    <t>• 作业设备清单 / Operating equipment list
• 运行设备监控 / Operating equipment monitoring
• 清洁时间表 / Cleaning schedules
• 维护时间表 / Maintenance schedules
• 操作设备的适用性 / Suitability of operating equipment
• 职业安全 / Occupational safety
• 操作设备的标签 / Labeling of operating equipment
• 检验贴纸 / Inspection sticker
• 官方校准报告 / Official calibration report
• 校准证书 / Calibration certificates
• 秩序和清洁 / Order and cleanliness
• 不使用时指定的存储位置 / Defined storage place when not in use
• 损坏和安全储存 / Damage and safe storage
• MSA（测量系统分析） / MSA (measuring system analysis)
• 重新排序系统 / Reordering systems
• 智能包装 / Intelligent packaging</t>
  </si>
  <si>
    <t>1. 遵守维护间隔，并及时启动替代品采购。 / Maintenance intervals are observed, and sub- stitute procurements are initiated in good time.
2. 有合适的工具可用于正确的维护。 / Suitable tools are available for proper ­maintenance.
3. 执行并分析计划内和计划外的维护活动以寻求潜在的改进。 / Scheduled and unscheduled maintenance activities are performed and analyzed for ­potential improvement.
4. 有故障或潜在有故障的基础设施和操作设备会被识别、标记、必要时分开并报告给维护人员。 / Faulty or potentially faulty infrastructure and operating equipment is ­identified, labeled, separated if necessary and reported to Maintenance.
5. 系统地实施预防性和预测性维护活动。 / Preventive and predictive maintenance ­activities are implemented systematically.
6. 资源可用于执行维护。 / Resources are available for the performance of maintenance.</t>
  </si>
  <si>
    <t>• TPM（全面生产维护） / TPM (Total Productive Maintenance)
• 维修合同 / Maintenance contract
• 清单 / Checklists
• 检查和维护计划 / Inspection and maintenance schedule
• 定义和监控功能相关备件的最低库存水平 / Definition and monitoring of minimum stock levels of function-relevant spare parts
• 已完成维护工作的文件 / Documentation of completed maintenance work
• 维修 / Repair
• 委托外部服务提供商进行维护工作 / Commissioning of external service providers for maintenance work
• 秩序和清洁 / Order and cleanliness
• 操作设备的操作准备情况 / Operational readiness of the operating equipment
• 补货交货时间 / Replenishment lead times
• 资源规划 / Resource planning
• 智能仓库 / Smart warehouse</t>
  </si>
  <si>
    <t>1. 容器/承载装置、包装材料必须可用、功能齐全并根据规划获得批准。 / Containers/load carriers, packaging materials must be available, functional and approved in accordance with planning.
2. 需要独特的识别标签、可视化/内部容器标签。 / Unique identification labels, visualization/ internal container labels are required.
3. 库存必须及时适应产能/客户需求。 / The stocks must be adapted on time to capacity/customer needs.
4. 库存必须按时采购/补充。 / Stocks must be procured/replenished on time.
5. 定期进行库存盘点。 / Inventories are performed regularly.
6. 不使用时，提供适当的存储以保证质量。 / When not in use, appropriate storage which protects quality is provided.
7. 遵守与产品和运输设备有关的要求。 / Requirements pertaining to products and transport equipment are observed.
8. 必须定义并标记合适的仓库和存储空间。 / Suitable depots and storage spaces must be defined and labeled.
9. 集装箱/承载装置和包装材料的状况满足客户的要求。 / The condition of the containers/load carriers and packing materials meets the customer requirements.</t>
  </si>
  <si>
    <t>• 清洁容器 / Cleaning containers
• 将有问题的容器从操作过程中分离出来 / Separating faulty containers out of the operative process
• 集装箱修理 / Container repair
• 防风雨存储 / Weather-proof storage
• 功能性 / Functionality
• 定义的空区域 / Defined areas for empties
• 集装箱库存 / Container inventory
• 秩序和清洁 / Order and cleanliness
• 有缺陷的容器的标签 / Labeling of faulty containers
• 布局 / Layout
• 智能包装 / Intelligent packaging</t>
  </si>
  <si>
    <t>1. 根据风险定义、监控特定流程的 KPI 并进行沟通。 / Process-specific KPIs are defined, monitored according to risk and communicated.
2. 目标是商定的、具体的、可衡量的、可实现的、现实的和预定的。 / Targets are agreed, specific, measurable, attainable, realistic and scheduled.
3. 进行基于风险的目标/实际比较。 / A risk-based target/actual comparison is ­conducted.
4. 确保了目标的及时性。 / The timeliness of the targets is ensured.
5. 目标已传达给公司所有相关职位。目标定义 车间管理 追求和调整目标的流程 投诉率 吞吐量时间 存储利用率 生产率 空间利用率 流程中断 交付准备程度 容量监控 / Targets are communicated to all relevant ­positions in the company.</t>
  </si>
  <si>
    <t>• 目标定义 / Target definition
• 车间管理 / Shopfloor management
• 追求和调整目标的过程 / Process for pursuing and adjusting targets
• 投诉率 / Rates of complaints
• 吞吐量时间 / Throughput times
• 存储利用率 / Storage utilization
• 生产率 / Productivity
• 空间利用率 / Degree of space utilization
• 流程中断 / Process disruption
• 交付准备程度 / Degree of delivery readiness
• 容量监控 / Capacity monitoring</t>
  </si>
  <si>
    <t>1. 定义并记录必要的流程 KPI（目标值）。实际数据被记录、评估和传达。 / The necessary process KPIs (target values) are defined and documented. The actual data is recorded, evaluated and communicated.
2. 记录的数据可以分配给流程，数据可用、清晰、可访问并按规定存档。满足可追溯性要求。 / The recorded data can be allocated to pro- cesses, the data is available, legible, accessible and archived as specified. Traceability require- ments are met.
3. KPI 确定的数据来源合理且合理。必须在规定的时间段内确保可分析性。错误记录 风险评估 流程监控 沟通计划 行动计划 KPI 矩阵 升级矩阵 车间管理 140 / The data sources for KPI determination are plausible and reasonable. Analyzability must be ensured over a defined time period. Error logging Risk assessment Process monitoring Communication plan Action plan KPI matrix Escalation matrix Shopfloor management</t>
  </si>
  <si>
    <t>• 错误记录 / Error logging
• 风险评估 / Risk assessment
• 过程监控 / Process monitoring
• 沟通计划 / Communication plan
• 行动计划 / Action plan
• 关键绩效指标矩阵 / KPI matrix
• 升级矩阵 / Escalation matrix
• 车间管理 / Shopfloor management</t>
  </si>
  <si>
    <t>1. 如果未满足过程和目标要求，则立即采取行动以满足要求，直到证明纠正措施有效。员工们熟悉立即采取的行动。 / If process and target requirements are not met, immediate actions are taken to fulfill the requirements, until it has been proven that the corrective actions have been effective. The employees are familiar with the immediate actions.
2. 采用适当的方法来分析原因，并考虑客户的要求。 / Suitable methods are implemented to analyze the causes, and customer requirements are taken into account.
3. 采取行动以避免重复出现错误，并基于根本原因分析。 / Actions are taken to avoid recurring errors and are based on a root cause analysis.
4. 制定纠正措施，监督其实施并验证其有效性。 / Corrective actions are derived, their imple- mentation is monitored and the effectiveness verified.
5. 记录与目标值的偏差及其原因。失效分析方法 8D报告 有效性检查 立即行动 投诉数据库 PDCA循环 积压恢复计划 行动计划 / Deviations from the target value and their causes are documented.</t>
  </si>
  <si>
    <t>• 失效分析方法 / Failure analysis methods
• 8D报告 / 8D report
• 有效性检查 / Effectiveness check
• 立即行动 / Immediate actions
• 投诉数据库 / Complaint database
• PDCA循环 / PDCA cycle
• 积压恢复计划 / Backlog recovery plan
• 行动计划 / Action plan</t>
  </si>
  <si>
    <t>• 服务商评估 / Service provider evaluation
• 就地清洗 / CIP
• 行动计划 / Action plans
• PDCA / 改善 / FMEA / PDCA / Kaizen / FMEA
• 经验教训 / Lessons learned
• 理念管理 / Idea management
• 过程稳定措施 / Measures for process stabilization</t>
  </si>
  <si>
    <t>1. 定义了审核的类型和范围。 / The type and scope of audits are defined.
2. 客户的要求已被考虑在内。 / Customer requirements are factored in.
3. 如果出现偏差，则会根据根本原因分析创建行动列表。 / In case of deviations, action lists based on root cause analysis are created.
4. 更改已记录。 / Changes are documented.
5. 检查是根据风险进行的。 / Checks are performed based on risk.</t>
  </si>
  <si>
    <t>• 变革管理 / Change management
• 调节日志 / Reconciliation logs
• 组件变化 / Component changes
• 审计方案和计划 / Audit program and plan
• 改善方案 / Improvement program
• 内部 ESD 审核 / Internal ESD audits
• 流程说明 / Process descriptions
• 文档管理系统（工作流程） / Document management system (workflow)
• 审核员资格 / Auditor qualification
• 客户特定要求 / Customer-specific requirements
• VDA 卷 / VDA volumes
• 内部清单 / Internal checklists
• 有效性检查 / Effectiveness check
• 行动清单 / Action list
• 流程改进带来的变化 / Changes from process improvements</t>
  </si>
  <si>
    <t>• 能源效率 / Energy efficiency
• 工作条件 / Working conditions
• 人体工学 / Ergonomics
• 二氧化碳足迹 / CO2 footprint
• 危害评估 / Hazard assessment
• 健康管理 142 问卷 / Health management</t>
  </si>
  <si>
    <t>1. 内部物流部门确保按计划提供正确的材料： – 以正确的质量 – 按时 – 到达正确的地点 – 以正确的数量 – 提供正确的数据 – 以正确的成本 – 提供必要的文件和标签/标记 / The in-house logistics department ensures that the right materials are available, as planned: – in the right quality – on time – to the correct location – in the right quantity – with the right data – at the right cost – with the necessary documentation and labels/markings
2. 遵守文件归档规范。归档要求 组件质量 交付可靠性 合规性 补货提前期 成本效率 接口信息 沟通计划 升级计划 生产和交付计划 / The archiving specifications for documents are observed.</t>
  </si>
  <si>
    <t>• 归档要求 / Archiving requirements
• 元件质量 / Component quality
• 交付可靠性 / Delivery reliability
• 遵守 / Compliance
• 补货时间 / Replenishment lead time
• 成本效率 / Cost efficiency
• 接口信息 / Interface information
• 沟通计划 / Communication plan
• 升级计划 / Escalation plan
• 生产及交货计划 / Production and delivery plan</t>
  </si>
  <si>
    <t>1. 批准的规划结果已全部结转。 / Approved results from planning have been carried over in full.
2. 变革管理的结果被整合。 / Results from change management are ­integrated.
3. CIP 的结果和经验教训得到了整合。标准（例如白皮书） 流程中断（例如由于重新订购、运营物流、代币罢工） 行动（召回、活动、信息等） 客户反馈 沟通计划 / Results from CIP and lessons learned are integrated.</t>
  </si>
  <si>
    <t>• 标准（例如白皮书） / Standards (e.g. white paper)
• 流程中断（例如由于重新订购、运营物流、令牌罢工） / Process disruptions (e.g. due to reordering, operative logistics, token strike)
• 行动（召回、活动、信息等） / Actions (recall, campaign, information, etc.)
• 客户反馈 / Customer feedback
• 沟通计划 / Communication plan</t>
  </si>
  <si>
    <t>1. 必须考虑以下要求： – 客户要求 – 内部要求 – ESG（环境社会政府）要求 / The following requirements must be taken into account: – customer requirements – internal requirements – ESG (Environmental Social Government) requirements
2. 必须有识别、评估和实施有约束力的义务的流程。保存文件的义务 (CSD)/文件义务 法定/监管要求（例如：GDPR） 合同 集成到质量管理系统 146 / There must be processes for identifying, eval- uating and implementing binding obligations.</t>
  </si>
  <si>
    <t>• 保存文件的义务 (CSD)/文件义务 / Obligation to preserve documents (CSD)/ documentation obligation
• 法定/监管要求（例如：GDPR） / Statutory/regulatory requirements (e.g.: GDPR)
• 合约 / Contracts
• 融入质量管理系统 / Integration into QM system</t>
  </si>
  <si>
    <t>1. 可以获得有关投诉管理的数据。 / Data on complaint management is available.
2. 可以获得客户满意度评估的数据。 / Data from customer satisfaction assessments is available.
3. 提供对客户平台的访问。 / Access to customer platforms is provided.</t>
  </si>
  <si>
    <t>• 多维度投诉分析（投诉原因、品类、仓储区域、运输方式、航线、客户等） / Complaint analyses in multiple dimensions (reason for complaint, product group, storage area, shipping method, route, customer, etc.)
• 损坏、投诉、客户反馈 / Damage, complaints, customer feedback
• 市场研究/客户分析 / Market research/customer analyses
• 基准研究 / Benchmark studies
• 服务水平/流程时间 L7.2 流程：流程如何运作？ / Service level/process times</t>
  </si>
  <si>
    <t>1. 与实施客户特定要求相关的规范以适当的细节进行描述和记录。 / The specifications relevant to the implementa- tion of customer specific requirements are described and documented in appropriate detail.
2. 已经描述了处理客户反馈的方法。 / A method for handling customer feedback has been described.
3. 描述并记录了使用客户门户的流程。 / A process for using the customer portals is described and documented.
4. 定义的指令包括必要的检查 / The defined instructions include the ­necessary inspections
5. 客户特定文档的内容和当前有效性会在客户门户中定期检查。 / The contents and current validity of the ­customer-specific documents are regularly checked in the customer portals.
6. 确保在工作环境中始终能够获取工作说明和规范。 / Access to work instructions and specifications is ensured at all times in the work environment.
7. 接口和职责都有明确的定义。 / Interfaces and responsibilities are clearly defined.
8. 流程描述和工作指导须经过审批流程、受到控制并定期检查，以确保它们是最新的。 / Process descriptions and work instructions are subject to an approval process, are ­controlled and are regularly checked to ensure they are up-to-date.</t>
  </si>
  <si>
    <t>• 作业指导书 / Work instructions
• 流程说明 / Process descriptions
• 检验指导 / Inspection instruction
• 质量管理体系 / QM system
• 投诉手册 / Complaint handbooks
• 全球客户服务 / World-wide customer service
• 接口矩阵 / Interface matrix
• 沟通计划 / Communication plan
• 联络人 / Contact person
• 客户门户的规范 / Specifications on customer portals</t>
  </si>
  <si>
    <t>1. 建立一个具有明确标准的流程，描述组织何时以及如何与客户沟通： – 必须确保联系人的可用性。 – 组织了解客户的联系人。 – 跟踪查询和投诉的处理情况，并系统地提供答复。 – 主动进行沟通。 – 联系数据是最新的并保持最新。 / A process with defined criteria is established which describes when and how the organization communicates with the customer: – Contact availability must be ensured. – The customer’s contact persons are known to the organization. – The processing status of inquiries and ­complaints is tracked, and replies are ­systematically provided. – Communication is done proactively. – Contact data is current and kept up-to-date.
2. 实施并记录变更管理，并将结果存档。 / Change management is implemented and documented, and results are archived.
3. 沟通包括升级。 / Communication includes escalation.</t>
  </si>
  <si>
    <t>• CRM（客户关系管理）例如票务系统 / CRM (Customer Relationship Management) e.g. ticket system
• 客户数据库 / Customer database
• 通讯 / Newsletter
• 热线/呼叫中心 / Hotline/call center
• 客户会议/会议 / Customer conferences/ meetings
• 现场服务 / Field service
• 沟通计划 / Communication plan
• 变革管理 / Change management
• 升级计划 / Escalation plan
• 客户门户 / Customer portals
• 访问权限 / Access permissions</t>
  </si>
  <si>
    <t>1. 定义了分配给外部服务提供商的绩效范围。 / Scopes of performance which are assigned to external service providers are defined.
2. 外部服务提供商的控制责任受到监管并整合到供应链中。 / Responsibility for the control of external ­service providers is regulated and integrated into the supply chain.
3. 定义了与外部服务提供商通信的规则，并且所有参与者都知道这些规则。 / Rules for communication with external ­service providers are defined, and are known to all participants.
4. 定义了外部服务提供商直接向客户供应的调度控制。 / The dispatch control for direct supply by the external service provider to the customer is defined.</t>
  </si>
  <si>
    <t>• 服务合同 / Service contract
• 服务协议 / Service agreement
• 通讯矩阵 / Communication matrix
• 居民概况 / Resident overview
• 下级供应商管理 / Sub-supplier management
• 控制供应商 / Controlling suppliers
• 一级支持</t>
  </si>
  <si>
    <t>1. 该职位的要求概况构成了招聘流程以及与潜在新员工的员工概况进行相关比较的基础。 / The requirement profile for the job forms the basis for the recruiting process and the associated comparison with the employee profile of potential new hires.
2. 每个职位都有活动描述。 / Activity descriptions are available for every position.
3. 教育背景、先前知识、职业和高等教育都被考虑在内。 / Educational background prior knowledge, career and higher education are taken into account.
4. 定义了必要的权限。 / The necessary permissions are defined.
5. 定期进行检查。 / Checks are performed regularly.
6. 定义了与工作场所相关的资格。 / Workplace-related qualifications are defined.</t>
  </si>
  <si>
    <t>• 技能和能力矩阵 / Skills &amp; competency matrix
• 资格证明 / Evidence of qualifications
• 职业安全 / Occupational safety
• 活动说明 / Activity description
• 需求简介 / Requirement profile
• 培训/资格证明 / Proof of training/qualifications
• 客户特定要求 / Customer-specific requirements
• 初步训练计划 / Initial training plan
• 适当的资格证明（例如视力测试、听力测试、触觉测试） / Suitable evidence of qualification (e.g. vision test, hearing test, touch test)
• 员工认可的职位描述 / Job description acknowledged by the employee
• 外语知识 / Knowledge of foreign languages</t>
  </si>
  <si>
    <t>1. 对于每个职位，都有一个基于工作描述的培训计划。 / For each position, there is a training schedule based on the work description.
2. 使用技能和能力矩阵。 / A skills &amp; competency matrix is used.
3. “初始培训”以及法定、内部和定期培训的类型和范围均已定义并记录。 / The type and the scope of the “initial training” and the statutory, internal and recurring training is defined and documented.
4. 鉴定措施的有效性在质量和时间上得到保证。 / The effectiveness of the qualification meas- ures is ensured in terms of quality and time.
5. 培训由合格的员工/培训师进行。培训知识必须是可证明的。 / Training is conducted by qualified staff/train- ers. Training know-how must be demonstrable.
6. 确保与工作场所相关的资格。如果流程发生变化，将提供培训/说明并记录在案。 / Workplace-related qualifications are ensured. In case of changes to processes, trainings/ instructions are provided and documented.
7. 培训概念（包括适当的培训文件）已经到位。 / A training concept, including appropriate ­training documents, is in place.</t>
  </si>
  <si>
    <t>• 外语知识 / Knowledge of foreign languages
• 产品使用知识和 / Knowledge of product use and
• 产品问题 / product problems
• 具有专业知识的人员概述 / Overview of persons with specialized knowledge
• 利益相关者分析 / Stakeholder analysis
• 培训计划 / Training plan
• 培训理念 / Training concept
• 专利理念 / Patent concept
• 质量和时间 / Quality and time
• 技能和能力矩阵 / Skills &amp; competency matrix
• 第一天简报 / First-day briefing
• 初始培训计划及参考资料 / Initial training plan with references
• 简报（例如职业安全、ESG 要求、数据保护） / Briefings (e.g. occupational safety, ESG requirements, data protection)</t>
  </si>
  <si>
    <t>1. 工作人员了解他们的工作和流程说明。 / The staff know their work and process instructions.
2. 工作人员知道他们的活动描述。 / The staff know their activity description.
3. 员工知道不正确执行工作的后果和影响。 / The staff know the consequences and effects of incorrect execution of work.
4. 定义了对流程中不当执行的工作和/或错误的响应。 / The response to improperly performed work and/or errors in the process is defined.
5. 任何职责转移都有记录。 / Any transfer of duties is documented.
6. 提供对客户相关领域的访问。 / Access to relevant areas of the customer is provided.</t>
  </si>
  <si>
    <t>• 功能及要求 / Functions and requirements
• 功能说明 / Function description
• 升级矩阵 / Escalation matrix
• 沟通计划 / Communication plan
• 工作失误应对计划 / Response plan to faulty work
• 出现问题时的行动计划 / Action plan in case of problems
• 过程干扰的识别 / Identification of process disturbances
• 安全工作行为/实践 / Safe work conduct/practices
• 工作/检查说明 / Work/inspection instructions
• 服务协议（例如服务级别协议、KPI 的目标/实际值） / Service agreements (e.g. service-level agreement, target/actual values of KPIs)
• 秩序和清洁 / Order and cleanliness
• 相关法律/监管要求的培训 / Training on relevant statutory/ regulatory requirements
• IT权限 / IT permissions
• 居民 / Residents
• 大客户 / Key account</t>
  </si>
  <si>
    <t>1. 有一个员工计划，其中考虑了所需的合格员工数量。 / There is a staff schedule which takes into account the required number of qualified employees.
2. 已安排换人。 / Substitutions are arranged.
3. 所有活动和角色都映射在组织结构图或团队结构中。 / All activities and roles are mapped in an organization chart or team structure.
4. 技能和能力矩阵用于定期检查人员配备要求。 / The skills &amp; competency matrix is used to check ­staffing requirements regularly.
5. 制定了危机管理计划。 / A crisis management plan is defined.
6. 对于组织的客户和客户群体，明确了查询和投诉的联系人。 / For customers and customer groups of the organization, the contact person for inquiries and complaints is defined.
7. 负责的员工，包括发出指示的权力，都已被任命。 / The responsible employees, including author- ity to give instructions, have been named.</t>
  </si>
  <si>
    <t>1. 公司必须通过灾难恢复策略，定义必要的生产相关 IT 元素（例如硬件、应用程序、托管）的最大可容忍停机时间。 / The company must, by means of a disaster recovery strategy, define the maximum tolerable downtime for necessary production-related IT elements (e.g.
2. 如果 IT 元件出现故障，公司必须确保恢复时间，且不影响客户要求的到达日期。 / In case of a failure of IT elements, the com- pany must ensure a recovery time without affecting the customer’s required arrival dates.
3. 存档可用且受保护。 / Archive is available and protected.
4. 数据必须备份在冗余且可靠的存储介质上。 / Data must be backed up on redundant and reliable storage media.
5. 数据备份必须定期进行功能测试。应急策略 备份计划，包括。升级级别 归档要求 备份概念 应急信息计划 根据 VDA 1 进行功能测试 客户特定的响应时间 TISAX ® 152 / Regular function tests must be conducted for data backup.</t>
  </si>
  <si>
    <t>1. 遵守内部和外部要求。 / Internal and external requirements are observed.
2. 始终确保可用性。 / Availability is consistently ensured.
3. 相关接口，特别是客户平台，功能齐全。 / Relevant interfaces, especially customer ­platforms, are functional.
4. IT 基础设施能够代表相关流程。 / The IT infrastructure is capable of represent- ing the relevant processes.
5. 为客户平台实施系统的用户管理，包括。替换规则。 / Systematic user administration is imple- mented for customer platforms, incl.
6. 定义和传达数据传输标准，并确保合规性。网络结构规划 硬件和软件 访问权限概述 接口矩阵 KPI 和系统可用性 数据保护策略 与客户系统的接口 / The standards of data transfer are defined and communicated, and compliance is ensured.</t>
  </si>
  <si>
    <t>• 网络结构规划 / Network structure plan
• 硬件和软件 / Hardware and software
• 访问权限概述 / Overview of access permissions
• 接口矩阵 / Interface matrix
• KPI 和系统可用性 / KPIs and system availability
• 数据保护政策 / Data protection policies
• 与客户系统的接口 / Interfaces with customer systems</t>
  </si>
  <si>
    <t>1. 根据风险定义、监控特定流程的 KPI 并进行沟通。 / Process-specific KPIs are defined, monitored according to risk and communicated.
2. 目标是商定的、具体的、可衡量的、可实现的、现实的和预定的。 / Targets are agreed, specific, measurable, attainable, realistic and scheduled.
3. 进行基于风险的目标/实际比较。 / A risk-based target/actual comparison is conducted.
4. 确保了目标的及时性。 / The timeliness of the targets is ensured.
5. 目标已传达给公司所有相关职位。 / Targets are communicated to all relevant positions in the company.
6. 定期收集和跟踪客户满意度 KPI。 / A customer satisfaction KPI is regularly ­collected and tracked.</t>
  </si>
  <si>
    <t>• 处理客户查询的时间和数量 / Processing time and number of customer inquiries
• 客户服务费用 / Customer service expenses
• 客户满意度指数（CSI） / Customer satisfaction index (CSI)
• 目标定义 / Target definition
• 目标追踪 / Target tracking
• 目标调整 / Target adjustment
• 损坏、投诉、客户反馈 / Damage, complaints, customer feedback
• 市场研究/客户分析 / Market research/customer analyses
• 基准研究 / Benchmark studies
• 服务水平/处理时间 / Service level/Process times</t>
  </si>
  <si>
    <t>1. 定义并记录必要的流程 KPI（目标值）。实际数据被整合、评估和交流。 / The necessary process KPIs (target values) are defined and documented. The actual data is consolidated, evaluated and communicated.
2. 记录的数据可以分配给流程，数据可用、清晰、可访问并按规定存档。满足可追溯性要求。 / The recorded data can be allocated to pro- cesses, the data is available, legible, accessible and archived as specified. Traceability require- ments are met.
3. KPI 确定的数据来源合理且合理。必须在规定的时间段内确保可分析性。 / The data sources for KPI determination are plausible and reasonable. Analyzability must be ensured over a defined time period.</t>
  </si>
  <si>
    <t>• 错误记录 / Error logging
• 风险评估 / Risk assessment
• 过程监控 / Process monitoring
• 多维度投诉分析（投诉原因、品类、仓储区域、运输方式、航线、客户等） / Complaint analyses in multiple dimensions (reason for complaint, product group, storage area, shipping method, route, customer, etc.)
• 客户调查 / Customer surveys
• 客户满意度指数（CSI，包括缺货） / Customer satisfaction index (CSI, including backorders)</t>
  </si>
  <si>
    <t>1. 如果未满足过程和目标要求，则立即采取行动以满足要求，直到证明纠正措施有效。员工们熟悉立即采取的行动。 / If process and target requirements are not met, immediate actions are taken to fulfill the requirements, until it has been proven that the corrective actions have been effective. The employees are familiar with the immediate actions.
2. 采用适当的方法来分析原因，并考虑客户的要求。 / Suitable methods are implemented to analyze the causes, and customer requirements are taken into account.
3. 采取行动以避免重复出现错误，并基于根本原因分析。 / Actions are taken to avoid recurring errors and are based on a root cause analysis.
4. 制定纠正措施，监督其实施并验证其有效性。 / Corrective actions are derived, their imple- mentation is monitored and the effectiveness verified.
5. 记录与目标值的偏差及其原因。失败分析 方法 立即行动 有效性 ESG 要求 行动实施中的责任 行动实施期限 行动计划/行动清单 归档程序 重复出现的错误 / Deviations from the target value and their causes are documented.</t>
  </si>
  <si>
    <t>• 故障分析 / Failure analysis
• 方法 / Methods
• 立即行动 / Immediate actions
• Effectiveness
• ESG 要求 / ESG requirements
• 行动落实责任 / Responsibilities in action implementation
• 行动实施期限 / Deadlines for action implementation
• 行动计划/行动清单 / Action plans/action lists
• 归档程序 / Archiving procedures
• 重复出现的错误 / Recurring errors</t>
  </si>
  <si>
    <t>• 服务商评估 / Service provider evaluation
• 就地清洗 / CIP
• 行动计划 / Action plans
• PDCA / 改善 / FMEA / PDCA / Kaizen / FMEA
• 经验教训 / Lessons learned
• 理念管理 / Idea management
• 过程稳定措施 / Actions for process stabilization</t>
  </si>
  <si>
    <t>• 变革管理 / Change management
• 调节日志 / Reconciliation logs
• 审计方案和计划 / Audit program and plan
• 改善方案 / Improvement program
• 文档管理系统（工作流程） / Document management system (workflow)
• 审核员资格 / Auditor qualification
• 客户特定要求 / Customer-specific requirements
• VDA 卷 / VDA volumes
• 有效性检查 / Effectiveness check
• 行动清单 / Action list
• 流程改进带来的变化 / Changes from process improvements</t>
  </si>
  <si>
    <t>1. 客户管理确保： – 透明的客户满意度 – 与客户同步的数据 – 持续提高客户满意度的行动 – 与客户协调的沟通 / Customer management ensures: – Transparent customer satisfaction – Data synchronized with the customer – Actions for continually improving customer satisfaction – Communication coordinated with the ­customer</t>
  </si>
  <si>
    <t>• 归档要求（防火、易读性、持续时间） / Archiving requirements (fire protection, legibility, duration)
• 客户评价 / Customer evaluation
• 等级 / Rating
• 沟通计划 / Communication plan
• 行动计划 / Action plan
• 客户满意度指数（CSI） / Customer satisfaction index (CSI)
• 供应保障 / Supply security</t>
  </si>
  <si>
    <t>1. 分析客户反馈的偏差和原因，并作为经验教训方法的基础。 / Customer feedback is analyzed for deviations and causes and serves as the basis for the ­lessons-learned method.
2. 考虑接口的结果。 / Findings from interfaces are taken into account.
3. 偏差被记录下来并用于改进措施。 / Deviations are documented and used for improvement measures.
4. 实施是基于风险的。 / The implementation is risk-based.</t>
  </si>
  <si>
    <t>• 处理客户反馈 / Processing of customer feedback
• 持续风险管理 / Continuous risk management
• 动作追踪 / Action tracking
• 根本原因分析 / Root cause analysis
• 回顾性 / Retrospective
• 最佳实践/良好实践 / Best practice/ good practice
• 戴明循环 / Deming Cycle
• 每日例会 / Daily Scrum
• 冲刺回顾 / Sprint Review</t>
  </si>
  <si>
    <r>
      <t xml:space="preserve">1. </t>
    </r>
    <r>
      <rPr>
        <sz val="9"/>
        <rFont val="Microsoft YaHei"/>
        <family val="2"/>
        <charset val="134"/>
      </rPr>
      <t>改进的潜力是根据与质量、成本和服务相关的调查结果不断确定的。</t>
    </r>
    <r>
      <rPr>
        <sz val="9"/>
        <rFont val="Arial"/>
        <family val="2"/>
      </rPr>
      <t xml:space="preserve"> / The potential for improvement is continuously determined based on findings relating to quality, costs, and services.
2. </t>
    </r>
    <r>
      <rPr>
        <sz val="9"/>
        <rFont val="Microsoft YaHei"/>
        <family val="2"/>
        <charset val="134"/>
      </rPr>
      <t>持续改进绩效能力的流程适用于整个公司和所有供应链合作伙伴。</t>
    </r>
    <r>
      <rPr>
        <sz val="9"/>
        <rFont val="Arial"/>
        <family val="2"/>
      </rPr>
      <t xml:space="preserve"> / A process for continuous improvement of ­performance capability is applied throughout the company and with all supply chain partners.
3. </t>
    </r>
    <r>
      <rPr>
        <sz val="9"/>
        <rFont val="Microsoft YaHei"/>
        <family val="2"/>
        <charset val="134"/>
      </rPr>
      <t>风险分析定期更新。</t>
    </r>
    <r>
      <rPr>
        <sz val="9"/>
        <rFont val="Arial"/>
        <family val="2"/>
      </rPr>
      <t xml:space="preserve"> / Risk analyses are regularly updated.
4. </t>
    </r>
    <r>
      <rPr>
        <sz val="9"/>
        <rFont val="Microsoft YaHei"/>
        <family val="2"/>
        <charset val="134"/>
      </rPr>
      <t>员工有动力提出持续改进的建议。</t>
    </r>
    <r>
      <rPr>
        <sz val="9"/>
        <rFont val="Arial"/>
        <family val="2"/>
      </rPr>
      <t xml:space="preserve"> / Employees are motivated to submit ­suggestions for continuous improvement.</t>
    </r>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</si>
</sst>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
    <numFmt numFmtId="177" formatCode="&quot; ≥ &quot;\ 0%\ "/>
    <numFmt numFmtId="178" formatCode="0%\ &quot; ≥ &quot;"/>
  </numFmts>
  <fonts count="59">
    <font>
      <sz val="12"/>
      <color theme="1"/>
      <name val="Porsche Next TT"/>
      <family val="2"/>
    </font>
    <font>
      <sz val="11"/>
      <color theme="1"/>
      <name val="等线"/>
      <family val="2"/>
      <scheme val="minor"/>
    </font>
    <font>
      <sz val="11"/>
      <color theme="1"/>
      <name val="等线"/>
      <family val="2"/>
      <scheme val="minor"/>
    </font>
    <font>
      <sz val="10"/>
      <color theme="1"/>
      <name val="Audi Type"/>
      <family val="2"/>
    </font>
    <font>
      <b/>
      <sz val="16"/>
      <color theme="1"/>
      <name val="Porsche Next TT"/>
      <family val="2"/>
    </font>
    <font>
      <sz val="6"/>
      <color theme="1"/>
      <name val="Audi Type"/>
      <family val="2"/>
    </font>
    <font>
      <sz val="9"/>
      <color theme="1"/>
      <name val="Audi Type"/>
      <family val="2"/>
    </font>
    <font>
      <sz val="12"/>
      <color theme="1"/>
      <name val="Porsche Next TT"/>
      <family val="2"/>
    </font>
    <font>
      <sz val="11"/>
      <color theme="1"/>
      <name val="Porsche Next TT"/>
      <family val="2"/>
    </font>
    <font>
      <b/>
      <sz val="14"/>
      <color theme="1"/>
      <name val="Porsche Next TT"/>
      <family val="2"/>
    </font>
    <font>
      <sz val="20"/>
      <color theme="1"/>
      <name val="Porsche Next TT"/>
      <family val="2"/>
    </font>
    <font>
      <sz val="6"/>
      <color theme="1"/>
      <name val="Porsche Next TT"/>
      <family val="2"/>
    </font>
    <font>
      <b/>
      <sz val="11"/>
      <color theme="1"/>
      <name val="Porsche Next TT"/>
      <family val="2"/>
    </font>
    <font>
      <i/>
      <sz val="10"/>
      <color theme="1"/>
      <name val="Porsche Next TT"/>
      <family val="2"/>
    </font>
    <font>
      <sz val="10"/>
      <color theme="1"/>
      <name val="Porsche Next TT"/>
      <family val="2"/>
    </font>
    <font>
      <sz val="40"/>
      <color theme="1"/>
      <name val="Porsche Next TT"/>
      <family val="2"/>
    </font>
    <font>
      <b/>
      <i/>
      <sz val="11"/>
      <color rgb="FF000000"/>
      <name val="Porsche Next TT"/>
      <family val="2"/>
    </font>
    <font>
      <sz val="12"/>
      <color theme="1"/>
      <name val="Audi Type"/>
      <family val="2"/>
    </font>
    <font>
      <b/>
      <sz val="10"/>
      <color rgb="FFFF0000"/>
      <name val="Audi Type"/>
      <family val="2"/>
    </font>
    <font>
      <b/>
      <sz val="22"/>
      <name val="Audi Type"/>
      <family val="2"/>
    </font>
    <font>
      <sz val="9"/>
      <name val="FangSong"/>
      <family val="3"/>
      <charset val="134"/>
    </font>
    <font>
      <b/>
      <sz val="14"/>
      <color rgb="FFFFFFFF"/>
      <name val="Arial"/>
      <family val="2"/>
    </font>
    <font>
      <b/>
      <sz val="10"/>
      <color rgb="FFFFFFFF"/>
      <name val="Arial"/>
      <family val="2"/>
    </font>
    <font>
      <b/>
      <i/>
      <sz val="10"/>
      <color rgb="FF1F4E79"/>
      <name val="Arial"/>
      <family val="2"/>
    </font>
    <font>
      <b/>
      <sz val="10"/>
      <name val="Arial"/>
      <family val="2"/>
    </font>
    <font>
      <b/>
      <sz val="10"/>
      <color rgb="FFFF0000"/>
      <name val="Arial"/>
      <family val="2"/>
    </font>
    <font>
      <sz val="10"/>
      <name val="Arial"/>
      <family val="2"/>
    </font>
    <font>
      <i/>
      <sz val="10"/>
      <color rgb="FF808080"/>
      <name val="Arial"/>
      <family val="2"/>
    </font>
    <font>
      <sz val="9"/>
      <name val="Arial"/>
      <family val="2"/>
    </font>
    <font>
      <b/>
      <sz val="11"/>
      <name val="Arial"/>
      <family val="2"/>
    </font>
    <font>
      <b/>
      <i/>
      <sz val="10"/>
      <color rgb="FFC00000"/>
      <name val="Arial"/>
      <family val="2"/>
    </font>
    <font>
      <u/>
      <sz val="9"/>
      <color rgb="FF0563C1"/>
      <name val="Arial"/>
      <family val="2"/>
    </font>
    <font>
      <b/>
      <sz val="9"/>
      <name val="Arial"/>
      <family val="2"/>
    </font>
    <font>
      <b/>
      <sz val="10"/>
      <color rgb="FFC00000"/>
      <name val="Arial"/>
      <family val="2"/>
    </font>
    <font>
      <b/>
      <sz val="14"/>
      <name val="Arial"/>
      <family val="2"/>
    </font>
    <font>
      <b/>
      <sz val="12"/>
      <color rgb="FFFFFFFF"/>
      <name val="Porsche Next TT"/>
    </font>
    <font>
      <b/>
      <sz val="12"/>
      <name val="Porsche Next TT"/>
    </font>
    <font>
      <b/>
      <sz val="16"/>
      <name val="Porsche Next TT"/>
    </font>
    <font>
      <sz val="9"/>
      <color rgb="FFC00000"/>
      <name val="Porsche Next TT"/>
    </font>
    <font>
      <b/>
      <i/>
      <sz val="11"/>
      <color rgb="FF000000"/>
      <name val="Porsche Next TT"/>
    </font>
    <font>
      <sz val="12"/>
      <color theme="1"/>
      <name val="Arial"/>
      <family val="2"/>
    </font>
    <font>
      <b/>
      <sz val="16"/>
      <color theme="1"/>
      <name val="Arial"/>
      <family val="2"/>
    </font>
    <font>
      <sz val="12"/>
      <color theme="0"/>
      <name val="Arial"/>
      <family val="2"/>
    </font>
    <font>
      <b/>
      <sz val="12"/>
      <color theme="1"/>
      <name val="Arial"/>
      <family val="2"/>
    </font>
    <font>
      <b/>
      <u/>
      <sz val="12"/>
      <color theme="1"/>
      <name val="Arial"/>
      <family val="2"/>
    </font>
    <font>
      <b/>
      <sz val="16"/>
      <name val="Arial"/>
      <family val="2"/>
    </font>
    <font>
      <sz val="12"/>
      <color rgb="FFFF0000"/>
      <name val="Arial"/>
      <family val="2"/>
    </font>
    <font>
      <sz val="6"/>
      <color theme="1"/>
      <name val="Arial"/>
      <family val="2"/>
    </font>
    <font>
      <b/>
      <sz val="9"/>
      <color theme="1"/>
      <name val="Arial"/>
      <family val="2"/>
    </font>
    <font>
      <sz val="9"/>
      <color theme="1"/>
      <name val="Arial"/>
      <family val="2"/>
    </font>
    <font>
      <b/>
      <sz val="12"/>
      <color rgb="FFFFFFFF"/>
      <name val="Arial"/>
      <family val="2"/>
    </font>
    <font>
      <b/>
      <sz val="14"/>
      <color rgb="FFC00000"/>
      <name val="Arial"/>
      <family val="2"/>
    </font>
    <font>
      <b/>
      <sz val="16"/>
      <color rgb="FFFF0000"/>
      <name val="Arial"/>
      <family val="2"/>
    </font>
    <font>
      <b/>
      <sz val="14"/>
      <color theme="1"/>
      <name val="Arial"/>
      <family val="2"/>
    </font>
    <font>
      <sz val="10"/>
      <color theme="1"/>
      <name val="Arial"/>
      <family val="2"/>
    </font>
    <font>
      <sz val="20"/>
      <color theme="1"/>
      <name val="Arial"/>
      <family val="2"/>
    </font>
    <font>
      <b/>
      <sz val="10"/>
      <color theme="1"/>
      <name val="Arial"/>
      <family val="2"/>
    </font>
    <font>
      <sz val="12"/>
      <color rgb="FF000000"/>
      <name val="Porsche Next TT"/>
    </font>
    <font>
      <sz val="9"/>
      <name val="Microsoft YaHei"/>
      <family val="2"/>
      <charset val="134"/>
    </font>
  </fonts>
  <fills count="9">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0" tint="-4.9989318521683403E-2"/>
        <bgColor indexed="64"/>
      </patternFill>
    </fill>
    <fill>
      <patternFill patternType="solid">
        <fgColor rgb="FF1F4E79"/>
        <bgColor rgb="FF1F4E79"/>
      </patternFill>
    </fill>
    <fill>
      <patternFill patternType="solid">
        <fgColor rgb="FF2E75B6"/>
        <bgColor rgb="FF2E75B6"/>
      </patternFill>
    </fill>
    <fill>
      <patternFill patternType="solid">
        <fgColor rgb="FFD6E4F0"/>
        <bgColor rgb="FFD6E4F0"/>
      </patternFill>
    </fill>
    <fill>
      <patternFill patternType="solid">
        <fgColor rgb="FFC00000"/>
        <bgColor rgb="FFC00000"/>
      </patternFill>
    </fill>
  </fills>
  <borders count="42">
    <border>
      <left/>
      <right/>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style="hair">
        <color indexed="64"/>
      </bottom>
      <diagonal/>
    </border>
    <border>
      <left/>
      <right/>
      <top/>
      <bottom style="thin">
        <color indexed="64"/>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6">
    <xf numFmtId="0" fontId="0" fillId="0" borderId="0"/>
    <xf numFmtId="0" fontId="26" fillId="0" borderId="0"/>
    <xf numFmtId="0" fontId="2" fillId="0" borderId="0"/>
    <xf numFmtId="0" fontId="2" fillId="0" borderId="0"/>
    <xf numFmtId="9" fontId="2" fillId="0" borderId="0"/>
    <xf numFmtId="9" fontId="7" fillId="0" borderId="0"/>
  </cellStyleXfs>
  <cellXfs count="178">
    <xf numFmtId="0" fontId="0" fillId="0" borderId="0" xfId="0"/>
    <xf numFmtId="0" fontId="7" fillId="2" borderId="0" xfId="0" applyFont="1" applyFill="1"/>
    <xf numFmtId="0" fontId="8" fillId="2" borderId="2" xfId="0" applyFont="1" applyFill="1" applyBorder="1"/>
    <xf numFmtId="14" fontId="9" fillId="2" borderId="1" xfId="0" applyNumberFormat="1" applyFont="1" applyFill="1" applyBorder="1" applyAlignment="1">
      <alignment horizontal="left" vertical="center"/>
    </xf>
    <xf numFmtId="0" fontId="10" fillId="2" borderId="4" xfId="0" applyFont="1" applyFill="1" applyBorder="1"/>
    <xf numFmtId="0" fontId="11" fillId="2" borderId="2" xfId="0" applyFont="1" applyFill="1" applyBorder="1"/>
    <xf numFmtId="14" fontId="11" fillId="2" borderId="3" xfId="0" applyNumberFormat="1" applyFont="1" applyFill="1" applyBorder="1"/>
    <xf numFmtId="0" fontId="11" fillId="2" borderId="3" xfId="0" applyFont="1" applyFill="1" applyBorder="1"/>
    <xf numFmtId="14" fontId="11" fillId="2" borderId="3" xfId="0" applyNumberFormat="1" applyFont="1" applyFill="1" applyBorder="1" applyAlignment="1">
      <alignment horizontal="left"/>
    </xf>
    <xf numFmtId="0" fontId="11" fillId="2" borderId="4" xfId="0" applyFont="1" applyFill="1" applyBorder="1"/>
    <xf numFmtId="0" fontId="8" fillId="2" borderId="5" xfId="0" applyFont="1" applyFill="1" applyBorder="1"/>
    <xf numFmtId="0" fontId="12" fillId="2" borderId="0" xfId="0" applyFont="1" applyFill="1" applyAlignment="1">
      <alignment vertical="top"/>
    </xf>
    <xf numFmtId="0" fontId="8" fillId="2" borderId="6" xfId="0" applyFont="1" applyFill="1" applyBorder="1"/>
    <xf numFmtId="0" fontId="13" fillId="2" borderId="5" xfId="0" applyFont="1" applyFill="1" applyBorder="1" applyAlignment="1">
      <alignment wrapText="1"/>
    </xf>
    <xf numFmtId="0" fontId="13" fillId="2" borderId="0" xfId="0" applyFont="1" applyFill="1" applyAlignment="1">
      <alignment vertical="top" wrapText="1"/>
    </xf>
    <xf numFmtId="0" fontId="13" fillId="2" borderId="6" xfId="0" applyFont="1" applyFill="1" applyBorder="1" applyAlignment="1">
      <alignment wrapText="1"/>
    </xf>
    <xf numFmtId="0" fontId="11" fillId="2" borderId="7" xfId="0" applyFont="1" applyFill="1" applyBorder="1"/>
    <xf numFmtId="0" fontId="11" fillId="2" borderId="8" xfId="0" applyFont="1" applyFill="1" applyBorder="1"/>
    <xf numFmtId="0" fontId="11" fillId="2" borderId="8" xfId="0" applyFont="1" applyFill="1" applyBorder="1" applyAlignment="1">
      <alignment wrapText="1"/>
    </xf>
    <xf numFmtId="0" fontId="11" fillId="2" borderId="9" xfId="0" applyFont="1" applyFill="1" applyBorder="1"/>
    <xf numFmtId="0" fontId="8" fillId="2" borderId="15" xfId="0" applyFont="1" applyFill="1" applyBorder="1" applyAlignment="1">
      <alignment vertical="top"/>
    </xf>
    <xf numFmtId="0" fontId="8" fillId="2" borderId="15" xfId="0" applyFont="1" applyFill="1" applyBorder="1" applyAlignment="1">
      <alignment vertical="top" wrapText="1"/>
    </xf>
    <xf numFmtId="49" fontId="8" fillId="2" borderId="15" xfId="0" applyNumberFormat="1" applyFont="1" applyFill="1" applyBorder="1" applyAlignment="1">
      <alignment vertical="top" wrapText="1"/>
    </xf>
    <xf numFmtId="49" fontId="8" fillId="2" borderId="15" xfId="0" applyNumberFormat="1" applyFont="1" applyFill="1" applyBorder="1" applyAlignment="1">
      <alignment vertical="top"/>
    </xf>
    <xf numFmtId="14" fontId="8" fillId="2" borderId="15" xfId="0" applyNumberFormat="1" applyFont="1" applyFill="1" applyBorder="1" applyAlignment="1">
      <alignment vertical="top"/>
    </xf>
    <xf numFmtId="0" fontId="8" fillId="2" borderId="13" xfId="0" applyFont="1" applyFill="1" applyBorder="1" applyAlignment="1">
      <alignment vertical="top"/>
    </xf>
    <xf numFmtId="0" fontId="8" fillId="2" borderId="13" xfId="0" quotePrefix="1" applyFont="1" applyFill="1" applyBorder="1" applyAlignment="1">
      <alignment vertical="top" wrapText="1"/>
    </xf>
    <xf numFmtId="0" fontId="8" fillId="2" borderId="13" xfId="0" applyFont="1" applyFill="1" applyBorder="1" applyAlignment="1">
      <alignment vertical="top" wrapText="1"/>
    </xf>
    <xf numFmtId="49" fontId="8" fillId="2" borderId="13" xfId="0" applyNumberFormat="1" applyFont="1" applyFill="1" applyBorder="1" applyAlignment="1">
      <alignment vertical="top" wrapText="1"/>
    </xf>
    <xf numFmtId="49" fontId="8" fillId="2" borderId="13" xfId="0" applyNumberFormat="1" applyFont="1" applyFill="1" applyBorder="1" applyAlignment="1">
      <alignment vertical="top"/>
    </xf>
    <xf numFmtId="14" fontId="8" fillId="2" borderId="13" xfId="0" applyNumberFormat="1" applyFont="1" applyFill="1" applyBorder="1" applyAlignment="1">
      <alignment vertical="top"/>
    </xf>
    <xf numFmtId="0" fontId="11" fillId="2" borderId="0" xfId="0" applyFont="1" applyFill="1"/>
    <xf numFmtId="0" fontId="11" fillId="2" borderId="6" xfId="0" applyFont="1" applyFill="1" applyBorder="1"/>
    <xf numFmtId="0" fontId="8" fillId="2" borderId="10" xfId="0" applyFont="1" applyFill="1" applyBorder="1"/>
    <xf numFmtId="0" fontId="15" fillId="2" borderId="11" xfId="0" applyFont="1" applyFill="1" applyBorder="1"/>
    <xf numFmtId="0" fontId="7" fillId="2" borderId="22" xfId="0" applyFont="1" applyFill="1" applyBorder="1"/>
    <xf numFmtId="0" fontId="6" fillId="2" borderId="20" xfId="0" applyFont="1" applyFill="1" applyBorder="1"/>
    <xf numFmtId="0" fontId="5" fillId="2" borderId="22" xfId="0" applyFont="1" applyFill="1" applyBorder="1"/>
    <xf numFmtId="0" fontId="6" fillId="2" borderId="22" xfId="0" applyFont="1" applyFill="1" applyBorder="1"/>
    <xf numFmtId="0" fontId="7" fillId="2" borderId="5" xfId="0" applyFont="1" applyFill="1" applyBorder="1"/>
    <xf numFmtId="0" fontId="16" fillId="2" borderId="13" xfId="0" applyFont="1" applyFill="1" applyBorder="1" applyAlignment="1">
      <alignment vertical="top" wrapText="1"/>
    </xf>
    <xf numFmtId="0" fontId="17" fillId="2" borderId="0" xfId="0" applyFont="1" applyFill="1"/>
    <xf numFmtId="0" fontId="17" fillId="2" borderId="22" xfId="0" applyFont="1" applyFill="1" applyBorder="1"/>
    <xf numFmtId="0" fontId="17" fillId="2" borderId="17" xfId="0" applyFont="1" applyFill="1" applyBorder="1"/>
    <xf numFmtId="0" fontId="1" fillId="0" borderId="0" xfId="3" applyFont="1" applyAlignment="1">
      <alignment vertical="center"/>
    </xf>
    <xf numFmtId="0" fontId="1" fillId="0" borderId="0" xfId="3" applyFont="1" applyAlignment="1" applyProtection="1">
      <alignment horizontal="center" vertical="center"/>
      <protection locked="0"/>
    </xf>
    <xf numFmtId="0" fontId="1" fillId="0" borderId="0" xfId="3" applyFont="1" applyAlignment="1" applyProtection="1">
      <alignment vertical="center"/>
      <protection locked="0"/>
    </xf>
    <xf numFmtId="0" fontId="18" fillId="2" borderId="0" xfId="3" applyFont="1" applyFill="1" applyAlignment="1">
      <alignment horizontal="center" vertical="center"/>
    </xf>
    <xf numFmtId="0" fontId="3" fillId="2" borderId="24" xfId="3" applyFont="1" applyFill="1" applyBorder="1" applyAlignment="1">
      <alignment horizontal="center" vertical="center" wrapText="1"/>
    </xf>
    <xf numFmtId="0" fontId="3" fillId="2" borderId="25" xfId="3" applyFont="1" applyFill="1" applyBorder="1" applyAlignment="1">
      <alignment horizontal="center" vertical="center" wrapText="1"/>
    </xf>
    <xf numFmtId="0" fontId="3" fillId="2" borderId="11" xfId="3" applyFont="1" applyFill="1" applyBorder="1" applyAlignment="1">
      <alignment horizontal="center" vertical="center" wrapText="1"/>
    </xf>
    <xf numFmtId="0" fontId="3" fillId="2" borderId="26" xfId="3" applyFont="1" applyFill="1" applyBorder="1" applyAlignment="1">
      <alignment vertical="center" wrapText="1"/>
    </xf>
    <xf numFmtId="9" fontId="3" fillId="2" borderId="27" xfId="4" applyFont="1" applyFill="1" applyBorder="1" applyAlignment="1">
      <alignment vertical="center"/>
    </xf>
    <xf numFmtId="9" fontId="3" fillId="2" borderId="29" xfId="4" applyFont="1" applyFill="1" applyBorder="1" applyAlignment="1">
      <alignment horizontal="center" vertical="center"/>
    </xf>
    <xf numFmtId="0" fontId="1" fillId="0" borderId="0" xfId="3" applyFont="1" applyProtection="1">
      <protection locked="0"/>
    </xf>
    <xf numFmtId="0" fontId="1" fillId="0" borderId="0" xfId="3" applyFont="1"/>
    <xf numFmtId="0" fontId="3" fillId="2" borderId="30" xfId="3" applyFont="1" applyFill="1" applyBorder="1" applyAlignment="1">
      <alignment vertical="center" wrapText="1"/>
    </xf>
    <xf numFmtId="9" fontId="3" fillId="2" borderId="31" xfId="4" applyFont="1" applyFill="1" applyBorder="1" applyAlignment="1">
      <alignment vertical="center"/>
    </xf>
    <xf numFmtId="9" fontId="3" fillId="2" borderId="33" xfId="4" applyFont="1" applyFill="1" applyBorder="1" applyAlignment="1">
      <alignment horizontal="center" vertical="center"/>
    </xf>
    <xf numFmtId="0" fontId="3" fillId="2" borderId="30" xfId="3" quotePrefix="1" applyFont="1" applyFill="1" applyBorder="1" applyAlignment="1">
      <alignment horizontal="left" vertical="center" wrapText="1"/>
    </xf>
    <xf numFmtId="9" fontId="3" fillId="2" borderId="31" xfId="4" applyFont="1" applyFill="1" applyBorder="1" applyAlignment="1">
      <alignment vertical="top"/>
    </xf>
    <xf numFmtId="9" fontId="3" fillId="2" borderId="33" xfId="4" applyFont="1" applyFill="1" applyBorder="1" applyAlignment="1">
      <alignment horizontal="center" vertical="top"/>
    </xf>
    <xf numFmtId="0" fontId="3" fillId="2" borderId="30" xfId="3" applyFont="1" applyFill="1" applyBorder="1" applyAlignment="1">
      <alignment horizontal="left" vertical="center" wrapText="1"/>
    </xf>
    <xf numFmtId="0" fontId="3" fillId="2" borderId="34" xfId="3" applyFont="1" applyFill="1" applyBorder="1" applyAlignment="1">
      <alignment vertical="center" wrapText="1"/>
    </xf>
    <xf numFmtId="9" fontId="3" fillId="2" borderId="35" xfId="4" applyFont="1" applyFill="1" applyBorder="1" applyAlignment="1">
      <alignment vertical="center"/>
    </xf>
    <xf numFmtId="9" fontId="3" fillId="2" borderId="37" xfId="4" applyFont="1" applyFill="1" applyBorder="1" applyAlignment="1">
      <alignment horizontal="center" vertical="center"/>
    </xf>
    <xf numFmtId="0" fontId="1" fillId="0" borderId="0" xfId="3" applyFont="1" applyAlignment="1">
      <alignment horizontal="center" vertical="center"/>
    </xf>
    <xf numFmtId="176" fontId="3" fillId="4" borderId="28" xfId="4" applyNumberFormat="1" applyFont="1" applyFill="1" applyBorder="1" applyAlignment="1" applyProtection="1">
      <alignment horizontal="center" vertical="center"/>
      <protection locked="0"/>
    </xf>
    <xf numFmtId="176" fontId="3" fillId="4" borderId="32" xfId="4" applyNumberFormat="1" applyFont="1" applyFill="1" applyBorder="1" applyAlignment="1" applyProtection="1">
      <alignment horizontal="center" vertical="center"/>
      <protection locked="0"/>
    </xf>
    <xf numFmtId="176" fontId="3" fillId="4" borderId="32" xfId="4" applyNumberFormat="1" applyFont="1" applyFill="1" applyBorder="1" applyAlignment="1" applyProtection="1">
      <alignment horizontal="center" vertical="top"/>
      <protection locked="0"/>
    </xf>
    <xf numFmtId="176" fontId="3" fillId="4" borderId="36" xfId="4" applyNumberFormat="1" applyFont="1" applyFill="1" applyBorder="1" applyAlignment="1" applyProtection="1">
      <alignment horizontal="center" vertical="center"/>
      <protection locked="0"/>
    </xf>
    <xf numFmtId="0" fontId="1" fillId="0" borderId="0" xfId="3" applyFont="1" applyAlignment="1">
      <alignment horizontal="center"/>
    </xf>
    <xf numFmtId="0" fontId="17" fillId="2" borderId="20" xfId="0" applyFont="1" applyFill="1" applyBorder="1"/>
    <xf numFmtId="0" fontId="32" fillId="0" borderId="0" xfId="0" applyFont="1"/>
    <xf numFmtId="0" fontId="22" fillId="6" borderId="39" xfId="0" applyFont="1" applyFill="1" applyBorder="1" applyAlignment="1">
      <alignment horizontal="center" vertical="center"/>
    </xf>
    <xf numFmtId="0" fontId="24" fillId="0" borderId="39" xfId="0" applyFont="1" applyBorder="1"/>
    <xf numFmtId="176" fontId="33" fillId="0" borderId="39" xfId="0" applyNumberFormat="1" applyFont="1" applyBorder="1"/>
    <xf numFmtId="0" fontId="0" fillId="0" borderId="39" xfId="0" applyBorder="1"/>
    <xf numFmtId="0" fontId="28" fillId="0" borderId="39" xfId="0" applyFont="1" applyBorder="1" applyAlignment="1">
      <alignment horizontal="center" vertical="center"/>
    </xf>
    <xf numFmtId="0" fontId="25" fillId="0" borderId="39" xfId="0" applyFont="1" applyBorder="1" applyAlignment="1">
      <alignment horizontal="center" vertical="center"/>
    </xf>
    <xf numFmtId="0" fontId="28" fillId="0" borderId="39" xfId="0" applyFont="1" applyBorder="1" applyAlignment="1">
      <alignment vertical="top" wrapText="1"/>
    </xf>
    <xf numFmtId="0" fontId="31" fillId="0" borderId="39" xfId="0" applyFont="1" applyBorder="1" applyAlignment="1">
      <alignment horizontal="center" vertical="center"/>
    </xf>
    <xf numFmtId="0" fontId="34" fillId="0" borderId="0" xfId="0" applyFont="1"/>
    <xf numFmtId="176" fontId="0" fillId="0" borderId="0" xfId="0" applyNumberFormat="1"/>
    <xf numFmtId="0" fontId="35" fillId="8" borderId="0" xfId="0" applyFont="1" applyFill="1"/>
    <xf numFmtId="0" fontId="36" fillId="0" borderId="0" xfId="0" applyFont="1"/>
    <xf numFmtId="0" fontId="38" fillId="0" borderId="0" xfId="0" applyFont="1"/>
    <xf numFmtId="0" fontId="24" fillId="0" borderId="39" xfId="0" applyFont="1" applyBorder="1" applyAlignment="1">
      <alignment horizontal="center" vertical="center"/>
    </xf>
    <xf numFmtId="0" fontId="27" fillId="0" borderId="39" xfId="0" applyFont="1" applyBorder="1" applyAlignment="1">
      <alignment horizontal="center" vertical="center" wrapText="1"/>
    </xf>
    <xf numFmtId="0" fontId="26" fillId="0" borderId="39" xfId="0" applyFont="1" applyBorder="1" applyAlignment="1">
      <alignment horizontal="center" vertical="center" wrapText="1"/>
    </xf>
    <xf numFmtId="0" fontId="29" fillId="0" borderId="0" xfId="0" applyFont="1"/>
    <xf numFmtId="176" fontId="29" fillId="0" borderId="0" xfId="0" applyNumberFormat="1" applyFont="1" applyAlignment="1">
      <alignment horizontal="center" vertical="center" wrapText="1"/>
    </xf>
    <xf numFmtId="0" fontId="30" fillId="0" borderId="0" xfId="0" applyFont="1"/>
    <xf numFmtId="0" fontId="24" fillId="7" borderId="39" xfId="0" applyFont="1" applyFill="1" applyBorder="1"/>
    <xf numFmtId="0" fontId="39" fillId="2" borderId="15" xfId="0" applyFont="1" applyFill="1" applyBorder="1" applyAlignment="1">
      <alignment vertical="top" wrapText="1"/>
    </xf>
    <xf numFmtId="0" fontId="40" fillId="2" borderId="0" xfId="0" applyFont="1" applyFill="1"/>
    <xf numFmtId="0" fontId="40" fillId="2" borderId="19" xfId="0" applyFont="1" applyFill="1" applyBorder="1"/>
    <xf numFmtId="0" fontId="41" fillId="2" borderId="0" xfId="0" applyFont="1" applyFill="1" applyAlignment="1">
      <alignment horizontal="left" vertical="center"/>
    </xf>
    <xf numFmtId="0" fontId="42" fillId="2" borderId="0" xfId="0" applyFont="1" applyFill="1" applyAlignment="1">
      <alignment horizontal="left"/>
    </xf>
    <xf numFmtId="0" fontId="42" fillId="2" borderId="0" xfId="0" applyFont="1" applyFill="1"/>
    <xf numFmtId="14" fontId="40" fillId="3" borderId="0" xfId="0" applyNumberFormat="1" applyFont="1" applyFill="1" applyAlignment="1">
      <alignment horizontal="left" vertical="top"/>
    </xf>
    <xf numFmtId="0" fontId="43" fillId="3" borderId="0" xfId="0" applyFont="1" applyFill="1" applyAlignment="1">
      <alignment horizontal="left" vertical="center"/>
    </xf>
    <xf numFmtId="0" fontId="40" fillId="3" borderId="12" xfId="0" applyFont="1" applyFill="1" applyBorder="1"/>
    <xf numFmtId="0" fontId="40" fillId="3" borderId="13" xfId="0" applyFont="1" applyFill="1" applyBorder="1"/>
    <xf numFmtId="0" fontId="40" fillId="3" borderId="0" xfId="0" applyFont="1" applyFill="1"/>
    <xf numFmtId="0" fontId="40" fillId="2" borderId="14" xfId="0" applyFont="1" applyFill="1" applyBorder="1"/>
    <xf numFmtId="0" fontId="40" fillId="2" borderId="23" xfId="0" applyFont="1" applyFill="1" applyBorder="1"/>
    <xf numFmtId="0" fontId="44" fillId="2" borderId="0" xfId="0" applyFont="1" applyFill="1" applyAlignment="1">
      <alignment horizontal="center"/>
    </xf>
    <xf numFmtId="0" fontId="40" fillId="2" borderId="0" xfId="0" applyFont="1" applyFill="1" applyAlignment="1">
      <alignment vertical="top"/>
    </xf>
    <xf numFmtId="0" fontId="40" fillId="3" borderId="0" xfId="0" applyFont="1" applyFill="1" applyAlignment="1">
      <alignment vertical="top"/>
    </xf>
    <xf numFmtId="0" fontId="46" fillId="2" borderId="0" xfId="0" applyFont="1" applyFill="1" applyAlignment="1">
      <alignment horizontal="right" wrapText="1"/>
    </xf>
    <xf numFmtId="9" fontId="43" fillId="3" borderId="0" xfId="0" applyNumberFormat="1" applyFont="1" applyFill="1" applyAlignment="1">
      <alignment horizontal="center" vertical="center"/>
    </xf>
    <xf numFmtId="0" fontId="47" fillId="2" borderId="0" xfId="0" applyFont="1" applyFill="1"/>
    <xf numFmtId="0" fontId="48" fillId="2" borderId="21" xfId="0" applyFont="1" applyFill="1" applyBorder="1" applyAlignment="1">
      <alignment horizontal="left" vertical="center"/>
    </xf>
    <xf numFmtId="0" fontId="49" fillId="2" borderId="21" xfId="0" applyFont="1" applyFill="1" applyBorder="1"/>
    <xf numFmtId="0" fontId="49" fillId="2" borderId="18" xfId="0" applyFont="1" applyFill="1" applyBorder="1"/>
    <xf numFmtId="0" fontId="47" fillId="2" borderId="0" xfId="0" applyFont="1" applyFill="1" applyAlignment="1">
      <alignment horizontal="left" vertical="center"/>
    </xf>
    <xf numFmtId="0" fontId="47" fillId="2" borderId="19" xfId="0" applyFont="1" applyFill="1" applyBorder="1"/>
    <xf numFmtId="0" fontId="49" fillId="2" borderId="0" xfId="0" applyFont="1" applyFill="1"/>
    <xf numFmtId="0" fontId="49" fillId="2" borderId="19" xfId="0" applyFont="1" applyFill="1" applyBorder="1"/>
    <xf numFmtId="14" fontId="40" fillId="2" borderId="0" xfId="0" applyNumberFormat="1" applyFont="1" applyFill="1" applyAlignment="1">
      <alignment horizontal="left"/>
    </xf>
    <xf numFmtId="0" fontId="47" fillId="2" borderId="14" xfId="0" applyFont="1" applyFill="1" applyBorder="1"/>
    <xf numFmtId="0" fontId="47" fillId="2" borderId="23" xfId="0" applyFont="1" applyFill="1" applyBorder="1"/>
    <xf numFmtId="0" fontId="40" fillId="2" borderId="0" xfId="0" applyFont="1" applyFill="1" applyAlignment="1">
      <alignment vertical="top" wrapText="1"/>
    </xf>
    <xf numFmtId="0" fontId="40" fillId="2" borderId="0" xfId="0" applyFont="1" applyFill="1" applyAlignment="1">
      <alignment horizontal="left" vertical="top"/>
    </xf>
    <xf numFmtId="0" fontId="40" fillId="0" borderId="0" xfId="0" applyFont="1"/>
    <xf numFmtId="0" fontId="40" fillId="0" borderId="39" xfId="0" applyFont="1" applyBorder="1"/>
    <xf numFmtId="0" fontId="24" fillId="0" borderId="0" xfId="0" applyFont="1"/>
    <xf numFmtId="0" fontId="33" fillId="0" borderId="0" xfId="0" applyFont="1"/>
    <xf numFmtId="0" fontId="54" fillId="0" borderId="0" xfId="0" applyFont="1"/>
    <xf numFmtId="0" fontId="55" fillId="0" borderId="0" xfId="0" applyFont="1"/>
    <xf numFmtId="0" fontId="40" fillId="2" borderId="20" xfId="0" applyFont="1" applyFill="1" applyBorder="1"/>
    <xf numFmtId="0" fontId="40" fillId="2" borderId="21" xfId="0" applyFont="1" applyFill="1" applyBorder="1"/>
    <xf numFmtId="0" fontId="40" fillId="2" borderId="18" xfId="0" applyFont="1" applyFill="1" applyBorder="1"/>
    <xf numFmtId="0" fontId="40" fillId="2" borderId="22" xfId="0" applyFont="1" applyFill="1" applyBorder="1"/>
    <xf numFmtId="0" fontId="24" fillId="2" borderId="0" xfId="0" applyFont="1" applyFill="1"/>
    <xf numFmtId="0" fontId="56" fillId="2" borderId="0" xfId="0" applyFont="1" applyFill="1" applyAlignment="1">
      <alignment horizontal="right"/>
    </xf>
    <xf numFmtId="177" fontId="54" fillId="2" borderId="0" xfId="5" applyNumberFormat="1" applyFont="1" applyFill="1" applyAlignment="1">
      <alignment vertical="center"/>
    </xf>
    <xf numFmtId="177" fontId="54" fillId="2" borderId="0" xfId="5" applyNumberFormat="1" applyFont="1" applyFill="1" applyAlignment="1">
      <alignment horizontal="left" vertical="center"/>
    </xf>
    <xf numFmtId="178" fontId="54" fillId="2" borderId="0" xfId="5" applyNumberFormat="1" applyFont="1" applyFill="1" applyAlignment="1">
      <alignment horizontal="right"/>
    </xf>
    <xf numFmtId="0" fontId="40" fillId="2" borderId="17" xfId="0" applyFont="1" applyFill="1" applyBorder="1"/>
    <xf numFmtId="0" fontId="40" fillId="2" borderId="14" xfId="0" applyFont="1" applyFill="1" applyBorder="1" applyAlignment="1">
      <alignment horizontal="left"/>
    </xf>
    <xf numFmtId="0" fontId="19" fillId="3" borderId="16" xfId="0" applyFont="1" applyFill="1" applyBorder="1" applyAlignment="1">
      <alignment horizontal="center" vertical="center"/>
    </xf>
    <xf numFmtId="0" fontId="0" fillId="0" borderId="21" xfId="0" applyBorder="1"/>
    <xf numFmtId="0" fontId="0" fillId="0" borderId="18" xfId="0" applyBorder="1"/>
    <xf numFmtId="0" fontId="0" fillId="0" borderId="17" xfId="0" applyBorder="1"/>
    <xf numFmtId="0" fontId="0" fillId="0" borderId="14" xfId="0" applyBorder="1"/>
    <xf numFmtId="0" fontId="0" fillId="0" borderId="23" xfId="0" applyBorder="1"/>
    <xf numFmtId="0" fontId="45" fillId="2" borderId="0" xfId="0" applyFont="1" applyFill="1" applyAlignment="1">
      <alignment horizontal="center" vertical="center"/>
    </xf>
    <xf numFmtId="0" fontId="40" fillId="2" borderId="0" xfId="0" applyFont="1" applyFill="1"/>
    <xf numFmtId="0" fontId="21" fillId="5" borderId="0" xfId="0" applyFont="1" applyFill="1" applyAlignment="1">
      <alignment horizontal="center" vertical="center"/>
    </xf>
    <xf numFmtId="0" fontId="54" fillId="4" borderId="20" xfId="0" quotePrefix="1" applyFont="1" applyFill="1" applyBorder="1" applyAlignment="1">
      <alignment horizontal="left" vertical="top" wrapText="1"/>
    </xf>
    <xf numFmtId="0" fontId="54" fillId="4" borderId="21" xfId="0" quotePrefix="1" applyFont="1" applyFill="1" applyBorder="1" applyAlignment="1">
      <alignment horizontal="left" vertical="top" wrapText="1"/>
    </xf>
    <xf numFmtId="0" fontId="54" fillId="4" borderId="18" xfId="0" quotePrefix="1" applyFont="1" applyFill="1" applyBorder="1" applyAlignment="1">
      <alignment horizontal="left" vertical="top" wrapText="1"/>
    </xf>
    <xf numFmtId="0" fontId="54" fillId="4" borderId="22" xfId="0" quotePrefix="1" applyFont="1" applyFill="1" applyBorder="1" applyAlignment="1">
      <alignment horizontal="left" vertical="top" wrapText="1"/>
    </xf>
    <xf numFmtId="0" fontId="54" fillId="4" borderId="0" xfId="0" quotePrefix="1" applyFont="1" applyFill="1" applyAlignment="1">
      <alignment horizontal="left" vertical="top" wrapText="1"/>
    </xf>
    <xf numFmtId="0" fontId="54" fillId="4" borderId="19" xfId="0" quotePrefix="1" applyFont="1" applyFill="1" applyBorder="1" applyAlignment="1">
      <alignment horizontal="left" vertical="top" wrapText="1"/>
    </xf>
    <xf numFmtId="0" fontId="54" fillId="4" borderId="17" xfId="0" quotePrefix="1" applyFont="1" applyFill="1" applyBorder="1" applyAlignment="1">
      <alignment horizontal="left" vertical="top" wrapText="1"/>
    </xf>
    <xf numFmtId="0" fontId="54" fillId="4" borderId="14" xfId="0" quotePrefix="1" applyFont="1" applyFill="1" applyBorder="1" applyAlignment="1">
      <alignment horizontal="left" vertical="top" wrapText="1"/>
    </xf>
    <xf numFmtId="0" fontId="54" fillId="4" borderId="23" xfId="0" quotePrefix="1" applyFont="1" applyFill="1" applyBorder="1" applyAlignment="1">
      <alignment horizontal="left" vertical="top" wrapText="1"/>
    </xf>
    <xf numFmtId="176" fontId="34" fillId="0" borderId="0" xfId="0" applyNumberFormat="1" applyFont="1" applyAlignment="1">
      <alignment horizontal="center"/>
    </xf>
    <xf numFmtId="176" fontId="51" fillId="0" borderId="0" xfId="0" applyNumberFormat="1" applyFont="1" applyAlignment="1">
      <alignment horizontal="center"/>
    </xf>
    <xf numFmtId="0" fontId="52" fillId="0" borderId="0" xfId="0" applyFont="1" applyAlignment="1">
      <alignment horizontal="center" vertical="center"/>
    </xf>
    <xf numFmtId="0" fontId="53" fillId="0" borderId="0" xfId="0" applyFont="1" applyAlignment="1">
      <alignment horizontal="left" vertical="center"/>
    </xf>
    <xf numFmtId="0" fontId="22" fillId="6" borderId="39" xfId="0" applyFont="1" applyFill="1" applyBorder="1" applyAlignment="1">
      <alignment horizontal="center" vertical="center"/>
    </xf>
    <xf numFmtId="176" fontId="29" fillId="0" borderId="39" xfId="0" applyNumberFormat="1" applyFont="1" applyBorder="1" applyAlignment="1">
      <alignment horizontal="center"/>
    </xf>
    <xf numFmtId="0" fontId="50" fillId="5" borderId="0" xfId="0" applyFont="1" applyFill="1" applyAlignment="1">
      <alignment horizontal="center"/>
    </xf>
    <xf numFmtId="0" fontId="24" fillId="7" borderId="39" xfId="0" applyFont="1" applyFill="1" applyBorder="1"/>
    <xf numFmtId="0" fontId="0" fillId="0" borderId="40" xfId="0" applyBorder="1"/>
    <xf numFmtId="0" fontId="0" fillId="0" borderId="41" xfId="0" applyBorder="1"/>
    <xf numFmtId="0" fontId="0" fillId="0" borderId="0" xfId="0"/>
    <xf numFmtId="0" fontId="37" fillId="0" borderId="0" xfId="0" applyFont="1" applyAlignment="1">
      <alignment horizontal="center" vertical="center"/>
    </xf>
    <xf numFmtId="0" fontId="26" fillId="0" borderId="39" xfId="0" applyFont="1" applyBorder="1" applyAlignment="1">
      <alignment vertical="top" wrapText="1"/>
    </xf>
    <xf numFmtId="0" fontId="23" fillId="7" borderId="39" xfId="0" applyFont="1" applyFill="1" applyBorder="1" applyAlignment="1">
      <alignment vertical="center"/>
    </xf>
    <xf numFmtId="0" fontId="14" fillId="2" borderId="1" xfId="0" applyFont="1" applyFill="1" applyBorder="1" applyAlignment="1">
      <alignment horizontal="left" vertical="center" wrapText="1"/>
    </xf>
    <xf numFmtId="0" fontId="0" fillId="0" borderId="1" xfId="0" applyBorder="1"/>
    <xf numFmtId="0" fontId="4" fillId="3" borderId="38" xfId="0" applyFont="1" applyFill="1" applyBorder="1" applyAlignment="1">
      <alignment horizontal="center" vertical="center"/>
    </xf>
    <xf numFmtId="0" fontId="0" fillId="0" borderId="11" xfId="0" applyBorder="1"/>
  </cellXfs>
  <cellStyles count="6">
    <cellStyle name="Standard 2" xfId="1" xr:uid="{00000000-0005-0000-0000-000001000000}"/>
    <cellStyle name="百分比" xfId="5" builtinId="5"/>
    <cellStyle name="百分比 2" xfId="4" xr:uid="{00000000-0005-0000-0000-000004000000}"/>
    <cellStyle name="常规" xfId="0" builtinId="0"/>
    <cellStyle name="常规 2" xfId="3" xr:uid="{00000000-0005-0000-0000-000003000000}"/>
    <cellStyle name="常规 3" xfId="2" xr:uid="{00000000-0005-0000-0000-000002000000}"/>
  </cellStyles>
  <dxfs count="748">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patternType="solid">
          <fgColor rgb="FFFAD7C0"/>
          <bgColor rgb="FFFAD7C0"/>
        </patternFill>
      </fill>
    </dxf>
    <dxf>
      <fill>
        <patternFill patternType="solid">
          <fgColor rgb="FFF5A3A3"/>
          <bgColor rgb="FFF5A3A3"/>
        </patternFill>
      </fill>
    </dxf>
    <dxf>
      <fill>
        <patternFill patternType="solid">
          <fgColor rgb="FFF9E79F"/>
          <bgColor rgb="FFF9E79F"/>
        </patternFill>
      </fill>
    </dxf>
    <dxf>
      <fill>
        <patternFill patternType="solid">
          <fgColor rgb="FFF7F3A1"/>
          <bgColor rgb="FFF7F3A1"/>
        </patternFill>
      </fill>
    </dxf>
    <dxf>
      <fill>
        <patternFill patternType="solid">
          <fgColor rgb="FFC2E9C5"/>
          <bgColor rgb="FFC2E9C5"/>
        </patternFill>
      </fill>
    </dxf>
    <dxf>
      <fill>
        <patternFill patternType="solid">
          <fgColor rgb="FFA8E6A3"/>
          <bgColor rgb="FFA8E6A3"/>
        </patternFill>
      </fill>
    </dxf>
    <dxf>
      <fill>
        <patternFill>
          <bgColor rgb="FFFFFF00"/>
        </patternFill>
      </fill>
    </dxf>
    <dxf>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387277840293569"/>
          <c:y val="9.4020601284681149E-2"/>
          <c:w val="0.40279536746397088"/>
          <c:h val="0.78876118693598141"/>
        </c:manualLayout>
      </c:layout>
      <c:radarChart>
        <c:radarStyle val="marker"/>
        <c:varyColors val="0"/>
        <c:ser>
          <c:idx val="0"/>
          <c:order val="0"/>
          <c:tx>
            <c:strRef>
              <c:f>'Radar chart'!$D$2</c:f>
              <c:strCache>
                <c:ptCount val="1"/>
                <c:pt idx="0">
                  <c:v>Percent (real)</c:v>
                </c:pt>
              </c:strCache>
            </c:strRef>
          </c:tx>
          <c:spPr>
            <a:ln w="63500">
              <a:solidFill>
                <a:schemeClr val="bg2">
                  <a:lumMod val="50000"/>
                </a:schemeClr>
              </a:solidFill>
              <a:prstDash val="solid"/>
            </a:ln>
          </c:spPr>
          <c:marker>
            <c:symbol val="none"/>
          </c:marker>
          <c:cat>
            <c:strRef>
              <c:f>'Radar chart'!$B$3:$B$9</c:f>
              <c:strCache>
                <c:ptCount val="7"/>
                <c:pt idx="0">
                  <c:v>Process element 1:
Project management/strategy</c:v>
                </c:pt>
                <c:pt idx="1">
                  <c:v>Process element 2:
Planning of logistical processes</c:v>
                </c:pt>
                <c:pt idx="2">
                  <c:v>Process element 3:
Supplier and service provider management</c:v>
                </c:pt>
                <c:pt idx="3">
                  <c:v>Process element 4:
Procurement logistics</c:v>
                </c:pt>
                <c:pt idx="4">
                  <c:v>Process element 5:
Transport logistics</c:v>
                </c:pt>
                <c:pt idx="5">
                  <c:v>Process element 6:
In-house logistics</c:v>
                </c:pt>
                <c:pt idx="6">
                  <c:v>Process element 7:
Customer management</c:v>
                </c:pt>
              </c:strCache>
            </c:strRef>
          </c:cat>
          <c:val>
            <c:numRef>
              <c:f>'Radar chart'!$D$3:$D$9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1CE-48CA-873C-F648F9D80A62}"/>
            </c:ext>
          </c:extLst>
        </c:ser>
        <c:ser>
          <c:idx val="1"/>
          <c:order val="1"/>
          <c:tx>
            <c:strRef>
              <c:f>'Radar chart'!$F$3:$F$9</c:f>
              <c:strCache>
                <c:ptCount val="7"/>
                <c:pt idx="0">
                  <c:v>80%</c:v>
                </c:pt>
                <c:pt idx="1">
                  <c:v>80%</c:v>
                </c:pt>
                <c:pt idx="2">
                  <c:v>80%</c:v>
                </c:pt>
                <c:pt idx="3">
                  <c:v>80%</c:v>
                </c:pt>
                <c:pt idx="4">
                  <c:v>80%</c:v>
                </c:pt>
                <c:pt idx="5">
                  <c:v>80%</c:v>
                </c:pt>
                <c:pt idx="6">
                  <c:v>80%</c:v>
                </c:pt>
              </c:strCache>
            </c:strRef>
          </c:tx>
          <c:spPr>
            <a:ln w="63500" cap="rnd">
              <a:solidFill>
                <a:srgbClr val="FF2F61"/>
              </a:solidFill>
              <a:prstDash val="solid"/>
              <a:round/>
            </a:ln>
          </c:spPr>
          <c:marker>
            <c:symbol val="none"/>
          </c:marker>
          <c:val>
            <c:numRef>
              <c:f>'Radar chart'!$F$3:$F$9</c:f>
              <c:numCache>
                <c:formatCode>0%</c:formatCode>
                <c:ptCount val="7"/>
                <c:pt idx="0">
                  <c:v>0.8</c:v>
                </c:pt>
                <c:pt idx="1">
                  <c:v>0.8</c:v>
                </c:pt>
                <c:pt idx="2">
                  <c:v>0.8</c:v>
                </c:pt>
                <c:pt idx="3">
                  <c:v>0.8</c:v>
                </c:pt>
                <c:pt idx="4">
                  <c:v>0.8</c:v>
                </c:pt>
                <c:pt idx="5">
                  <c:v>0.8</c:v>
                </c:pt>
                <c:pt idx="6">
                  <c:v>0.8</c:v>
                </c:pt>
              </c:numCache>
            </c:numRef>
          </c:val>
          <c:extLst>
            <c:ext xmlns:c16="http://schemas.microsoft.com/office/drawing/2014/chart" uri="{C3380CC4-5D6E-409C-BE32-E72D297353CC}">
              <c16:uniqueId val="{00000001-21CE-48CA-873C-F648F9D80A62}"/>
            </c:ext>
          </c:extLst>
        </c:ser>
        <c:ser>
          <c:idx val="2"/>
          <c:order val="2"/>
          <c:spPr>
            <a:ln w="38100">
              <a:solidFill>
                <a:srgbClr val="D31717"/>
              </a:solidFill>
              <a:prstDash val="solid"/>
            </a:ln>
          </c:spPr>
          <c:marker>
            <c:symbol val="none"/>
          </c:marker>
          <c:val>
            <c:numRef>
              <c:f>'Radar chart'!$E$3:$E$9</c:f>
              <c:numCache>
                <c:formatCode>0%</c:formatCode>
                <c:ptCount val="7"/>
                <c:pt idx="0">
                  <c:v>0.7</c:v>
                </c:pt>
                <c:pt idx="1">
                  <c:v>0.7</c:v>
                </c:pt>
                <c:pt idx="2">
                  <c:v>0.7</c:v>
                </c:pt>
                <c:pt idx="3">
                  <c:v>0.7</c:v>
                </c:pt>
                <c:pt idx="4">
                  <c:v>0.7</c:v>
                </c:pt>
                <c:pt idx="5">
                  <c:v>0.7</c:v>
                </c:pt>
                <c:pt idx="6">
                  <c:v>0.7</c:v>
                </c:pt>
              </c:numCache>
            </c:numRef>
          </c:val>
          <c:extLst>
            <c:ext xmlns:c16="http://schemas.microsoft.com/office/drawing/2014/chart" uri="{C3380CC4-5D6E-409C-BE32-E72D297353CC}">
              <c16:uniqueId val="{00000002-21CE-48CA-873C-F648F9D80A62}"/>
            </c:ext>
          </c:extLst>
        </c:ser>
        <c:dLbls>
          <c:showLegendKey val="0"/>
          <c:showVal val="0"/>
          <c:showCatName val="0"/>
          <c:showSerName val="0"/>
          <c:showPercent val="0"/>
          <c:showBubbleSize val="0"/>
        </c:dLbls>
        <c:axId val="736339216"/>
        <c:axId val="736335280"/>
      </c:radarChart>
      <c:catAx>
        <c:axId val="73633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1" i="0" strike="noStrike" kern="1200" baseline="0">
                <a:solidFill>
                  <a:sysClr val="windowText" lastClr="000000"/>
                </a:solidFill>
                <a:latin typeface="Audi Type" panose="020B0503040202060203" pitchFamily="34" charset="0"/>
                <a:ea typeface="+mn-ea"/>
                <a:cs typeface="Audi Type" panose="020B0503040202060203" pitchFamily="34" charset="0"/>
              </a:defRPr>
            </a:pPr>
            <a:endParaRPr lang="zh-CN"/>
          </a:p>
        </c:txPr>
        <c:crossAx val="736335280"/>
        <c:crosses val="autoZero"/>
        <c:auto val="1"/>
        <c:lblAlgn val="ctr"/>
        <c:lblOffset val="100"/>
        <c:noMultiLvlLbl val="0"/>
      </c:catAx>
      <c:valAx>
        <c:axId val="736335280"/>
        <c:scaling>
          <c:orientation val="minMax"/>
          <c:max val="1"/>
        </c:scaling>
        <c:delete val="1"/>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crossAx val="736339216"/>
        <c:crosses val="autoZero"/>
        <c:crossBetween val="between"/>
        <c:majorUnit val="0.2"/>
      </c:valAx>
    </c:plotArea>
    <c:plotVisOnly val="1"/>
    <c:dispBlanksAs val="gap"/>
    <c:showDLblsOverMax val="1"/>
  </c:chart>
  <c:spPr>
    <a:solidFill>
      <a:schemeClr val="bg1"/>
    </a:solidFill>
    <a:ln w="25400" cap="flat" cmpd="sng" algn="ctr">
      <a:solidFill>
        <a:schemeClr val="tx1"/>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3</xdr:row>
          <xdr:rowOff>215900</xdr:rowOff>
        </xdr:from>
        <xdr:to>
          <xdr:col>8</xdr:col>
          <xdr:colOff>660400</xdr:colOff>
          <xdr:row>7</xdr:row>
          <xdr:rowOff>114300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0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Save result as pdf and LOP as excel</a:t>
              </a:r>
            </a:p>
            <a:p>
              <a:pPr algn="ctr" rtl="0">
                <a:defRPr sz="1000"/>
              </a:pPr>
              <a:r>
                <a:rPr lang="zh-CN" altLang="en-US" sz="1200" b="0" i="0" u="none" strike="noStrike" baseline="0">
                  <a:solidFill>
                    <a:srgbClr val="000000"/>
                  </a:solidFill>
                  <a:latin typeface="Porsche Next TT" charset="0"/>
                </a:rPr>
                <a:t>for supplier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3</xdr:row>
          <xdr:rowOff>254000</xdr:rowOff>
        </xdr:from>
        <xdr:to>
          <xdr:col>8</xdr:col>
          <xdr:colOff>673100</xdr:colOff>
          <xdr:row>7</xdr:row>
          <xdr:rowOff>152400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0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Save result as pdf and LOP as excel</a:t>
              </a:r>
            </a:p>
            <a:p>
              <a:pPr algn="ctr" rtl="0">
                <a:defRPr sz="1000"/>
              </a:pPr>
              <a:r>
                <a:rPr lang="zh-CN" altLang="en-US" sz="1200" b="0" i="0" u="none" strike="noStrike" baseline="0">
                  <a:solidFill>
                    <a:srgbClr val="000000"/>
                  </a:solidFill>
                  <a:latin typeface="Porsche Next TT" charset="0"/>
                </a:rPr>
                <a:t>for supplier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54430</xdr:colOff>
      <xdr:row>1</xdr:row>
      <xdr:rowOff>132896</xdr:rowOff>
    </xdr:from>
    <xdr:to>
      <xdr:col>8</xdr:col>
      <xdr:colOff>816429</xdr:colOff>
      <xdr:row>1</xdr:row>
      <xdr:rowOff>4572000</xdr:rowOff>
    </xdr:to>
    <xdr:graphicFrame macro="">
      <xdr:nvGraphicFramePr>
        <xdr:cNvPr id="2" name="Chart 1">
          <a:extLst>
            <a:ext uri="{FF2B5EF4-FFF2-40B4-BE49-F238E27FC236}">
              <a16:creationId xmlns:a16="http://schemas.microsoft.com/office/drawing/2014/main" id="{37CD7AE6-0028-4BF3-B1B8-F328B5BD5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3</xdr:row>
          <xdr:rowOff>190500</xdr:rowOff>
        </xdr:from>
        <xdr:to>
          <xdr:col>12</xdr:col>
          <xdr:colOff>952500</xdr:colOff>
          <xdr:row>6</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Create LOP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coveredExternalLink2"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coveredExternalLink3"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24037;&#20316;&#36816;&#34892;%20Working%20running/Template/Audit%20templates/On-site%20Audit/Audit_Vorlage_ENG_2019-06-19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Datasheet"/>
      <sheetName val="Evaluationsheet"/>
      <sheetName val="LOPs"/>
      <sheetName val="Remarks"/>
      <sheetName val="L1 - Project management"/>
      <sheetName val="L2 - Planning"/>
      <sheetName val="L3 - Suppliermgt."/>
      <sheetName val="L4 - Procurement logistics"/>
      <sheetName val="L5 - Transport logistics"/>
      <sheetName val="L6 -  In-house logistics"/>
      <sheetName val="L7 - Customer management"/>
      <sheetName val="Radar chart"/>
      <sheetName val="LOP"/>
    </sheetNames>
    <sheetDataSet>
      <sheetData sheetId="0">
        <row r="60">
          <cell r="B60" t="str">
            <v>met in full</v>
          </cell>
        </row>
        <row r="61">
          <cell r="B61" t="str">
            <v>predominantly met</v>
          </cell>
        </row>
        <row r="62">
          <cell r="B62" t="str">
            <v>partially met</v>
          </cell>
        </row>
        <row r="63">
          <cell r="B63" t="str">
            <v>insufficiently met</v>
          </cell>
        </row>
        <row r="64">
          <cell r="B64" t="str">
            <v>not met</v>
          </cell>
        </row>
        <row r="65">
          <cell r="B65" t="str">
            <v>not evaluated</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heet"/>
      <sheetName val="Radar chart"/>
      <sheetName val="Evaluationsheet"/>
      <sheetName val="Datenquelle"/>
      <sheetName val="Remarks"/>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LOP"/>
      <sheetName val="Text"/>
    </sheetNames>
    <sheetDataSet>
      <sheetData sheetId="0">
        <row r="11">
          <cell r="L11">
            <v>2</v>
          </cell>
        </row>
      </sheetData>
      <sheetData sheetId="1" refreshError="1"/>
      <sheetData sheetId="2">
        <row r="17">
          <cell r="C17">
            <v>0</v>
          </cell>
        </row>
      </sheetData>
      <sheetData sheetId="3">
        <row r="5">
          <cell r="G5">
            <v>0</v>
          </cell>
          <cell r="L5">
            <v>0</v>
          </cell>
          <cell r="Q5">
            <v>0</v>
          </cell>
          <cell r="V5">
            <v>0</v>
          </cell>
          <cell r="AA5">
            <v>0</v>
          </cell>
          <cell r="AF5">
            <v>0</v>
          </cell>
          <cell r="AK5">
            <v>0</v>
          </cell>
          <cell r="AP5">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heet"/>
      <sheetName val="Evaluationsheet"/>
      <sheetName val="Datenquelle"/>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Remarks"/>
      <sheetName val="LOP"/>
      <sheetName val="Text"/>
    </sheetNames>
    <sheetDataSet>
      <sheetData sheetId="0"/>
      <sheetData sheetId="1"/>
      <sheetData sheetId="2">
        <row r="5">
          <cell r="G5">
            <v>0</v>
          </cell>
          <cell r="L5">
            <v>0</v>
          </cell>
          <cell r="Q5">
            <v>0</v>
          </cell>
          <cell r="V5">
            <v>0</v>
          </cell>
          <cell r="AA5">
            <v>0</v>
          </cell>
          <cell r="AF5">
            <v>0</v>
          </cell>
          <cell r="AK5">
            <v>0</v>
          </cell>
          <cell r="AP5">
            <v>0</v>
          </cell>
        </row>
      </sheetData>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806F3-41B2-E544-B61C-23B8E298840A}">
  <sheetPr codeName="Tabelle9">
    <pageSetUpPr fitToPage="1"/>
  </sheetPr>
  <dimension ref="A1:F48"/>
  <sheetViews>
    <sheetView zoomScale="90" zoomScaleNormal="90" zoomScalePageLayoutView="50" workbookViewId="0">
      <selection activeCell="R42" sqref="R42"/>
    </sheetView>
  </sheetViews>
  <sheetFormatPr baseColWidth="10" defaultColWidth="11.5" defaultRowHeight="16"/>
  <cols>
    <col min="1" max="1" width="3" style="41" customWidth="1"/>
    <col min="2" max="2" width="26.5" style="95" customWidth="1"/>
    <col min="3" max="3" width="51.1640625" style="95" customWidth="1"/>
    <col min="4" max="4" width="6.1640625" style="95" customWidth="1"/>
    <col min="5" max="5" width="12.83203125" style="95" customWidth="1"/>
    <col min="6" max="6" width="4.5" style="95" customWidth="1"/>
    <col min="7" max="8" width="11.5" style="41" customWidth="1"/>
    <col min="9" max="16384" width="11.5" style="41"/>
  </cols>
  <sheetData>
    <row r="1" spans="1:6" ht="24.75" customHeight="1">
      <c r="A1" s="142" t="s">
        <v>29</v>
      </c>
      <c r="B1" s="143"/>
      <c r="C1" s="143"/>
      <c r="D1" s="143"/>
      <c r="E1" s="143"/>
      <c r="F1" s="144"/>
    </row>
    <row r="2" spans="1:6" ht="19.25" customHeight="1">
      <c r="A2" s="145"/>
      <c r="B2" s="146"/>
      <c r="C2" s="146"/>
      <c r="D2" s="146"/>
      <c r="E2" s="146"/>
      <c r="F2" s="147"/>
    </row>
    <row r="3" spans="1:6">
      <c r="A3" s="72"/>
      <c r="F3" s="96"/>
    </row>
    <row r="4" spans="1:6" ht="21" customHeight="1">
      <c r="A4" s="42"/>
      <c r="B4" s="97" t="s">
        <v>30</v>
      </c>
      <c r="F4" s="96"/>
    </row>
    <row r="5" spans="1:6" ht="11.5" customHeight="1">
      <c r="A5" s="42"/>
      <c r="B5" s="98" t="s">
        <v>31</v>
      </c>
      <c r="C5" s="99"/>
      <c r="F5" s="96"/>
    </row>
    <row r="6" spans="1:6">
      <c r="A6" s="42"/>
      <c r="B6" s="124" t="s">
        <v>32</v>
      </c>
      <c r="C6" s="100">
        <v>46023</v>
      </c>
      <c r="F6" s="96"/>
    </row>
    <row r="7" spans="1:6" ht="10.25" customHeight="1">
      <c r="A7" s="42"/>
      <c r="B7" s="124"/>
      <c r="F7" s="96"/>
    </row>
    <row r="8" spans="1:6" ht="23.25" customHeight="1">
      <c r="A8" s="42"/>
      <c r="B8" s="124" t="s">
        <v>33</v>
      </c>
      <c r="C8" s="101" t="s">
        <v>34</v>
      </c>
      <c r="F8" s="96"/>
    </row>
    <row r="9" spans="1:6" ht="12" customHeight="1">
      <c r="A9" s="42"/>
      <c r="B9" s="124"/>
      <c r="F9" s="96"/>
    </row>
    <row r="10" spans="1:6" hidden="1">
      <c r="A10" s="42"/>
      <c r="B10" s="124" t="s">
        <v>35</v>
      </c>
      <c r="C10" s="102"/>
      <c r="F10" s="96"/>
    </row>
    <row r="11" spans="1:6" hidden="1">
      <c r="A11" s="42"/>
      <c r="B11" s="124" t="s">
        <v>36</v>
      </c>
      <c r="C11" s="103"/>
      <c r="F11" s="96"/>
    </row>
    <row r="12" spans="1:6" hidden="1">
      <c r="A12" s="42"/>
      <c r="B12" s="124" t="s">
        <v>37</v>
      </c>
      <c r="C12" s="104"/>
      <c r="F12" s="96"/>
    </row>
    <row r="13" spans="1:6" hidden="1">
      <c r="A13" s="42"/>
      <c r="B13" s="124"/>
      <c r="F13" s="96"/>
    </row>
    <row r="14" spans="1:6">
      <c r="A14" s="42"/>
      <c r="B14" s="124" t="s">
        <v>652</v>
      </c>
      <c r="C14" s="104"/>
      <c r="F14" s="96"/>
    </row>
    <row r="15" spans="1:6">
      <c r="A15" s="42"/>
      <c r="B15" s="108"/>
      <c r="F15" s="96"/>
    </row>
    <row r="16" spans="1:6" ht="50" customHeight="1">
      <c r="A16" s="42"/>
      <c r="B16" s="108" t="s">
        <v>38</v>
      </c>
      <c r="C16" s="102"/>
      <c r="F16" s="96"/>
    </row>
    <row r="17" spans="1:6" hidden="1">
      <c r="A17" s="42"/>
      <c r="B17" s="108" t="s">
        <v>39</v>
      </c>
      <c r="C17" s="102"/>
      <c r="F17" s="96"/>
    </row>
    <row r="18" spans="1:6" ht="24.5" customHeight="1">
      <c r="A18" s="42"/>
      <c r="B18" s="108" t="s">
        <v>40</v>
      </c>
      <c r="C18" s="104"/>
      <c r="F18" s="96"/>
    </row>
    <row r="19" spans="1:6">
      <c r="A19" s="42"/>
      <c r="B19" s="108"/>
      <c r="F19" s="96"/>
    </row>
    <row r="20" spans="1:6" ht="18.5" customHeight="1">
      <c r="A20" s="42"/>
      <c r="B20" s="108" t="s">
        <v>41</v>
      </c>
      <c r="C20" s="104"/>
      <c r="F20" s="96"/>
    </row>
    <row r="21" spans="1:6" ht="24" customHeight="1">
      <c r="A21" s="42"/>
      <c r="B21" s="108" t="s">
        <v>42</v>
      </c>
      <c r="C21" s="104"/>
      <c r="F21" s="96"/>
    </row>
    <row r="22" spans="1:6" ht="8.5" customHeight="1">
      <c r="A22" s="43"/>
      <c r="B22" s="105"/>
      <c r="C22" s="105"/>
      <c r="D22" s="105"/>
      <c r="E22" s="105"/>
      <c r="F22" s="106"/>
    </row>
    <row r="23" spans="1:6" ht="10.25" customHeight="1">
      <c r="A23" s="42"/>
      <c r="F23" s="96"/>
    </row>
    <row r="24" spans="1:6" ht="21" customHeight="1">
      <c r="A24" s="42"/>
      <c r="B24" s="97" t="s">
        <v>654</v>
      </c>
      <c r="F24" s="96"/>
    </row>
    <row r="25" spans="1:6" ht="4.25" customHeight="1">
      <c r="A25" s="42"/>
      <c r="F25" s="96"/>
    </row>
    <row r="26" spans="1:6">
      <c r="A26" s="42"/>
      <c r="F26" s="96"/>
    </row>
    <row r="27" spans="1:6">
      <c r="A27" s="42"/>
      <c r="B27" s="95" t="s">
        <v>43</v>
      </c>
      <c r="C27" s="104"/>
      <c r="E27" s="107"/>
      <c r="F27" s="96"/>
    </row>
    <row r="28" spans="1:6" ht="12" customHeight="1">
      <c r="A28" s="42"/>
      <c r="E28" s="148" t="str">
        <f>Evaluationsheet!E18</f>
        <v>n.e.</v>
      </c>
      <c r="F28" s="96"/>
    </row>
    <row r="29" spans="1:6" ht="27" customHeight="1">
      <c r="A29" s="42"/>
      <c r="B29" s="108" t="s">
        <v>44</v>
      </c>
      <c r="C29" s="109"/>
      <c r="E29" s="149"/>
      <c r="F29" s="96"/>
    </row>
    <row r="30" spans="1:6" ht="17.5" customHeight="1">
      <c r="A30" s="42"/>
      <c r="E30" s="110" t="str">
        <f>IF(E28="No result!","",IF(OR(Source!B44="Downgrading rule applies",Source!C44="Downgrading rule applies"),"Downgrading rule applies",""))</f>
        <v/>
      </c>
      <c r="F30" s="96"/>
    </row>
    <row r="31" spans="1:6" ht="36" customHeight="1">
      <c r="A31" s="42"/>
      <c r="B31" s="123" t="s">
        <v>655</v>
      </c>
      <c r="C31" s="104"/>
      <c r="E31" s="111" t="str">
        <f>IF(OR(Source!C29="C",Source!C32="C",Source!C35="C"),"-",Source!B39)</f>
        <v>-</v>
      </c>
      <c r="F31" s="96"/>
    </row>
    <row r="32" spans="1:6">
      <c r="A32" s="43"/>
      <c r="B32" s="105"/>
      <c r="C32" s="105"/>
      <c r="D32" s="105"/>
      <c r="E32" s="105"/>
      <c r="F32" s="106"/>
    </row>
    <row r="33" spans="1:6" ht="12" customHeight="1">
      <c r="A33" s="42"/>
      <c r="F33" s="96"/>
    </row>
    <row r="34" spans="1:6" ht="21" customHeight="1">
      <c r="A34" s="42"/>
      <c r="B34" s="97" t="s">
        <v>653</v>
      </c>
      <c r="F34" s="96"/>
    </row>
    <row r="35" spans="1:6" ht="10.25" customHeight="1">
      <c r="A35" s="42"/>
      <c r="B35" s="112"/>
      <c r="F35" s="96"/>
    </row>
    <row r="36" spans="1:6">
      <c r="A36" s="42"/>
      <c r="B36" s="108" t="s">
        <v>45</v>
      </c>
      <c r="C36" s="104"/>
      <c r="F36" s="96"/>
    </row>
    <row r="37" spans="1:6" ht="6.75" customHeight="1">
      <c r="A37" s="42"/>
      <c r="B37" s="108"/>
      <c r="F37" s="96"/>
    </row>
    <row r="38" spans="1:6" ht="17" customHeight="1">
      <c r="A38" s="42"/>
      <c r="B38" s="123" t="s">
        <v>46</v>
      </c>
      <c r="C38" s="104"/>
      <c r="F38" s="96"/>
    </row>
    <row r="39" spans="1:6" ht="11.5" customHeight="1">
      <c r="A39" s="42"/>
      <c r="B39" s="108"/>
      <c r="F39" s="96"/>
    </row>
    <row r="40" spans="1:6">
      <c r="A40" s="42"/>
      <c r="B40" s="108" t="s">
        <v>47</v>
      </c>
      <c r="C40" s="104"/>
      <c r="F40" s="96"/>
    </row>
    <row r="41" spans="1:6" ht="12" customHeight="1">
      <c r="A41" s="42"/>
      <c r="B41" s="108"/>
      <c r="F41" s="96"/>
    </row>
    <row r="42" spans="1:6" ht="34" customHeight="1">
      <c r="A42" s="42"/>
      <c r="B42" s="123" t="s">
        <v>48</v>
      </c>
      <c r="C42" s="104"/>
      <c r="F42" s="96"/>
    </row>
    <row r="43" spans="1:6" ht="10.25" customHeight="1">
      <c r="A43" s="43"/>
      <c r="B43" s="105"/>
      <c r="C43" s="105"/>
      <c r="D43" s="105"/>
      <c r="E43" s="105"/>
      <c r="F43" s="106"/>
    </row>
    <row r="44" spans="1:6">
      <c r="A44" s="36"/>
      <c r="B44" s="113" t="s">
        <v>49</v>
      </c>
      <c r="C44" s="114"/>
      <c r="D44" s="114"/>
      <c r="E44" s="114"/>
      <c r="F44" s="115"/>
    </row>
    <row r="45" spans="1:6" ht="13.25" customHeight="1">
      <c r="A45" s="37"/>
      <c r="B45" s="112"/>
      <c r="C45" s="116"/>
      <c r="D45" s="116"/>
      <c r="E45" s="116"/>
      <c r="F45" s="117"/>
    </row>
    <row r="46" spans="1:6">
      <c r="A46" s="38"/>
      <c r="B46" s="108" t="s">
        <v>50</v>
      </c>
      <c r="C46" s="95" t="s">
        <v>644</v>
      </c>
      <c r="D46" s="118"/>
      <c r="E46" s="118"/>
      <c r="F46" s="119"/>
    </row>
    <row r="47" spans="1:6">
      <c r="A47" s="38"/>
      <c r="B47" s="108" t="s">
        <v>51</v>
      </c>
      <c r="C47" s="120">
        <v>46178</v>
      </c>
      <c r="D47" s="118"/>
      <c r="E47" s="118"/>
      <c r="F47" s="119"/>
    </row>
    <row r="48" spans="1:6" ht="9.75" customHeight="1">
      <c r="A48" s="43"/>
      <c r="B48" s="121"/>
      <c r="C48" s="121"/>
      <c r="D48" s="121"/>
      <c r="E48" s="121"/>
      <c r="F48" s="122"/>
    </row>
  </sheetData>
  <mergeCells count="2">
    <mergeCell ref="A1:F2"/>
    <mergeCell ref="E28:E29"/>
  </mergeCells>
  <phoneticPr fontId="20" type="noConversion"/>
  <conditionalFormatting sqref="E28">
    <cfRule type="containsText" dxfId="747" priority="1" operator="containsText" text="No result!">
      <formula>NOT(ISERROR(SEARCH("No result!",E28)))</formula>
    </cfRule>
    <cfRule type="containsText" dxfId="746" priority="3" operator="containsText" text="C">
      <formula>NOT(ISERROR(SEARCH("C",E28)))</formula>
    </cfRule>
    <cfRule type="containsText" dxfId="745" priority="4" operator="containsText" text="A">
      <formula>NOT(ISERROR(SEARCH("A",E28)))</formula>
    </cfRule>
    <cfRule type="containsText" dxfId="744" priority="7" operator="containsText" text="B">
      <formula>NOT(ISERROR(SEARCH("B",E28)))</formula>
    </cfRule>
  </conditionalFormatting>
  <pageMargins left="0.7" right="0.7" top="0.78740157499999996" bottom="0.78740157499999996" header="0.3" footer="0.3"/>
  <pageSetup scale="72" fitToHeight="0" orientation="portrait" r:id="rId1"/>
  <headerFooter>
    <oddHeader>&amp;L&amp;"Calibri"&amp;10&amp;K000000 INTERNAL&amp;1#_x000D_&amp;"Porsche Next TT"&amp;12&amp;K000000&amp;"Calibri"&amp;1 &amp;K000000 INTERNAL#_x000D_</oddHeader>
    <oddFooter>&amp;L&amp;"Calibri"&amp;10 &amp;K000000_x000D_#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Usless">
                <anchor moveWithCells="1" sizeWithCells="1">
                  <from>
                    <xdr:col>7</xdr:col>
                    <xdr:colOff>12700</xdr:colOff>
                    <xdr:row>3</xdr:row>
                    <xdr:rowOff>215900</xdr:rowOff>
                  </from>
                  <to>
                    <xdr:col>8</xdr:col>
                    <xdr:colOff>660400</xdr:colOff>
                    <xdr:row>7</xdr:row>
                    <xdr:rowOff>114300</xdr:rowOff>
                  </to>
                </anchor>
              </controlPr>
            </control>
          </mc:Choice>
        </mc:AlternateContent>
        <mc:AlternateContent xmlns:mc="http://schemas.openxmlformats.org/markup-compatibility/2006">
          <mc:Choice Requires="x14">
            <control shapeId="21506" r:id="rId5" name="Button 2">
              <controlPr defaultSize="0" print="0" autoFill="0" autoPict="0" macro="[0]!Usless">
                <anchor moveWithCells="1" sizeWithCells="1">
                  <from>
                    <xdr:col>7</xdr:col>
                    <xdr:colOff>25400</xdr:colOff>
                    <xdr:row>3</xdr:row>
                    <xdr:rowOff>254000</xdr:rowOff>
                  </from>
                  <to>
                    <xdr:col>8</xdr:col>
                    <xdr:colOff>673100</xdr:colOff>
                    <xdr:row>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E469D-13FC-5443-8C8F-45D47FA44432}">
  <sheetPr codeName="Sheet2">
    <pageSetUpPr fitToPage="1"/>
  </sheetPr>
  <dimension ref="A1:K48"/>
  <sheetViews>
    <sheetView zoomScale="120" zoomScaleNormal="120" zoomScaleSheetLayoutView="70" workbookViewId="0">
      <selection activeCell="D5" sqref="D5"/>
    </sheetView>
  </sheetViews>
  <sheetFormatPr baseColWidth="10" defaultColWidth="8.83203125" defaultRowHeight="16" outlineLevelRow="1"/>
  <cols>
    <col min="1" max="1" width="4" style="125" customWidth="1"/>
    <col min="2" max="2" width="1.6640625" style="125" customWidth="1"/>
    <col min="3" max="3" width="8.83203125" style="125"/>
    <col min="4" max="4" width="55" style="125" customWidth="1"/>
    <col min="5" max="6" width="8.83203125" style="125"/>
    <col min="7" max="7" width="7.6640625" style="125" customWidth="1"/>
    <col min="8" max="8" width="19.5" style="125" customWidth="1"/>
    <col min="9" max="9" width="10.33203125" style="125" bestFit="1" customWidth="1"/>
    <col min="10" max="10" width="3.1640625" style="125" customWidth="1"/>
  </cols>
  <sheetData>
    <row r="1" spans="3:11" ht="30" customHeight="1">
      <c r="C1" s="150" t="s">
        <v>0</v>
      </c>
      <c r="D1" s="150"/>
      <c r="E1" s="150"/>
      <c r="F1" s="150"/>
      <c r="G1" s="150"/>
      <c r="H1" s="150"/>
      <c r="I1" s="150"/>
      <c r="K1" s="73" t="s">
        <v>1</v>
      </c>
    </row>
    <row r="2" spans="3:11" ht="369" customHeight="1" outlineLevel="1">
      <c r="K2" t="s">
        <v>2</v>
      </c>
    </row>
    <row r="3" spans="3:11">
      <c r="C3" s="74" t="s">
        <v>3</v>
      </c>
      <c r="D3" s="74" t="s">
        <v>4</v>
      </c>
      <c r="E3" s="164" t="s">
        <v>5</v>
      </c>
      <c r="F3" s="164"/>
      <c r="G3" s="164"/>
      <c r="H3" s="74" t="s">
        <v>6</v>
      </c>
      <c r="I3" s="74" t="s">
        <v>7</v>
      </c>
      <c r="K3" t="s">
        <v>8</v>
      </c>
    </row>
    <row r="4" spans="3:11">
      <c r="C4" s="75" t="s">
        <v>9</v>
      </c>
      <c r="D4" s="93" t="s">
        <v>10</v>
      </c>
      <c r="E4" s="165" t="str">
        <f>'L1 - Project management'!F64</f>
        <v>n.e.</v>
      </c>
      <c r="F4" s="165"/>
      <c r="G4" s="165"/>
      <c r="H4" s="76" t="str">
        <f>'L1 - Project management'!F66</f>
        <v>n.e.</v>
      </c>
      <c r="I4" s="126">
        <v>23</v>
      </c>
      <c r="K4" t="s">
        <v>11</v>
      </c>
    </row>
    <row r="5" spans="3:11">
      <c r="C5" s="75" t="s">
        <v>12</v>
      </c>
      <c r="D5" s="93" t="s">
        <v>13</v>
      </c>
      <c r="E5" s="165" t="str">
        <f>'L2 - Logistics planning'!F66</f>
        <v>n.e.</v>
      </c>
      <c r="F5" s="165"/>
      <c r="G5" s="165"/>
      <c r="H5" s="76" t="str">
        <f>'L2 - Logistics planning'!F68</f>
        <v>n.e.</v>
      </c>
      <c r="I5" s="126">
        <v>24</v>
      </c>
      <c r="K5" t="s">
        <v>14</v>
      </c>
    </row>
    <row r="6" spans="3:11">
      <c r="C6" s="75" t="s">
        <v>15</v>
      </c>
      <c r="D6" s="93" t="s">
        <v>16</v>
      </c>
      <c r="E6" s="165" t="str">
        <f>'L3 - Suppliermgt.'!F62</f>
        <v>n.e.</v>
      </c>
      <c r="F6" s="165"/>
      <c r="G6" s="165"/>
      <c r="H6" s="76" t="str">
        <f>'L3 - Suppliermgt.'!F64</f>
        <v>n.e.</v>
      </c>
      <c r="I6" s="126">
        <v>22</v>
      </c>
    </row>
    <row r="7" spans="3:11">
      <c r="C7" s="75" t="s">
        <v>17</v>
      </c>
      <c r="D7" s="93" t="s">
        <v>18</v>
      </c>
      <c r="E7" s="165" t="str">
        <f>'L4 - Procurement logistics'!F66</f>
        <v>n.e.</v>
      </c>
      <c r="F7" s="165"/>
      <c r="G7" s="165"/>
      <c r="H7" s="76" t="str">
        <f>'L4 - Procurement logistics'!F68</f>
        <v>n.e.</v>
      </c>
      <c r="I7" s="126">
        <v>24</v>
      </c>
    </row>
    <row r="8" spans="3:11">
      <c r="C8" s="75" t="s">
        <v>19</v>
      </c>
      <c r="D8" s="93" t="s">
        <v>20</v>
      </c>
      <c r="E8" s="165" t="str">
        <f>'L5 - Transport logistics'!F64</f>
        <v>n.e.</v>
      </c>
      <c r="F8" s="165"/>
      <c r="G8" s="165"/>
      <c r="H8" s="76" t="str">
        <f>'L5 - Transport logistics'!F66</f>
        <v>n.e.</v>
      </c>
      <c r="I8" s="126">
        <v>23</v>
      </c>
    </row>
    <row r="9" spans="3:11">
      <c r="C9" s="75" t="s">
        <v>21</v>
      </c>
      <c r="D9" s="93" t="s">
        <v>22</v>
      </c>
      <c r="E9" s="165" t="str">
        <f>'L6 -  In-house logistics'!F82</f>
        <v>n.e.</v>
      </c>
      <c r="F9" s="165"/>
      <c r="G9" s="165"/>
      <c r="H9" s="76" t="str">
        <f>'L6 -  In-house logistics'!F84</f>
        <v>n.e.</v>
      </c>
      <c r="I9" s="126">
        <v>32</v>
      </c>
    </row>
    <row r="10" spans="3:11">
      <c r="C10" s="75" t="s">
        <v>23</v>
      </c>
      <c r="D10" s="93" t="s">
        <v>24</v>
      </c>
      <c r="E10" s="165" t="str">
        <f>'L7 - Customer management'!F58</f>
        <v>n.e.</v>
      </c>
      <c r="F10" s="165"/>
      <c r="G10" s="165"/>
      <c r="H10" s="76" t="str">
        <f>'L7 - Customer management'!F60</f>
        <v>n.e.</v>
      </c>
      <c r="I10" s="126">
        <v>20</v>
      </c>
    </row>
    <row r="11" spans="3:11" ht="15.5" hidden="1" customHeight="1"/>
    <row r="12" spans="3:11" ht="7" customHeight="1"/>
    <row r="13" spans="3:11">
      <c r="C13" s="166" t="s">
        <v>25</v>
      </c>
      <c r="D13" s="166"/>
      <c r="E13" s="166"/>
      <c r="F13" s="166"/>
      <c r="G13" s="166"/>
      <c r="H13" s="166"/>
      <c r="I13" s="166"/>
    </row>
    <row r="14" spans="3:11" ht="9" customHeight="1"/>
    <row r="15" spans="3:11" ht="18" customHeight="1">
      <c r="D15" s="127" t="s">
        <v>26</v>
      </c>
      <c r="E15" s="160" t="str">
        <f>Source!B38</f>
        <v>n.e.</v>
      </c>
      <c r="F15" s="160"/>
      <c r="G15" s="160"/>
    </row>
    <row r="16" spans="3:11" ht="18" customHeight="1">
      <c r="D16" s="128" t="s">
        <v>27</v>
      </c>
      <c r="E16" s="161" t="str">
        <f>Source!B39</f>
        <v>n.e.</v>
      </c>
      <c r="F16" s="161"/>
      <c r="G16" s="161"/>
    </row>
    <row r="17" spans="3:9" ht="7" customHeight="1"/>
    <row r="18" spans="3:9" ht="21" customHeight="1">
      <c r="C18" s="90" t="s">
        <v>645</v>
      </c>
      <c r="E18" s="162" t="str">
        <f>Source!F33</f>
        <v>n.e.</v>
      </c>
      <c r="F18" s="162"/>
      <c r="G18" s="162"/>
    </row>
    <row r="19" spans="3:9" ht="8.5" customHeight="1"/>
    <row r="20" spans="3:9" ht="25">
      <c r="C20" s="163" t="s">
        <v>646</v>
      </c>
      <c r="D20" s="163"/>
      <c r="G20" s="129"/>
      <c r="H20" s="129"/>
      <c r="I20" s="130"/>
    </row>
    <row r="21" spans="3:9" ht="19" customHeight="1">
      <c r="C21" s="151"/>
      <c r="D21" s="152"/>
      <c r="E21" s="152"/>
      <c r="F21" s="152"/>
      <c r="G21" s="152"/>
      <c r="H21" s="152"/>
      <c r="I21" s="153"/>
    </row>
    <row r="22" spans="3:9">
      <c r="C22" s="154"/>
      <c r="D22" s="155"/>
      <c r="E22" s="155"/>
      <c r="F22" s="155"/>
      <c r="G22" s="155"/>
      <c r="H22" s="155"/>
      <c r="I22" s="156"/>
    </row>
    <row r="23" spans="3:9">
      <c r="C23" s="154"/>
      <c r="D23" s="155"/>
      <c r="E23" s="155"/>
      <c r="F23" s="155"/>
      <c r="G23" s="155"/>
      <c r="H23" s="155"/>
      <c r="I23" s="156"/>
    </row>
    <row r="24" spans="3:9">
      <c r="C24" s="154"/>
      <c r="D24" s="155"/>
      <c r="E24" s="155"/>
      <c r="F24" s="155"/>
      <c r="G24" s="155"/>
      <c r="H24" s="155"/>
      <c r="I24" s="156"/>
    </row>
    <row r="25" spans="3:9">
      <c r="C25" s="154"/>
      <c r="D25" s="155"/>
      <c r="E25" s="155"/>
      <c r="F25" s="155"/>
      <c r="G25" s="155"/>
      <c r="H25" s="155"/>
      <c r="I25" s="156"/>
    </row>
    <row r="26" spans="3:9">
      <c r="C26" s="154"/>
      <c r="D26" s="155"/>
      <c r="E26" s="155"/>
      <c r="F26" s="155"/>
      <c r="G26" s="155"/>
      <c r="H26" s="155"/>
      <c r="I26" s="156"/>
    </row>
    <row r="27" spans="3:9">
      <c r="C27" s="154"/>
      <c r="D27" s="155"/>
      <c r="E27" s="155"/>
      <c r="F27" s="155"/>
      <c r="G27" s="155"/>
      <c r="H27" s="155"/>
      <c r="I27" s="156"/>
    </row>
    <row r="28" spans="3:9">
      <c r="C28" s="154"/>
      <c r="D28" s="155"/>
      <c r="E28" s="155"/>
      <c r="F28" s="155"/>
      <c r="G28" s="155"/>
      <c r="H28" s="155"/>
      <c r="I28" s="156"/>
    </row>
    <row r="29" spans="3:9">
      <c r="C29" s="154"/>
      <c r="D29" s="155"/>
      <c r="E29" s="155"/>
      <c r="F29" s="155"/>
      <c r="G29" s="155"/>
      <c r="H29" s="155"/>
      <c r="I29" s="156"/>
    </row>
    <row r="30" spans="3:9">
      <c r="C30" s="154"/>
      <c r="D30" s="155"/>
      <c r="E30" s="155"/>
      <c r="F30" s="155"/>
      <c r="G30" s="155"/>
      <c r="H30" s="155"/>
      <c r="I30" s="156"/>
    </row>
    <row r="31" spans="3:9">
      <c r="C31" s="154"/>
      <c r="D31" s="155"/>
      <c r="E31" s="155"/>
      <c r="F31" s="155"/>
      <c r="G31" s="155"/>
      <c r="H31" s="155"/>
      <c r="I31" s="156"/>
    </row>
    <row r="32" spans="3:9">
      <c r="C32" s="154"/>
      <c r="D32" s="155"/>
      <c r="E32" s="155"/>
      <c r="F32" s="155"/>
      <c r="G32" s="155"/>
      <c r="H32" s="155"/>
      <c r="I32" s="156"/>
    </row>
    <row r="33" spans="3:9">
      <c r="C33" s="154"/>
      <c r="D33" s="155"/>
      <c r="E33" s="155"/>
      <c r="F33" s="155"/>
      <c r="G33" s="155"/>
      <c r="H33" s="155"/>
      <c r="I33" s="156"/>
    </row>
    <row r="34" spans="3:9">
      <c r="C34" s="154"/>
      <c r="D34" s="155"/>
      <c r="E34" s="155"/>
      <c r="F34" s="155"/>
      <c r="G34" s="155"/>
      <c r="H34" s="155"/>
      <c r="I34" s="156"/>
    </row>
    <row r="35" spans="3:9">
      <c r="C35" s="154"/>
      <c r="D35" s="155"/>
      <c r="E35" s="155"/>
      <c r="F35" s="155"/>
      <c r="G35" s="155"/>
      <c r="H35" s="155"/>
      <c r="I35" s="156"/>
    </row>
    <row r="36" spans="3:9">
      <c r="C36" s="154"/>
      <c r="D36" s="155"/>
      <c r="E36" s="155"/>
      <c r="F36" s="155"/>
      <c r="G36" s="155"/>
      <c r="H36" s="155"/>
      <c r="I36" s="156"/>
    </row>
    <row r="37" spans="3:9">
      <c r="C37" s="154"/>
      <c r="D37" s="155"/>
      <c r="E37" s="155"/>
      <c r="F37" s="155"/>
      <c r="G37" s="155"/>
      <c r="H37" s="155"/>
      <c r="I37" s="156"/>
    </row>
    <row r="38" spans="3:9">
      <c r="C38" s="154"/>
      <c r="D38" s="155"/>
      <c r="E38" s="155"/>
      <c r="F38" s="155"/>
      <c r="G38" s="155"/>
      <c r="H38" s="155"/>
      <c r="I38" s="156"/>
    </row>
    <row r="39" spans="3:9">
      <c r="C39" s="154"/>
      <c r="D39" s="155"/>
      <c r="E39" s="155"/>
      <c r="F39" s="155"/>
      <c r="G39" s="155"/>
      <c r="H39" s="155"/>
      <c r="I39" s="156"/>
    </row>
    <row r="40" spans="3:9">
      <c r="C40" s="154"/>
      <c r="D40" s="155"/>
      <c r="E40" s="155"/>
      <c r="F40" s="155"/>
      <c r="G40" s="155"/>
      <c r="H40" s="155"/>
      <c r="I40" s="156"/>
    </row>
    <row r="41" spans="3:9">
      <c r="C41" s="157"/>
      <c r="D41" s="158"/>
      <c r="E41" s="158"/>
      <c r="F41" s="158"/>
      <c r="G41" s="158"/>
      <c r="H41" s="158"/>
      <c r="I41" s="159"/>
    </row>
    <row r="42" spans="3:9" ht="7" customHeight="1"/>
    <row r="43" spans="3:9">
      <c r="C43" s="131"/>
      <c r="D43" s="132"/>
      <c r="E43" s="132"/>
      <c r="F43" s="132"/>
      <c r="G43" s="132"/>
      <c r="H43" s="132"/>
      <c r="I43" s="133"/>
    </row>
    <row r="44" spans="3:9">
      <c r="C44" s="134"/>
      <c r="D44" s="135" t="s">
        <v>647</v>
      </c>
      <c r="E44" s="95"/>
      <c r="F44" s="95"/>
      <c r="G44" s="95"/>
      <c r="H44" s="95"/>
      <c r="I44" s="96"/>
    </row>
    <row r="45" spans="3:9">
      <c r="C45" s="134"/>
      <c r="D45" s="136" t="s">
        <v>648</v>
      </c>
      <c r="E45" s="95"/>
      <c r="F45" s="95"/>
      <c r="G45" s="137"/>
      <c r="H45" s="138">
        <v>0.9</v>
      </c>
      <c r="I45" s="96"/>
    </row>
    <row r="46" spans="3:9">
      <c r="C46" s="134"/>
      <c r="D46" s="136" t="s">
        <v>649</v>
      </c>
      <c r="E46" s="95"/>
      <c r="F46" s="95"/>
      <c r="G46" s="139" t="s">
        <v>651</v>
      </c>
      <c r="H46" s="138">
        <v>0.8</v>
      </c>
      <c r="I46" s="96"/>
    </row>
    <row r="47" spans="3:9">
      <c r="C47" s="134"/>
      <c r="D47" s="136" t="s">
        <v>650</v>
      </c>
      <c r="E47" s="95"/>
      <c r="F47" s="95"/>
      <c r="G47" s="137"/>
      <c r="H47" s="138">
        <v>0.8</v>
      </c>
      <c r="I47" s="96"/>
    </row>
    <row r="48" spans="3:9">
      <c r="C48" s="140"/>
      <c r="D48" s="105"/>
      <c r="E48" s="105"/>
      <c r="F48" s="105"/>
      <c r="G48" s="105"/>
      <c r="H48" s="141"/>
      <c r="I48" s="106"/>
    </row>
  </sheetData>
  <mergeCells count="15">
    <mergeCell ref="C1:I1"/>
    <mergeCell ref="C21:I41"/>
    <mergeCell ref="E15:G15"/>
    <mergeCell ref="E16:G16"/>
    <mergeCell ref="E18:G18"/>
    <mergeCell ref="C20:D20"/>
    <mergeCell ref="E3:G3"/>
    <mergeCell ref="E4:G4"/>
    <mergeCell ref="E5:G5"/>
    <mergeCell ref="E6:G6"/>
    <mergeCell ref="E7:G7"/>
    <mergeCell ref="E8:G8"/>
    <mergeCell ref="E9:G9"/>
    <mergeCell ref="E10:G10"/>
    <mergeCell ref="C13:I13"/>
  </mergeCells>
  <phoneticPr fontId="20" type="noConversion"/>
  <pageMargins left="0.7" right="0.7" top="0.75" bottom="0.75" header="0.3" footer="0.3"/>
  <pageSetup paperSize="9" scale="57" fitToHeight="0" orientation="portrait" r:id="rId1"/>
  <headerFooter>
    <oddHeader>&amp;L&amp;"Calibri"&amp;10&amp;K000000 INTERNAL&amp;1#_x000D_</oddHeader>
  </headerFooter>
  <colBreaks count="1" manualBreakCount="1">
    <brk id="10" max="20"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6C3F-A508-0549-9E94-5C3654330EF4}">
  <sheetPr codeName="Sheet3"/>
  <dimension ref="A1:H178"/>
  <sheetViews>
    <sheetView topLeftCell="A16" zoomScale="130" zoomScaleNormal="130" workbookViewId="0">
      <selection activeCell="D12" sqref="D1:D1048576"/>
    </sheetView>
  </sheetViews>
  <sheetFormatPr baseColWidth="10" defaultColWidth="8.83203125" defaultRowHeight="16"/>
  <cols>
    <col min="1" max="1" width="2" customWidth="1"/>
    <col min="2" max="3" width="8" customWidth="1"/>
    <col min="4" max="4" width="4" customWidth="1"/>
    <col min="5" max="5" width="70" customWidth="1"/>
    <col min="6" max="6" width="12" customWidth="1"/>
    <col min="7" max="7" width="40" customWidth="1"/>
    <col min="8" max="8" width="5" customWidth="1"/>
  </cols>
  <sheetData>
    <row r="1" spans="1:8" ht="30" customHeight="1">
      <c r="A1" s="150" t="s">
        <v>52</v>
      </c>
      <c r="B1" s="170"/>
      <c r="C1" s="170"/>
      <c r="D1" s="170"/>
      <c r="E1" s="170"/>
      <c r="F1" s="170"/>
      <c r="G1" s="170"/>
      <c r="H1" s="170"/>
    </row>
    <row r="3" spans="1:8">
      <c r="B3" s="74" t="s">
        <v>3</v>
      </c>
      <c r="C3" s="74" t="s">
        <v>53</v>
      </c>
      <c r="D3" s="74"/>
      <c r="E3" s="74" t="s">
        <v>54</v>
      </c>
      <c r="F3" s="74" t="s">
        <v>55</v>
      </c>
      <c r="G3" s="74" t="s">
        <v>28</v>
      </c>
      <c r="H3" s="74" t="s">
        <v>56</v>
      </c>
    </row>
    <row r="4" spans="1:8">
      <c r="B4" s="167" t="s">
        <v>57</v>
      </c>
      <c r="C4" s="168"/>
      <c r="D4" s="168"/>
      <c r="E4" s="168"/>
      <c r="F4" s="168"/>
      <c r="G4" s="169"/>
      <c r="H4" s="77"/>
    </row>
    <row r="5" spans="1:8">
      <c r="B5" s="78" t="s">
        <v>58</v>
      </c>
      <c r="C5" s="78" t="s">
        <v>58</v>
      </c>
      <c r="D5" s="79" t="s">
        <v>59</v>
      </c>
      <c r="E5" s="80" t="s">
        <v>60</v>
      </c>
      <c r="F5" s="78" t="str">
        <f>'L1 - Project management'!F8</f>
        <v>n.e.</v>
      </c>
      <c r="G5" s="77"/>
      <c r="H5" s="81" t="s">
        <v>61</v>
      </c>
    </row>
    <row r="6" spans="1:8">
      <c r="B6" s="78" t="s">
        <v>62</v>
      </c>
      <c r="C6" s="78" t="s">
        <v>62</v>
      </c>
      <c r="D6" s="77"/>
      <c r="E6" s="80" t="s">
        <v>63</v>
      </c>
      <c r="F6" s="78" t="str">
        <f>'L1 - Project management'!F10</f>
        <v>n.e.</v>
      </c>
      <c r="G6" s="77"/>
      <c r="H6" s="81" t="s">
        <v>61</v>
      </c>
    </row>
    <row r="7" spans="1:8">
      <c r="B7" s="78" t="s">
        <v>64</v>
      </c>
      <c r="C7" s="78" t="s">
        <v>64</v>
      </c>
      <c r="D7" s="77"/>
      <c r="E7" s="80" t="s">
        <v>65</v>
      </c>
      <c r="F7" s="78" t="str">
        <f>'L1 - Project management'!F12</f>
        <v>n.e.</v>
      </c>
      <c r="G7" s="77"/>
      <c r="H7" s="81" t="s">
        <v>61</v>
      </c>
    </row>
    <row r="8" spans="1:8">
      <c r="B8" s="78" t="s">
        <v>66</v>
      </c>
      <c r="C8" s="78" t="s">
        <v>66</v>
      </c>
      <c r="D8" s="77"/>
      <c r="E8" s="80" t="s">
        <v>67</v>
      </c>
      <c r="F8" s="78" t="str">
        <f>'L1 - Project management'!F14</f>
        <v>n.e.</v>
      </c>
      <c r="G8" s="77"/>
      <c r="H8" s="81" t="s">
        <v>61</v>
      </c>
    </row>
    <row r="9" spans="1:8">
      <c r="B9" s="78" t="s">
        <v>68</v>
      </c>
      <c r="C9" s="78" t="s">
        <v>68</v>
      </c>
      <c r="D9" s="77"/>
      <c r="E9" s="80" t="s">
        <v>69</v>
      </c>
      <c r="F9" s="78" t="str">
        <f>'L1 - Project management'!F18</f>
        <v>n.e.</v>
      </c>
      <c r="G9" s="77"/>
      <c r="H9" s="81" t="s">
        <v>61</v>
      </c>
    </row>
    <row r="10" spans="1:8">
      <c r="B10" s="78" t="s">
        <v>70</v>
      </c>
      <c r="C10" s="78" t="s">
        <v>70</v>
      </c>
      <c r="D10" s="77"/>
      <c r="E10" s="80" t="s">
        <v>71</v>
      </c>
      <c r="F10" s="78" t="str">
        <f>'L1 - Project management'!F20</f>
        <v>n.e.</v>
      </c>
      <c r="G10" s="77"/>
      <c r="H10" s="81" t="s">
        <v>61</v>
      </c>
    </row>
    <row r="11" spans="1:8">
      <c r="B11" s="78" t="s">
        <v>72</v>
      </c>
      <c r="C11" s="78" t="s">
        <v>72</v>
      </c>
      <c r="D11" s="79" t="s">
        <v>59</v>
      </c>
      <c r="E11" s="80" t="s">
        <v>73</v>
      </c>
      <c r="F11" s="78" t="str">
        <f>'L1 - Project management'!F22</f>
        <v>n.e.</v>
      </c>
      <c r="G11" s="77"/>
      <c r="H11" s="81" t="s">
        <v>61</v>
      </c>
    </row>
    <row r="12" spans="1:8" ht="26" customHeight="1">
      <c r="B12" s="78" t="s">
        <v>74</v>
      </c>
      <c r="C12" s="78" t="s">
        <v>74</v>
      </c>
      <c r="D12" s="77"/>
      <c r="E12" s="80" t="s">
        <v>75</v>
      </c>
      <c r="F12" s="78" t="str">
        <f>'L1 - Project management'!F24</f>
        <v>n.e.</v>
      </c>
      <c r="G12" s="77"/>
      <c r="H12" s="81" t="s">
        <v>61</v>
      </c>
    </row>
    <row r="13" spans="1:8" ht="26" customHeight="1">
      <c r="B13" s="78" t="s">
        <v>76</v>
      </c>
      <c r="C13" s="78" t="s">
        <v>76</v>
      </c>
      <c r="D13" s="79" t="s">
        <v>59</v>
      </c>
      <c r="E13" s="80" t="s">
        <v>77</v>
      </c>
      <c r="F13" s="78" t="str">
        <f>'L1 - Project management'!F26</f>
        <v>n.e.</v>
      </c>
      <c r="G13" s="77"/>
      <c r="H13" s="81" t="s">
        <v>61</v>
      </c>
    </row>
    <row r="14" spans="1:8">
      <c r="B14" s="78" t="s">
        <v>78</v>
      </c>
      <c r="C14" s="78" t="s">
        <v>78</v>
      </c>
      <c r="D14" s="77"/>
      <c r="E14" s="80" t="s">
        <v>79</v>
      </c>
      <c r="F14" s="78" t="str">
        <f>'L1 - Project management'!F30</f>
        <v>n.e.</v>
      </c>
      <c r="G14" s="77"/>
      <c r="H14" s="81" t="s">
        <v>61</v>
      </c>
    </row>
    <row r="15" spans="1:8" ht="26" customHeight="1">
      <c r="B15" s="78" t="s">
        <v>80</v>
      </c>
      <c r="C15" s="78" t="s">
        <v>80</v>
      </c>
      <c r="D15" s="77"/>
      <c r="E15" s="80" t="s">
        <v>81</v>
      </c>
      <c r="F15" s="78" t="str">
        <f>'L1 - Project management'!F32</f>
        <v>n.e.</v>
      </c>
      <c r="G15" s="77"/>
      <c r="H15" s="81" t="s">
        <v>61</v>
      </c>
    </row>
    <row r="16" spans="1:8">
      <c r="B16" s="78" t="s">
        <v>82</v>
      </c>
      <c r="C16" s="78" t="s">
        <v>82</v>
      </c>
      <c r="D16" s="77"/>
      <c r="E16" s="80" t="s">
        <v>83</v>
      </c>
      <c r="F16" s="78" t="str">
        <f>'L1 - Project management'!F34</f>
        <v>n.e.</v>
      </c>
      <c r="G16" s="77"/>
      <c r="H16" s="81" t="s">
        <v>61</v>
      </c>
    </row>
    <row r="17" spans="2:8">
      <c r="B17" s="78" t="s">
        <v>84</v>
      </c>
      <c r="C17" s="78" t="s">
        <v>84</v>
      </c>
      <c r="D17" s="79" t="s">
        <v>59</v>
      </c>
      <c r="E17" s="80" t="s">
        <v>85</v>
      </c>
      <c r="F17" s="78" t="str">
        <f>'L1 - Project management'!F36</f>
        <v>n.e.</v>
      </c>
      <c r="G17" s="77"/>
      <c r="H17" s="81" t="s">
        <v>61</v>
      </c>
    </row>
    <row r="18" spans="2:8">
      <c r="B18" s="78" t="s">
        <v>86</v>
      </c>
      <c r="C18" s="78" t="s">
        <v>86</v>
      </c>
      <c r="D18" s="77"/>
      <c r="E18" s="80" t="s">
        <v>87</v>
      </c>
      <c r="F18" s="78" t="str">
        <f>'L1 - Project management'!F40</f>
        <v>n.e.</v>
      </c>
      <c r="G18" s="77"/>
      <c r="H18" s="81" t="s">
        <v>61</v>
      </c>
    </row>
    <row r="19" spans="2:8">
      <c r="B19" s="78" t="s">
        <v>88</v>
      </c>
      <c r="C19" s="78" t="s">
        <v>88</v>
      </c>
      <c r="D19" s="79" t="s">
        <v>59</v>
      </c>
      <c r="E19" s="80" t="s">
        <v>89</v>
      </c>
      <c r="F19" s="78" t="str">
        <f>'L1 - Project management'!F42</f>
        <v>n.e.</v>
      </c>
      <c r="G19" s="77"/>
      <c r="H19" s="81" t="s">
        <v>61</v>
      </c>
    </row>
    <row r="20" spans="2:8">
      <c r="B20" s="78" t="s">
        <v>90</v>
      </c>
      <c r="C20" s="78" t="s">
        <v>90</v>
      </c>
      <c r="D20" s="77"/>
      <c r="E20" s="80" t="s">
        <v>91</v>
      </c>
      <c r="F20" s="78" t="str">
        <f>'L1 - Project management'!F44</f>
        <v>n.e.</v>
      </c>
      <c r="G20" s="77"/>
      <c r="H20" s="81" t="s">
        <v>61</v>
      </c>
    </row>
    <row r="21" spans="2:8" ht="26" customHeight="1">
      <c r="B21" s="78" t="s">
        <v>92</v>
      </c>
      <c r="C21" s="78" t="s">
        <v>92</v>
      </c>
      <c r="D21" s="79" t="s">
        <v>59</v>
      </c>
      <c r="E21" s="80" t="s">
        <v>93</v>
      </c>
      <c r="F21" s="78" t="str">
        <f>'L1 - Project management'!F48</f>
        <v>n.e.</v>
      </c>
      <c r="G21" s="77"/>
      <c r="H21" s="81" t="s">
        <v>61</v>
      </c>
    </row>
    <row r="22" spans="2:8">
      <c r="B22" s="78" t="s">
        <v>94</v>
      </c>
      <c r="C22" s="78" t="s">
        <v>94</v>
      </c>
      <c r="D22" s="77"/>
      <c r="E22" s="80" t="s">
        <v>95</v>
      </c>
      <c r="F22" s="78" t="str">
        <f>'L1 - Project management'!F50</f>
        <v>n.e.</v>
      </c>
      <c r="G22" s="77"/>
      <c r="H22" s="81" t="s">
        <v>61</v>
      </c>
    </row>
    <row r="23" spans="2:8" ht="26" customHeight="1">
      <c r="B23" s="78" t="s">
        <v>96</v>
      </c>
      <c r="C23" s="78" t="s">
        <v>96</v>
      </c>
      <c r="D23" s="77"/>
      <c r="E23" s="80" t="s">
        <v>97</v>
      </c>
      <c r="F23" s="78" t="str">
        <f>'L1 - Project management'!F52</f>
        <v>n.e.</v>
      </c>
      <c r="G23" s="77"/>
      <c r="H23" s="81" t="s">
        <v>61</v>
      </c>
    </row>
    <row r="24" spans="2:8">
      <c r="B24" s="78" t="s">
        <v>98</v>
      </c>
      <c r="C24" s="78" t="s">
        <v>98</v>
      </c>
      <c r="D24" s="77"/>
      <c r="E24" s="80" t="s">
        <v>99</v>
      </c>
      <c r="F24" s="78" t="str">
        <f>'L1 - Project management'!F54</f>
        <v>n.e.</v>
      </c>
      <c r="G24" s="77"/>
      <c r="H24" s="81" t="s">
        <v>61</v>
      </c>
    </row>
    <row r="25" spans="2:8" ht="26" customHeight="1">
      <c r="B25" s="78" t="s">
        <v>100</v>
      </c>
      <c r="C25" s="78" t="s">
        <v>100</v>
      </c>
      <c r="D25" s="77"/>
      <c r="E25" s="80" t="s">
        <v>101</v>
      </c>
      <c r="F25" s="78" t="str">
        <f>'L1 - Project management'!F58</f>
        <v>n.e.</v>
      </c>
      <c r="G25" s="77"/>
      <c r="H25" s="81" t="s">
        <v>61</v>
      </c>
    </row>
    <row r="26" spans="2:8" ht="26" customHeight="1">
      <c r="B26" s="78" t="s">
        <v>102</v>
      </c>
      <c r="C26" s="78" t="s">
        <v>102</v>
      </c>
      <c r="D26" s="77"/>
      <c r="E26" s="80" t="s">
        <v>103</v>
      </c>
      <c r="F26" s="78" t="str">
        <f>'L1 - Project management'!F60</f>
        <v>n.e.</v>
      </c>
      <c r="G26" s="77"/>
      <c r="H26" s="81" t="s">
        <v>61</v>
      </c>
    </row>
    <row r="27" spans="2:8">
      <c r="B27" s="78" t="s">
        <v>104</v>
      </c>
      <c r="C27" s="78" t="s">
        <v>104</v>
      </c>
      <c r="D27" s="79" t="s">
        <v>59</v>
      </c>
      <c r="E27" s="80" t="s">
        <v>105</v>
      </c>
      <c r="F27" s="78" t="str">
        <f>'L1 - Project management'!F62</f>
        <v>n.e.</v>
      </c>
      <c r="G27" s="77"/>
      <c r="H27" s="81" t="s">
        <v>61</v>
      </c>
    </row>
    <row r="28" spans="2:8">
      <c r="B28" s="167" t="s">
        <v>106</v>
      </c>
      <c r="C28" s="168"/>
      <c r="D28" s="168"/>
      <c r="E28" s="168"/>
      <c r="F28" s="168"/>
      <c r="G28" s="169"/>
      <c r="H28" s="77"/>
    </row>
    <row r="29" spans="2:8">
      <c r="B29" s="78" t="s">
        <v>107</v>
      </c>
      <c r="C29" s="78" t="s">
        <v>107</v>
      </c>
      <c r="D29" s="77"/>
      <c r="E29" s="80" t="s">
        <v>108</v>
      </c>
      <c r="F29" s="78" t="str">
        <f>'L2 - Logistics planning'!F8</f>
        <v>n.e.</v>
      </c>
      <c r="G29" s="77"/>
      <c r="H29" s="81" t="s">
        <v>61</v>
      </c>
    </row>
    <row r="30" spans="2:8">
      <c r="B30" s="78" t="s">
        <v>109</v>
      </c>
      <c r="C30" s="78" t="s">
        <v>109</v>
      </c>
      <c r="D30" s="77"/>
      <c r="E30" s="80" t="s">
        <v>110</v>
      </c>
      <c r="F30" s="78" t="str">
        <f>'L2 - Logistics planning'!F10</f>
        <v>n.e.</v>
      </c>
      <c r="G30" s="77"/>
      <c r="H30" s="81" t="s">
        <v>61</v>
      </c>
    </row>
    <row r="31" spans="2:8" ht="26" customHeight="1">
      <c r="B31" s="78" t="s">
        <v>111</v>
      </c>
      <c r="C31" s="78" t="s">
        <v>111</v>
      </c>
      <c r="D31" s="79" t="s">
        <v>59</v>
      </c>
      <c r="E31" s="80" t="s">
        <v>112</v>
      </c>
      <c r="F31" s="78" t="str">
        <f>'L2 - Logistics planning'!F14</f>
        <v>n.e.</v>
      </c>
      <c r="G31" s="77"/>
      <c r="H31" s="81" t="s">
        <v>61</v>
      </c>
    </row>
    <row r="32" spans="2:8">
      <c r="B32" s="78" t="s">
        <v>113</v>
      </c>
      <c r="C32" s="78" t="s">
        <v>113</v>
      </c>
      <c r="D32" s="77"/>
      <c r="E32" s="80" t="s">
        <v>114</v>
      </c>
      <c r="F32" s="78" t="str">
        <f>'L2 - Logistics planning'!F16</f>
        <v>n.e.</v>
      </c>
      <c r="G32" s="77"/>
      <c r="H32" s="81" t="s">
        <v>61</v>
      </c>
    </row>
    <row r="33" spans="2:8" ht="26" customHeight="1">
      <c r="B33" s="78" t="s">
        <v>115</v>
      </c>
      <c r="C33" s="78" t="s">
        <v>115</v>
      </c>
      <c r="D33" s="79" t="s">
        <v>59</v>
      </c>
      <c r="E33" s="80" t="s">
        <v>116</v>
      </c>
      <c r="F33" s="78" t="str">
        <f>'L2 - Logistics planning'!F18</f>
        <v>n.e.</v>
      </c>
      <c r="G33" s="77"/>
      <c r="H33" s="81" t="s">
        <v>61</v>
      </c>
    </row>
    <row r="34" spans="2:8">
      <c r="B34" s="78" t="s">
        <v>117</v>
      </c>
      <c r="C34" s="78" t="s">
        <v>117</v>
      </c>
      <c r="D34" s="77"/>
      <c r="E34" s="80" t="s">
        <v>118</v>
      </c>
      <c r="F34" s="78" t="str">
        <f>'L2 - Logistics planning'!F20</f>
        <v>n.e.</v>
      </c>
      <c r="G34" s="77"/>
      <c r="H34" s="81" t="s">
        <v>61</v>
      </c>
    </row>
    <row r="35" spans="2:8" ht="26" customHeight="1">
      <c r="B35" s="78" t="s">
        <v>119</v>
      </c>
      <c r="C35" s="78" t="s">
        <v>119</v>
      </c>
      <c r="D35" s="77"/>
      <c r="E35" s="80" t="s">
        <v>120</v>
      </c>
      <c r="F35" s="78" t="str">
        <f>'L2 - Logistics planning'!F22</f>
        <v>n.e.</v>
      </c>
      <c r="G35" s="77"/>
      <c r="H35" s="81" t="s">
        <v>61</v>
      </c>
    </row>
    <row r="36" spans="2:8">
      <c r="B36" s="78" t="s">
        <v>121</v>
      </c>
      <c r="C36" s="78" t="s">
        <v>121</v>
      </c>
      <c r="D36" s="79" t="s">
        <v>59</v>
      </c>
      <c r="E36" s="80" t="s">
        <v>122</v>
      </c>
      <c r="F36" s="78" t="str">
        <f>'L2 - Logistics planning'!F24</f>
        <v>n.e.</v>
      </c>
      <c r="G36" s="77"/>
      <c r="H36" s="81" t="s">
        <v>61</v>
      </c>
    </row>
    <row r="37" spans="2:8" ht="26" customHeight="1">
      <c r="B37" s="78" t="s">
        <v>123</v>
      </c>
      <c r="C37" s="78" t="s">
        <v>123</v>
      </c>
      <c r="D37" s="77"/>
      <c r="E37" s="80" t="s">
        <v>124</v>
      </c>
      <c r="F37" s="78" t="str">
        <f>'L2 - Logistics planning'!F26</f>
        <v>n.e.</v>
      </c>
      <c r="G37" s="77"/>
      <c r="H37" s="81" t="s">
        <v>61</v>
      </c>
    </row>
    <row r="38" spans="2:8" ht="26" customHeight="1">
      <c r="B38" s="78" t="s">
        <v>125</v>
      </c>
      <c r="C38" s="78" t="s">
        <v>125</v>
      </c>
      <c r="D38" s="77"/>
      <c r="E38" s="80" t="s">
        <v>126</v>
      </c>
      <c r="F38" s="78" t="str">
        <f>'L2 - Logistics planning'!F30</f>
        <v>n.e.</v>
      </c>
      <c r="G38" s="77"/>
      <c r="H38" s="81" t="s">
        <v>61</v>
      </c>
    </row>
    <row r="39" spans="2:8" ht="26" customHeight="1">
      <c r="B39" s="78" t="s">
        <v>127</v>
      </c>
      <c r="C39" s="78" t="s">
        <v>127</v>
      </c>
      <c r="D39" s="77"/>
      <c r="E39" s="80" t="s">
        <v>128</v>
      </c>
      <c r="F39" s="78" t="str">
        <f>'L2 - Logistics planning'!F32</f>
        <v>n.e.</v>
      </c>
      <c r="G39" s="77"/>
      <c r="H39" s="81" t="s">
        <v>61</v>
      </c>
    </row>
    <row r="40" spans="2:8" ht="26" customHeight="1">
      <c r="B40" s="78" t="s">
        <v>129</v>
      </c>
      <c r="C40" s="78" t="s">
        <v>129</v>
      </c>
      <c r="D40" s="77"/>
      <c r="E40" s="80" t="s">
        <v>130</v>
      </c>
      <c r="F40" s="78" t="str">
        <f>'L2 - Logistics planning'!F34</f>
        <v>n.e.</v>
      </c>
      <c r="G40" s="77"/>
      <c r="H40" s="81" t="s">
        <v>61</v>
      </c>
    </row>
    <row r="41" spans="2:8">
      <c r="B41" s="78" t="s">
        <v>131</v>
      </c>
      <c r="C41" s="78" t="s">
        <v>131</v>
      </c>
      <c r="D41" s="79" t="s">
        <v>59</v>
      </c>
      <c r="E41" s="80" t="s">
        <v>85</v>
      </c>
      <c r="F41" s="78" t="str">
        <f>'L2 - Logistics planning'!F36</f>
        <v>n.e.</v>
      </c>
      <c r="G41" s="77"/>
      <c r="H41" s="81" t="s">
        <v>61</v>
      </c>
    </row>
    <row r="42" spans="2:8">
      <c r="B42" s="78" t="s">
        <v>132</v>
      </c>
      <c r="C42" s="78" t="s">
        <v>132</v>
      </c>
      <c r="D42" s="77"/>
      <c r="E42" s="80" t="s">
        <v>87</v>
      </c>
      <c r="F42" s="78" t="str">
        <f>'L2 - Logistics planning'!F40</f>
        <v>n.e.</v>
      </c>
      <c r="G42" s="77"/>
      <c r="H42" s="81" t="s">
        <v>61</v>
      </c>
    </row>
    <row r="43" spans="2:8">
      <c r="B43" s="78" t="s">
        <v>133</v>
      </c>
      <c r="C43" s="78" t="s">
        <v>133</v>
      </c>
      <c r="D43" s="79" t="s">
        <v>59</v>
      </c>
      <c r="E43" s="80" t="s">
        <v>89</v>
      </c>
      <c r="F43" s="78" t="str">
        <f>'L2 - Logistics planning'!F42</f>
        <v>n.e.</v>
      </c>
      <c r="G43" s="77"/>
      <c r="H43" s="81" t="s">
        <v>61</v>
      </c>
    </row>
    <row r="44" spans="2:8">
      <c r="B44" s="78" t="s">
        <v>134</v>
      </c>
      <c r="C44" s="78" t="s">
        <v>134</v>
      </c>
      <c r="D44" s="77"/>
      <c r="E44" s="80" t="s">
        <v>91</v>
      </c>
      <c r="F44" s="78" t="str">
        <f>'L2 - Logistics planning'!F44</f>
        <v>n.e.</v>
      </c>
      <c r="G44" s="77"/>
      <c r="H44" s="81" t="s">
        <v>61</v>
      </c>
    </row>
    <row r="45" spans="2:8" ht="26" customHeight="1">
      <c r="B45" s="78" t="s">
        <v>135</v>
      </c>
      <c r="C45" s="78" t="s">
        <v>135</v>
      </c>
      <c r="D45" s="77"/>
      <c r="E45" s="80" t="s">
        <v>136</v>
      </c>
      <c r="F45" s="78" t="str">
        <f>'L2 - Logistics planning'!F46</f>
        <v>n.e.</v>
      </c>
      <c r="G45" s="77"/>
      <c r="H45" s="81" t="s">
        <v>61</v>
      </c>
    </row>
    <row r="46" spans="2:8">
      <c r="B46" s="78" t="s">
        <v>137</v>
      </c>
      <c r="C46" s="78" t="s">
        <v>137</v>
      </c>
      <c r="D46" s="79" t="s">
        <v>59</v>
      </c>
      <c r="E46" s="80" t="s">
        <v>138</v>
      </c>
      <c r="F46" s="78" t="str">
        <f>'L2 - Logistics planning'!F50</f>
        <v>n.e.</v>
      </c>
      <c r="G46" s="77"/>
      <c r="H46" s="81" t="s">
        <v>61</v>
      </c>
    </row>
    <row r="47" spans="2:8" ht="26" customHeight="1">
      <c r="B47" s="78" t="s">
        <v>139</v>
      </c>
      <c r="C47" s="78" t="s">
        <v>139</v>
      </c>
      <c r="D47" s="77"/>
      <c r="E47" s="80" t="s">
        <v>97</v>
      </c>
      <c r="F47" s="78" t="str">
        <f>'L2 - Logistics planning'!F52</f>
        <v>n.e.</v>
      </c>
      <c r="G47" s="77"/>
      <c r="H47" s="81" t="s">
        <v>61</v>
      </c>
    </row>
    <row r="48" spans="2:8">
      <c r="B48" s="78" t="s">
        <v>140</v>
      </c>
      <c r="C48" s="78" t="s">
        <v>140</v>
      </c>
      <c r="D48" s="77"/>
      <c r="E48" s="80" t="s">
        <v>99</v>
      </c>
      <c r="F48" s="78" t="str">
        <f>'L2 - Logistics planning'!F54</f>
        <v>n.e.</v>
      </c>
      <c r="G48" s="77"/>
      <c r="H48" s="81" t="s">
        <v>61</v>
      </c>
    </row>
    <row r="49" spans="2:8">
      <c r="B49" s="78" t="s">
        <v>141</v>
      </c>
      <c r="C49" s="78" t="s">
        <v>141</v>
      </c>
      <c r="D49" s="77"/>
      <c r="E49" s="80" t="s">
        <v>142</v>
      </c>
      <c r="F49" s="78" t="str">
        <f>'L2 - Logistics planning'!F56</f>
        <v>n.e.</v>
      </c>
      <c r="G49" s="77"/>
      <c r="H49" s="81" t="s">
        <v>61</v>
      </c>
    </row>
    <row r="50" spans="2:8" ht="26" customHeight="1">
      <c r="B50" s="78" t="s">
        <v>143</v>
      </c>
      <c r="C50" s="78" t="s">
        <v>143</v>
      </c>
      <c r="D50" s="79" t="s">
        <v>59</v>
      </c>
      <c r="E50" s="80" t="s">
        <v>101</v>
      </c>
      <c r="F50" s="78" t="str">
        <f>'L2 - Logistics planning'!F60</f>
        <v>n.e.</v>
      </c>
      <c r="G50" s="77"/>
      <c r="H50" s="81" t="s">
        <v>61</v>
      </c>
    </row>
    <row r="51" spans="2:8" ht="26" customHeight="1">
      <c r="B51" s="78" t="s">
        <v>144</v>
      </c>
      <c r="C51" s="78" t="s">
        <v>144</v>
      </c>
      <c r="D51" s="77"/>
      <c r="E51" s="80" t="s">
        <v>103</v>
      </c>
      <c r="F51" s="78" t="str">
        <f>'L2 - Logistics planning'!F62</f>
        <v>n.e.</v>
      </c>
      <c r="G51" s="77"/>
      <c r="H51" s="81" t="s">
        <v>61</v>
      </c>
    </row>
    <row r="52" spans="2:8">
      <c r="B52" s="78" t="s">
        <v>145</v>
      </c>
      <c r="C52" s="78" t="s">
        <v>145</v>
      </c>
      <c r="D52" s="77"/>
      <c r="E52" s="80" t="s">
        <v>146</v>
      </c>
      <c r="F52" s="78" t="str">
        <f>'L2 - Logistics planning'!F64</f>
        <v>n.e.</v>
      </c>
      <c r="G52" s="77"/>
      <c r="H52" s="81" t="s">
        <v>61</v>
      </c>
    </row>
    <row r="53" spans="2:8">
      <c r="B53" s="167" t="s">
        <v>147</v>
      </c>
      <c r="C53" s="168"/>
      <c r="D53" s="168"/>
      <c r="E53" s="168"/>
      <c r="F53" s="168"/>
      <c r="G53" s="169"/>
      <c r="H53" s="77"/>
    </row>
    <row r="54" spans="2:8">
      <c r="B54" s="78" t="s">
        <v>148</v>
      </c>
      <c r="C54" s="78" t="s">
        <v>148</v>
      </c>
      <c r="D54" s="77"/>
      <c r="E54" s="80" t="s">
        <v>149</v>
      </c>
      <c r="F54" s="78" t="str">
        <f>'L3 - Suppliermgt.'!F8</f>
        <v>n.e.</v>
      </c>
      <c r="G54" s="77"/>
      <c r="H54" s="81" t="s">
        <v>61</v>
      </c>
    </row>
    <row r="55" spans="2:8" ht="26" customHeight="1">
      <c r="B55" s="78" t="s">
        <v>150</v>
      </c>
      <c r="C55" s="78" t="s">
        <v>150</v>
      </c>
      <c r="D55" s="79" t="s">
        <v>59</v>
      </c>
      <c r="E55" s="80" t="s">
        <v>151</v>
      </c>
      <c r="F55" s="78" t="str">
        <f>'L3 - Suppliermgt.'!F12</f>
        <v>n.e.</v>
      </c>
      <c r="G55" s="77"/>
      <c r="H55" s="81" t="s">
        <v>61</v>
      </c>
    </row>
    <row r="56" spans="2:8" ht="26" customHeight="1">
      <c r="B56" s="78" t="s">
        <v>152</v>
      </c>
      <c r="C56" s="78" t="s">
        <v>152</v>
      </c>
      <c r="D56" s="79" t="s">
        <v>59</v>
      </c>
      <c r="E56" s="80" t="s">
        <v>153</v>
      </c>
      <c r="F56" s="78" t="str">
        <f>'L3 - Suppliermgt.'!F14</f>
        <v>n.e.</v>
      </c>
      <c r="G56" s="77"/>
      <c r="H56" s="81" t="s">
        <v>61</v>
      </c>
    </row>
    <row r="57" spans="2:8" ht="26" customHeight="1">
      <c r="B57" s="78" t="s">
        <v>154</v>
      </c>
      <c r="C57" s="78" t="s">
        <v>154</v>
      </c>
      <c r="D57" s="77"/>
      <c r="E57" s="80" t="s">
        <v>155</v>
      </c>
      <c r="F57" s="78" t="str">
        <f>'L3 - Suppliermgt.'!F16</f>
        <v>n.e.</v>
      </c>
      <c r="G57" s="77"/>
      <c r="H57" s="81" t="s">
        <v>61</v>
      </c>
    </row>
    <row r="58" spans="2:8">
      <c r="B58" s="78" t="s">
        <v>156</v>
      </c>
      <c r="C58" s="78" t="s">
        <v>156</v>
      </c>
      <c r="D58" s="77"/>
      <c r="E58" s="80" t="s">
        <v>157</v>
      </c>
      <c r="F58" s="78" t="str">
        <f>'L3 - Suppliermgt.'!F18</f>
        <v>n.e.</v>
      </c>
      <c r="G58" s="77"/>
      <c r="H58" s="81" t="s">
        <v>61</v>
      </c>
    </row>
    <row r="59" spans="2:8" ht="26" customHeight="1">
      <c r="B59" s="78" t="s">
        <v>158</v>
      </c>
      <c r="C59" s="78" t="s">
        <v>158</v>
      </c>
      <c r="D59" s="79" t="s">
        <v>59</v>
      </c>
      <c r="E59" s="80" t="s">
        <v>159</v>
      </c>
      <c r="F59" s="78" t="str">
        <f>'L3 - Suppliermgt.'!F20</f>
        <v>n.e.</v>
      </c>
      <c r="G59" s="77"/>
      <c r="H59" s="81" t="s">
        <v>61</v>
      </c>
    </row>
    <row r="60" spans="2:8" ht="26" customHeight="1">
      <c r="B60" s="78" t="s">
        <v>160</v>
      </c>
      <c r="C60" s="78" t="s">
        <v>160</v>
      </c>
      <c r="D60" s="77"/>
      <c r="E60" s="80" t="s">
        <v>161</v>
      </c>
      <c r="F60" s="78" t="str">
        <f>'L3 - Suppliermgt.'!F22</f>
        <v>n.e.</v>
      </c>
      <c r="G60" s="77"/>
      <c r="H60" s="81" t="s">
        <v>61</v>
      </c>
    </row>
    <row r="61" spans="2:8">
      <c r="B61" s="78" t="s">
        <v>162</v>
      </c>
      <c r="C61" s="78" t="s">
        <v>162</v>
      </c>
      <c r="D61" s="77"/>
      <c r="E61" s="80" t="s">
        <v>163</v>
      </c>
      <c r="F61" s="78" t="str">
        <f>'L3 - Suppliermgt.'!F24</f>
        <v>n.e.</v>
      </c>
      <c r="G61" s="77"/>
      <c r="H61" s="81" t="s">
        <v>61</v>
      </c>
    </row>
    <row r="62" spans="2:8" ht="26" customHeight="1">
      <c r="B62" s="78" t="s">
        <v>164</v>
      </c>
      <c r="C62" s="78" t="s">
        <v>164</v>
      </c>
      <c r="D62" s="77"/>
      <c r="E62" s="80" t="s">
        <v>126</v>
      </c>
      <c r="F62" s="78" t="str">
        <f>'L3 - Suppliermgt.'!F28</f>
        <v>n.e.</v>
      </c>
      <c r="G62" s="77"/>
      <c r="H62" s="81" t="s">
        <v>61</v>
      </c>
    </row>
    <row r="63" spans="2:8">
      <c r="B63" s="78" t="s">
        <v>165</v>
      </c>
      <c r="C63" s="78" t="s">
        <v>165</v>
      </c>
      <c r="D63" s="77"/>
      <c r="E63" s="80" t="s">
        <v>166</v>
      </c>
      <c r="F63" s="78" t="str">
        <f>'L3 - Suppliermgt.'!F30</f>
        <v>n.e.</v>
      </c>
      <c r="G63" s="77"/>
      <c r="H63" s="81" t="s">
        <v>61</v>
      </c>
    </row>
    <row r="64" spans="2:8" ht="26" customHeight="1">
      <c r="B64" s="78" t="s">
        <v>167</v>
      </c>
      <c r="C64" s="78" t="s">
        <v>167</v>
      </c>
      <c r="D64" s="77"/>
      <c r="E64" s="80" t="s">
        <v>168</v>
      </c>
      <c r="F64" s="78" t="str">
        <f>'L3 - Suppliermgt.'!F32</f>
        <v>n.e.</v>
      </c>
      <c r="G64" s="77"/>
      <c r="H64" s="81" t="s">
        <v>61</v>
      </c>
    </row>
    <row r="65" spans="2:8">
      <c r="B65" s="78" t="s">
        <v>169</v>
      </c>
      <c r="C65" s="78" t="s">
        <v>169</v>
      </c>
      <c r="D65" s="79" t="s">
        <v>59</v>
      </c>
      <c r="E65" s="80" t="s">
        <v>85</v>
      </c>
      <c r="F65" s="78" t="str">
        <f>'L3 - Suppliermgt.'!F34</f>
        <v>n.e.</v>
      </c>
      <c r="G65" s="77"/>
      <c r="H65" s="81" t="s">
        <v>61</v>
      </c>
    </row>
    <row r="66" spans="2:8">
      <c r="B66" s="78" t="s">
        <v>170</v>
      </c>
      <c r="C66" s="78" t="s">
        <v>170</v>
      </c>
      <c r="D66" s="77"/>
      <c r="E66" s="80" t="s">
        <v>87</v>
      </c>
      <c r="F66" s="78" t="str">
        <f>'L3 - Suppliermgt.'!F38</f>
        <v>n.e.</v>
      </c>
      <c r="G66" s="77"/>
      <c r="H66" s="81" t="s">
        <v>61</v>
      </c>
    </row>
    <row r="67" spans="2:8">
      <c r="B67" s="78" t="s">
        <v>171</v>
      </c>
      <c r="C67" s="78" t="s">
        <v>171</v>
      </c>
      <c r="D67" s="79" t="s">
        <v>59</v>
      </c>
      <c r="E67" s="80" t="s">
        <v>89</v>
      </c>
      <c r="F67" s="78" t="str">
        <f>'L3 - Suppliermgt.'!F40</f>
        <v>n.e.</v>
      </c>
      <c r="G67" s="77"/>
      <c r="H67" s="81" t="s">
        <v>61</v>
      </c>
    </row>
    <row r="68" spans="2:8">
      <c r="B68" s="78" t="s">
        <v>172</v>
      </c>
      <c r="C68" s="78" t="s">
        <v>172</v>
      </c>
      <c r="D68" s="77"/>
      <c r="E68" s="80" t="s">
        <v>91</v>
      </c>
      <c r="F68" s="78" t="str">
        <f>'L3 - Suppliermgt.'!F42</f>
        <v>n.e.</v>
      </c>
      <c r="G68" s="77"/>
      <c r="H68" s="81" t="s">
        <v>61</v>
      </c>
    </row>
    <row r="69" spans="2:8" ht="26" customHeight="1">
      <c r="B69" s="78" t="s">
        <v>173</v>
      </c>
      <c r="C69" s="78" t="s">
        <v>173</v>
      </c>
      <c r="D69" s="79" t="s">
        <v>59</v>
      </c>
      <c r="E69" s="80" t="s">
        <v>174</v>
      </c>
      <c r="F69" s="78" t="str">
        <f>'L3 - Suppliermgt.'!F46</f>
        <v>n.e.</v>
      </c>
      <c r="G69" s="77"/>
      <c r="H69" s="81" t="s">
        <v>61</v>
      </c>
    </row>
    <row r="70" spans="2:8">
      <c r="B70" s="78" t="s">
        <v>175</v>
      </c>
      <c r="C70" s="78" t="s">
        <v>175</v>
      </c>
      <c r="D70" s="77"/>
      <c r="E70" s="80" t="s">
        <v>176</v>
      </c>
      <c r="F70" s="78" t="str">
        <f>'L3 - Suppliermgt.'!F48</f>
        <v>n.e.</v>
      </c>
      <c r="G70" s="77"/>
      <c r="H70" s="81" t="s">
        <v>61</v>
      </c>
    </row>
    <row r="71" spans="2:8">
      <c r="B71" s="78" t="s">
        <v>177</v>
      </c>
      <c r="C71" s="78" t="s">
        <v>177</v>
      </c>
      <c r="D71" s="79" t="s">
        <v>59</v>
      </c>
      <c r="E71" s="80" t="s">
        <v>178</v>
      </c>
      <c r="F71" s="78" t="str">
        <f>'L3 - Suppliermgt.'!F50</f>
        <v>n.e.</v>
      </c>
      <c r="G71" s="77"/>
      <c r="H71" s="81" t="s">
        <v>61</v>
      </c>
    </row>
    <row r="72" spans="2:8">
      <c r="B72" s="78" t="s">
        <v>179</v>
      </c>
      <c r="C72" s="78" t="s">
        <v>179</v>
      </c>
      <c r="D72" s="77"/>
      <c r="E72" s="80" t="s">
        <v>99</v>
      </c>
      <c r="F72" s="78" t="str">
        <f>'L3 - Suppliermgt.'!F52</f>
        <v>n.e.</v>
      </c>
      <c r="G72" s="77"/>
      <c r="H72" s="81" t="s">
        <v>61</v>
      </c>
    </row>
    <row r="73" spans="2:8">
      <c r="B73" s="78" t="s">
        <v>180</v>
      </c>
      <c r="C73" s="78" t="s">
        <v>180</v>
      </c>
      <c r="D73" s="77"/>
      <c r="E73" s="80" t="s">
        <v>181</v>
      </c>
      <c r="F73" s="78" t="str">
        <f>'L3 - Suppliermgt.'!F54</f>
        <v>n.e.</v>
      </c>
      <c r="G73" s="77"/>
      <c r="H73" s="81" t="s">
        <v>61</v>
      </c>
    </row>
    <row r="74" spans="2:8" ht="26" customHeight="1">
      <c r="B74" s="78" t="s">
        <v>182</v>
      </c>
      <c r="C74" s="78" t="s">
        <v>182</v>
      </c>
      <c r="D74" s="79" t="s">
        <v>59</v>
      </c>
      <c r="E74" s="80" t="s">
        <v>101</v>
      </c>
      <c r="F74" s="78" t="str">
        <f>'L3 - Suppliermgt.'!F58</f>
        <v>n.e.</v>
      </c>
      <c r="G74" s="77"/>
      <c r="H74" s="81" t="s">
        <v>61</v>
      </c>
    </row>
    <row r="75" spans="2:8" ht="26" customHeight="1">
      <c r="B75" s="78" t="s">
        <v>183</v>
      </c>
      <c r="C75" s="78" t="s">
        <v>183</v>
      </c>
      <c r="D75" s="77"/>
      <c r="E75" s="80" t="s">
        <v>103</v>
      </c>
      <c r="F75" s="78" t="str">
        <f>'L3 - Suppliermgt.'!F60</f>
        <v>n.e.</v>
      </c>
      <c r="G75" s="77"/>
      <c r="H75" s="81" t="s">
        <v>61</v>
      </c>
    </row>
    <row r="76" spans="2:8">
      <c r="B76" s="167" t="s">
        <v>184</v>
      </c>
      <c r="C76" s="168"/>
      <c r="D76" s="168"/>
      <c r="E76" s="168"/>
      <c r="F76" s="168"/>
      <c r="G76" s="169"/>
      <c r="H76" s="77"/>
    </row>
    <row r="77" spans="2:8">
      <c r="B77" s="78" t="s">
        <v>185</v>
      </c>
      <c r="C77" s="78" t="s">
        <v>185</v>
      </c>
      <c r="D77" s="79" t="s">
        <v>59</v>
      </c>
      <c r="E77" s="80" t="s">
        <v>186</v>
      </c>
      <c r="F77" s="78" t="str">
        <f>'L4 - Procurement logistics'!F8</f>
        <v>n.e.</v>
      </c>
      <c r="G77" s="77"/>
      <c r="H77" s="81" t="s">
        <v>61</v>
      </c>
    </row>
    <row r="78" spans="2:8">
      <c r="B78" s="78" t="s">
        <v>187</v>
      </c>
      <c r="C78" s="78" t="s">
        <v>187</v>
      </c>
      <c r="D78" s="77"/>
      <c r="E78" s="80" t="s">
        <v>188</v>
      </c>
      <c r="F78" s="78" t="str">
        <f>'L4 - Procurement logistics'!F10</f>
        <v>n.e.</v>
      </c>
      <c r="G78" s="77"/>
      <c r="H78" s="81" t="s">
        <v>61</v>
      </c>
    </row>
    <row r="79" spans="2:8">
      <c r="B79" s="78" t="s">
        <v>189</v>
      </c>
      <c r="C79" s="78" t="s">
        <v>189</v>
      </c>
      <c r="D79" s="77"/>
      <c r="E79" s="80" t="s">
        <v>190</v>
      </c>
      <c r="F79" s="78" t="str">
        <f>'L4 - Procurement logistics'!F12</f>
        <v>n.e.</v>
      </c>
      <c r="G79" s="77"/>
      <c r="H79" s="81" t="s">
        <v>61</v>
      </c>
    </row>
    <row r="80" spans="2:8">
      <c r="B80" s="78" t="s">
        <v>191</v>
      </c>
      <c r="C80" s="78" t="s">
        <v>191</v>
      </c>
      <c r="D80" s="77"/>
      <c r="E80" s="80" t="s">
        <v>192</v>
      </c>
      <c r="F80" s="78" t="str">
        <f>'L4 - Procurement logistics'!F14</f>
        <v>n.e.</v>
      </c>
      <c r="G80" s="77"/>
      <c r="H80" s="81" t="s">
        <v>61</v>
      </c>
    </row>
    <row r="81" spans="2:8" ht="26" customHeight="1">
      <c r="B81" s="78" t="s">
        <v>193</v>
      </c>
      <c r="C81" s="78" t="s">
        <v>193</v>
      </c>
      <c r="D81" s="79" t="s">
        <v>59</v>
      </c>
      <c r="E81" s="80" t="s">
        <v>194</v>
      </c>
      <c r="F81" s="78" t="str">
        <f>'L4 - Procurement logistics'!F18</f>
        <v>n.e.</v>
      </c>
      <c r="G81" s="77"/>
      <c r="H81" s="81" t="s">
        <v>61</v>
      </c>
    </row>
    <row r="82" spans="2:8">
      <c r="B82" s="78" t="s">
        <v>195</v>
      </c>
      <c r="C82" s="78" t="s">
        <v>195</v>
      </c>
      <c r="D82" s="77"/>
      <c r="E82" s="80" t="s">
        <v>196</v>
      </c>
      <c r="F82" s="78" t="str">
        <f>'L4 - Procurement logistics'!F20</f>
        <v>n.e.</v>
      </c>
      <c r="G82" s="77"/>
      <c r="H82" s="81" t="s">
        <v>61</v>
      </c>
    </row>
    <row r="83" spans="2:8" ht="26" customHeight="1">
      <c r="B83" s="78" t="s">
        <v>197</v>
      </c>
      <c r="C83" s="78" t="s">
        <v>197</v>
      </c>
      <c r="D83" s="79" t="s">
        <v>59</v>
      </c>
      <c r="E83" s="80" t="s">
        <v>198</v>
      </c>
      <c r="F83" s="78" t="str">
        <f>'L4 - Procurement logistics'!F22</f>
        <v>n.e.</v>
      </c>
      <c r="G83" s="77"/>
      <c r="H83" s="81" t="s">
        <v>61</v>
      </c>
    </row>
    <row r="84" spans="2:8" ht="26" customHeight="1">
      <c r="B84" s="78" t="s">
        <v>199</v>
      </c>
      <c r="C84" s="78" t="s">
        <v>199</v>
      </c>
      <c r="D84" s="77"/>
      <c r="E84" s="80" t="s">
        <v>75</v>
      </c>
      <c r="F84" s="78" t="str">
        <f>'L4 - Procurement logistics'!F24</f>
        <v>n.e.</v>
      </c>
      <c r="G84" s="77"/>
      <c r="H84" s="81" t="s">
        <v>61</v>
      </c>
    </row>
    <row r="85" spans="2:8">
      <c r="B85" s="78" t="s">
        <v>200</v>
      </c>
      <c r="C85" s="78" t="s">
        <v>200</v>
      </c>
      <c r="D85" s="79" t="s">
        <v>59</v>
      </c>
      <c r="E85" s="80" t="s">
        <v>201</v>
      </c>
      <c r="F85" s="78" t="str">
        <f>'L4 - Procurement logistics'!F26</f>
        <v>n.e.</v>
      </c>
      <c r="G85" s="77"/>
      <c r="H85" s="81" t="s">
        <v>61</v>
      </c>
    </row>
    <row r="86" spans="2:8" ht="26" customHeight="1">
      <c r="B86" s="78" t="s">
        <v>202</v>
      </c>
      <c r="C86" s="78" t="s">
        <v>202</v>
      </c>
      <c r="D86" s="77"/>
      <c r="E86" s="80" t="s">
        <v>126</v>
      </c>
      <c r="F86" s="78" t="str">
        <f>'L4 - Procurement logistics'!F30</f>
        <v>n.e.</v>
      </c>
      <c r="G86" s="77"/>
      <c r="H86" s="81" t="s">
        <v>61</v>
      </c>
    </row>
    <row r="87" spans="2:8">
      <c r="B87" s="78" t="s">
        <v>203</v>
      </c>
      <c r="C87" s="78" t="s">
        <v>203</v>
      </c>
      <c r="D87" s="77"/>
      <c r="E87" s="80" t="s">
        <v>166</v>
      </c>
      <c r="F87" s="78" t="str">
        <f>'L4 - Procurement logistics'!F32</f>
        <v>n.e.</v>
      </c>
      <c r="G87" s="77"/>
      <c r="H87" s="81" t="s">
        <v>61</v>
      </c>
    </row>
    <row r="88" spans="2:8">
      <c r="B88" s="78" t="s">
        <v>204</v>
      </c>
      <c r="C88" s="78" t="s">
        <v>204</v>
      </c>
      <c r="D88" s="77"/>
      <c r="E88" s="80" t="s">
        <v>205</v>
      </c>
      <c r="F88" s="78" t="str">
        <f>'L4 - Procurement logistics'!F34</f>
        <v>n.e.</v>
      </c>
      <c r="G88" s="77"/>
      <c r="H88" s="81" t="s">
        <v>61</v>
      </c>
    </row>
    <row r="89" spans="2:8">
      <c r="B89" s="78" t="s">
        <v>206</v>
      </c>
      <c r="C89" s="78" t="s">
        <v>206</v>
      </c>
      <c r="D89" s="79" t="s">
        <v>59</v>
      </c>
      <c r="E89" s="80" t="s">
        <v>85</v>
      </c>
      <c r="F89" s="78" t="str">
        <f>'L4 - Procurement logistics'!F36</f>
        <v>n.e.</v>
      </c>
      <c r="G89" s="77"/>
      <c r="H89" s="81" t="s">
        <v>61</v>
      </c>
    </row>
    <row r="90" spans="2:8">
      <c r="B90" s="78" t="s">
        <v>207</v>
      </c>
      <c r="C90" s="78" t="s">
        <v>207</v>
      </c>
      <c r="D90" s="77"/>
      <c r="E90" s="80" t="s">
        <v>87</v>
      </c>
      <c r="F90" s="78" t="str">
        <f>'L4 - Procurement logistics'!F40</f>
        <v>n.e.</v>
      </c>
      <c r="G90" s="77"/>
      <c r="H90" s="81" t="s">
        <v>61</v>
      </c>
    </row>
    <row r="91" spans="2:8">
      <c r="B91" s="78" t="s">
        <v>208</v>
      </c>
      <c r="C91" s="78" t="s">
        <v>208</v>
      </c>
      <c r="D91" s="79" t="s">
        <v>59</v>
      </c>
      <c r="E91" s="80" t="s">
        <v>89</v>
      </c>
      <c r="F91" s="78" t="str">
        <f>'L4 - Procurement logistics'!F42</f>
        <v>n.e.</v>
      </c>
      <c r="G91" s="77"/>
      <c r="H91" s="81" t="s">
        <v>61</v>
      </c>
    </row>
    <row r="92" spans="2:8">
      <c r="B92" s="78" t="s">
        <v>209</v>
      </c>
      <c r="C92" s="78" t="s">
        <v>209</v>
      </c>
      <c r="D92" s="77"/>
      <c r="E92" s="80" t="s">
        <v>91</v>
      </c>
      <c r="F92" s="78" t="str">
        <f>'L4 - Procurement logistics'!F44</f>
        <v>n.e.</v>
      </c>
      <c r="G92" s="77"/>
      <c r="H92" s="81" t="s">
        <v>61</v>
      </c>
    </row>
    <row r="93" spans="2:8">
      <c r="B93" s="78" t="s">
        <v>210</v>
      </c>
      <c r="C93" s="78" t="s">
        <v>210</v>
      </c>
      <c r="D93" s="77"/>
      <c r="E93" s="80" t="s">
        <v>211</v>
      </c>
      <c r="F93" s="78" t="str">
        <f>'L4 - Procurement logistics'!F46</f>
        <v>n.e.</v>
      </c>
      <c r="G93" s="77"/>
      <c r="H93" s="81" t="s">
        <v>61</v>
      </c>
    </row>
    <row r="94" spans="2:8">
      <c r="B94" s="78" t="s">
        <v>212</v>
      </c>
      <c r="C94" s="78" t="s">
        <v>212</v>
      </c>
      <c r="D94" s="79" t="s">
        <v>59</v>
      </c>
      <c r="E94" s="80" t="s">
        <v>213</v>
      </c>
      <c r="F94" s="78" t="str">
        <f>'L4 - Procurement logistics'!F50</f>
        <v>n.e.</v>
      </c>
      <c r="G94" s="77"/>
      <c r="H94" s="81" t="s">
        <v>61</v>
      </c>
    </row>
    <row r="95" spans="2:8">
      <c r="B95" s="78" t="s">
        <v>214</v>
      </c>
      <c r="C95" s="78" t="s">
        <v>214</v>
      </c>
      <c r="D95" s="77"/>
      <c r="E95" s="80" t="s">
        <v>95</v>
      </c>
      <c r="F95" s="78" t="str">
        <f>'L4 - Procurement logistics'!F52</f>
        <v>n.e.</v>
      </c>
      <c r="G95" s="77"/>
      <c r="H95" s="81" t="s">
        <v>61</v>
      </c>
    </row>
    <row r="96" spans="2:8">
      <c r="B96" s="78" t="s">
        <v>215</v>
      </c>
      <c r="C96" s="78" t="s">
        <v>215</v>
      </c>
      <c r="D96" s="79" t="s">
        <v>59</v>
      </c>
      <c r="E96" s="80" t="s">
        <v>178</v>
      </c>
      <c r="F96" s="78" t="str">
        <f>'L4 - Procurement logistics'!F54</f>
        <v>n.e.</v>
      </c>
      <c r="G96" s="77"/>
      <c r="H96" s="81" t="s">
        <v>61</v>
      </c>
    </row>
    <row r="97" spans="2:8">
      <c r="B97" s="78" t="s">
        <v>216</v>
      </c>
      <c r="C97" s="78" t="s">
        <v>216</v>
      </c>
      <c r="D97" s="77"/>
      <c r="E97" s="80" t="s">
        <v>99</v>
      </c>
      <c r="F97" s="78" t="str">
        <f>'L4 - Procurement logistics'!F56</f>
        <v>n.e.</v>
      </c>
      <c r="G97" s="77"/>
      <c r="H97" s="81" t="s">
        <v>61</v>
      </c>
    </row>
    <row r="98" spans="2:8">
      <c r="B98" s="78" t="s">
        <v>217</v>
      </c>
      <c r="C98" s="78" t="s">
        <v>217</v>
      </c>
      <c r="D98" s="77"/>
      <c r="E98" s="80" t="s">
        <v>218</v>
      </c>
      <c r="F98" s="78" t="str">
        <f>'L4 - Procurement logistics'!F58</f>
        <v>n.e.</v>
      </c>
      <c r="G98" s="77"/>
      <c r="H98" s="81" t="s">
        <v>61</v>
      </c>
    </row>
    <row r="99" spans="2:8" ht="26" customHeight="1">
      <c r="B99" s="78" t="s">
        <v>219</v>
      </c>
      <c r="C99" s="78" t="s">
        <v>219</v>
      </c>
      <c r="D99" s="79" t="s">
        <v>59</v>
      </c>
      <c r="E99" s="80" t="s">
        <v>101</v>
      </c>
      <c r="F99" s="78" t="str">
        <f>'L4 - Procurement logistics'!F62</f>
        <v>n.e.</v>
      </c>
      <c r="G99" s="77"/>
      <c r="H99" s="81" t="s">
        <v>61</v>
      </c>
    </row>
    <row r="100" spans="2:8" ht="26" customHeight="1">
      <c r="B100" s="78" t="s">
        <v>220</v>
      </c>
      <c r="C100" s="78" t="s">
        <v>220</v>
      </c>
      <c r="D100" s="77"/>
      <c r="E100" s="80" t="s">
        <v>103</v>
      </c>
      <c r="F100" s="78" t="str">
        <f>'L4 - Procurement logistics'!F64</f>
        <v>n.e.</v>
      </c>
      <c r="G100" s="77"/>
      <c r="H100" s="81" t="s">
        <v>61</v>
      </c>
    </row>
    <row r="101" spans="2:8">
      <c r="B101" s="167" t="s">
        <v>221</v>
      </c>
      <c r="C101" s="168"/>
      <c r="D101" s="168"/>
      <c r="E101" s="168"/>
      <c r="F101" s="168"/>
      <c r="G101" s="169"/>
      <c r="H101" s="77"/>
    </row>
    <row r="102" spans="2:8">
      <c r="B102" s="78" t="s">
        <v>222</v>
      </c>
      <c r="C102" s="78" t="s">
        <v>222</v>
      </c>
      <c r="D102" s="77"/>
      <c r="E102" s="80" t="s">
        <v>223</v>
      </c>
      <c r="F102" s="78" t="str">
        <f>'L5 - Transport logistics'!F8</f>
        <v>n.e.</v>
      </c>
      <c r="G102" s="77"/>
      <c r="H102" s="81" t="s">
        <v>61</v>
      </c>
    </row>
    <row r="103" spans="2:8">
      <c r="B103" s="78" t="s">
        <v>224</v>
      </c>
      <c r="C103" s="78" t="s">
        <v>224</v>
      </c>
      <c r="D103" s="79" t="s">
        <v>59</v>
      </c>
      <c r="E103" s="80" t="s">
        <v>225</v>
      </c>
      <c r="F103" s="78" t="str">
        <f>'L5 - Transport logistics'!F10</f>
        <v>n.e.</v>
      </c>
      <c r="G103" s="77"/>
      <c r="H103" s="81" t="s">
        <v>61</v>
      </c>
    </row>
    <row r="104" spans="2:8">
      <c r="B104" s="78" t="s">
        <v>226</v>
      </c>
      <c r="C104" s="78" t="s">
        <v>226</v>
      </c>
      <c r="D104" s="79" t="s">
        <v>59</v>
      </c>
      <c r="E104" s="80" t="s">
        <v>227</v>
      </c>
      <c r="F104" s="78" t="str">
        <f>'L5 - Transport logistics'!F14</f>
        <v>n.e.</v>
      </c>
      <c r="G104" s="77"/>
      <c r="H104" s="81" t="s">
        <v>61</v>
      </c>
    </row>
    <row r="105" spans="2:8">
      <c r="B105" s="78" t="s">
        <v>228</v>
      </c>
      <c r="C105" s="78" t="s">
        <v>228</v>
      </c>
      <c r="D105" s="77"/>
      <c r="E105" s="80" t="s">
        <v>229</v>
      </c>
      <c r="F105" s="78" t="str">
        <f>'L5 - Transport logistics'!F16</f>
        <v>n.e.</v>
      </c>
      <c r="G105" s="77"/>
      <c r="H105" s="81" t="s">
        <v>61</v>
      </c>
    </row>
    <row r="106" spans="2:8">
      <c r="B106" s="78" t="s">
        <v>230</v>
      </c>
      <c r="C106" s="78" t="s">
        <v>230</v>
      </c>
      <c r="D106" s="77"/>
      <c r="E106" s="80" t="s">
        <v>231</v>
      </c>
      <c r="F106" s="78" t="str">
        <f>'L5 - Transport logistics'!F18</f>
        <v>n.e.</v>
      </c>
      <c r="G106" s="77"/>
      <c r="H106" s="81" t="s">
        <v>61</v>
      </c>
    </row>
    <row r="107" spans="2:8">
      <c r="B107" s="78" t="s">
        <v>232</v>
      </c>
      <c r="C107" s="78" t="s">
        <v>232</v>
      </c>
      <c r="D107" s="79" t="s">
        <v>59</v>
      </c>
      <c r="E107" s="80" t="s">
        <v>233</v>
      </c>
      <c r="F107" s="78" t="str">
        <f>'L5 - Transport logistics'!F20</f>
        <v>n.e.</v>
      </c>
      <c r="G107" s="77"/>
      <c r="H107" s="81" t="s">
        <v>61</v>
      </c>
    </row>
    <row r="108" spans="2:8" ht="26" customHeight="1">
      <c r="B108" s="78" t="s">
        <v>234</v>
      </c>
      <c r="C108" s="78" t="s">
        <v>234</v>
      </c>
      <c r="D108" s="77"/>
      <c r="E108" s="80" t="s">
        <v>235</v>
      </c>
      <c r="F108" s="78" t="str">
        <f>'L5 - Transport logistics'!F22</f>
        <v>n.e.</v>
      </c>
      <c r="G108" s="77"/>
      <c r="H108" s="81" t="s">
        <v>61</v>
      </c>
    </row>
    <row r="109" spans="2:8" ht="26" customHeight="1">
      <c r="B109" s="78" t="s">
        <v>236</v>
      </c>
      <c r="C109" s="78" t="s">
        <v>236</v>
      </c>
      <c r="D109" s="77"/>
      <c r="E109" s="80" t="s">
        <v>126</v>
      </c>
      <c r="F109" s="78" t="str">
        <f>'L5 - Transport logistics'!F26</f>
        <v>n.e.</v>
      </c>
      <c r="G109" s="77"/>
      <c r="H109" s="81" t="s">
        <v>61</v>
      </c>
    </row>
    <row r="110" spans="2:8">
      <c r="B110" s="78" t="s">
        <v>237</v>
      </c>
      <c r="C110" s="78" t="s">
        <v>237</v>
      </c>
      <c r="D110" s="77"/>
      <c r="E110" s="80" t="s">
        <v>166</v>
      </c>
      <c r="F110" s="78" t="str">
        <f>'L5 - Transport logistics'!F28</f>
        <v>n.e.</v>
      </c>
      <c r="G110" s="77"/>
      <c r="H110" s="81" t="s">
        <v>61</v>
      </c>
    </row>
    <row r="111" spans="2:8" ht="26" customHeight="1">
      <c r="B111" s="78" t="s">
        <v>238</v>
      </c>
      <c r="C111" s="78" t="s">
        <v>238</v>
      </c>
      <c r="D111" s="77"/>
      <c r="E111" s="80" t="s">
        <v>239</v>
      </c>
      <c r="F111" s="78" t="str">
        <f>'L5 - Transport logistics'!F30</f>
        <v>n.e.</v>
      </c>
      <c r="G111" s="77"/>
      <c r="H111" s="81" t="s">
        <v>61</v>
      </c>
    </row>
    <row r="112" spans="2:8">
      <c r="B112" s="78" t="s">
        <v>240</v>
      </c>
      <c r="C112" s="78" t="s">
        <v>240</v>
      </c>
      <c r="D112" s="79" t="s">
        <v>59</v>
      </c>
      <c r="E112" s="80" t="s">
        <v>85</v>
      </c>
      <c r="F112" s="78" t="str">
        <f>'L5 - Transport logistics'!F32</f>
        <v>n.e.</v>
      </c>
      <c r="G112" s="77"/>
      <c r="H112" s="81" t="s">
        <v>61</v>
      </c>
    </row>
    <row r="113" spans="2:8">
      <c r="B113" s="78" t="s">
        <v>241</v>
      </c>
      <c r="C113" s="78" t="s">
        <v>241</v>
      </c>
      <c r="D113" s="79" t="s">
        <v>59</v>
      </c>
      <c r="E113" s="80" t="s">
        <v>242</v>
      </c>
      <c r="F113" s="78" t="str">
        <f>'L5 - Transport logistics'!F36</f>
        <v>n.e.</v>
      </c>
      <c r="G113" s="77"/>
      <c r="H113" s="81" t="s">
        <v>61</v>
      </c>
    </row>
    <row r="114" spans="2:8">
      <c r="B114" s="78" t="s">
        <v>243</v>
      </c>
      <c r="C114" s="78" t="s">
        <v>243</v>
      </c>
      <c r="D114" s="77"/>
      <c r="E114" s="80" t="s">
        <v>244</v>
      </c>
      <c r="F114" s="78" t="str">
        <f>'L5 - Transport logistics'!F38</f>
        <v>n.e.</v>
      </c>
      <c r="G114" s="77"/>
      <c r="H114" s="81" t="s">
        <v>61</v>
      </c>
    </row>
    <row r="115" spans="2:8" ht="26" customHeight="1">
      <c r="B115" s="78" t="s">
        <v>245</v>
      </c>
      <c r="C115" s="78" t="s">
        <v>245</v>
      </c>
      <c r="D115" s="79" t="s">
        <v>59</v>
      </c>
      <c r="E115" s="80" t="s">
        <v>246</v>
      </c>
      <c r="F115" s="78" t="str">
        <f>'L5 - Transport logistics'!F40</f>
        <v>n.e.</v>
      </c>
      <c r="G115" s="77"/>
      <c r="H115" s="81" t="s">
        <v>61</v>
      </c>
    </row>
    <row r="116" spans="2:8">
      <c r="B116" s="78" t="s">
        <v>247</v>
      </c>
      <c r="C116" s="78" t="s">
        <v>247</v>
      </c>
      <c r="D116" s="77"/>
      <c r="E116" s="80" t="s">
        <v>248</v>
      </c>
      <c r="F116" s="78" t="str">
        <f>'L5 - Transport logistics'!F42</f>
        <v>n.e.</v>
      </c>
      <c r="G116" s="77"/>
      <c r="H116" s="81" t="s">
        <v>61</v>
      </c>
    </row>
    <row r="117" spans="2:8">
      <c r="B117" s="78" t="s">
        <v>249</v>
      </c>
      <c r="C117" s="78" t="s">
        <v>249</v>
      </c>
      <c r="D117" s="79" t="s">
        <v>59</v>
      </c>
      <c r="E117" s="80" t="s">
        <v>250</v>
      </c>
      <c r="F117" s="78" t="str">
        <f>'L5 - Transport logistics'!F46</f>
        <v>n.e.</v>
      </c>
      <c r="G117" s="77"/>
      <c r="H117" s="81" t="s">
        <v>61</v>
      </c>
    </row>
    <row r="118" spans="2:8">
      <c r="B118" s="78" t="s">
        <v>251</v>
      </c>
      <c r="C118" s="78" t="s">
        <v>251</v>
      </c>
      <c r="D118" s="77"/>
      <c r="E118" s="80" t="s">
        <v>95</v>
      </c>
      <c r="F118" s="78" t="str">
        <f>'L5 - Transport logistics'!F48</f>
        <v>n.e.</v>
      </c>
      <c r="G118" s="77"/>
      <c r="H118" s="81" t="s">
        <v>61</v>
      </c>
    </row>
    <row r="119" spans="2:8" ht="26" customHeight="1">
      <c r="B119" s="78" t="s">
        <v>252</v>
      </c>
      <c r="C119" s="78" t="s">
        <v>252</v>
      </c>
      <c r="D119" s="79" t="s">
        <v>59</v>
      </c>
      <c r="E119" s="80" t="s">
        <v>97</v>
      </c>
      <c r="F119" s="78" t="str">
        <f>'L5 - Transport logistics'!F50</f>
        <v>n.e.</v>
      </c>
      <c r="G119" s="77"/>
      <c r="H119" s="81" t="s">
        <v>61</v>
      </c>
    </row>
    <row r="120" spans="2:8">
      <c r="B120" s="78" t="s">
        <v>253</v>
      </c>
      <c r="C120" s="78" t="s">
        <v>253</v>
      </c>
      <c r="D120" s="77"/>
      <c r="E120" s="80" t="s">
        <v>99</v>
      </c>
      <c r="F120" s="78" t="str">
        <f>'L5 - Transport logistics'!F52</f>
        <v>n.e.</v>
      </c>
      <c r="G120" s="77"/>
      <c r="H120" s="81" t="s">
        <v>61</v>
      </c>
    </row>
    <row r="121" spans="2:8">
      <c r="B121" s="78" t="s">
        <v>254</v>
      </c>
      <c r="C121" s="78" t="s">
        <v>254</v>
      </c>
      <c r="D121" s="77"/>
      <c r="E121" s="80" t="s">
        <v>255</v>
      </c>
      <c r="F121" s="78" t="str">
        <f>'L5 - Transport logistics'!F54</f>
        <v>n.e.</v>
      </c>
      <c r="G121" s="77"/>
      <c r="H121" s="81" t="s">
        <v>61</v>
      </c>
    </row>
    <row r="122" spans="2:8">
      <c r="B122" s="78" t="s">
        <v>256</v>
      </c>
      <c r="C122" s="78" t="s">
        <v>256</v>
      </c>
      <c r="D122" s="77"/>
      <c r="E122" s="80" t="s">
        <v>257</v>
      </c>
      <c r="F122" s="78" t="str">
        <f>'L5 - Transport logistics'!F56</f>
        <v>n.e.</v>
      </c>
      <c r="G122" s="77"/>
      <c r="H122" s="81" t="s">
        <v>61</v>
      </c>
    </row>
    <row r="123" spans="2:8" ht="26" customHeight="1">
      <c r="B123" s="78" t="s">
        <v>258</v>
      </c>
      <c r="C123" s="78" t="s">
        <v>258</v>
      </c>
      <c r="D123" s="79" t="s">
        <v>59</v>
      </c>
      <c r="E123" s="80" t="s">
        <v>101</v>
      </c>
      <c r="F123" s="78" t="str">
        <f>'L5 - Transport logistics'!F60</f>
        <v>n.e.</v>
      </c>
      <c r="G123" s="77"/>
      <c r="H123" s="81" t="s">
        <v>61</v>
      </c>
    </row>
    <row r="124" spans="2:8" ht="26" customHeight="1">
      <c r="B124" s="78" t="s">
        <v>259</v>
      </c>
      <c r="C124" s="78" t="s">
        <v>259</v>
      </c>
      <c r="D124" s="77"/>
      <c r="E124" s="80" t="s">
        <v>103</v>
      </c>
      <c r="F124" s="78" t="str">
        <f>'L5 - Transport logistics'!F62</f>
        <v>n.e.</v>
      </c>
      <c r="G124" s="77"/>
      <c r="H124" s="81" t="s">
        <v>61</v>
      </c>
    </row>
    <row r="125" spans="2:8">
      <c r="B125" s="167" t="s">
        <v>260</v>
      </c>
      <c r="C125" s="168"/>
      <c r="D125" s="168"/>
      <c r="E125" s="168"/>
      <c r="F125" s="168"/>
      <c r="G125" s="169"/>
      <c r="H125" s="77"/>
    </row>
    <row r="126" spans="2:8">
      <c r="B126" s="78" t="s">
        <v>261</v>
      </c>
      <c r="C126" s="78" t="s">
        <v>261</v>
      </c>
      <c r="D126" s="77"/>
      <c r="E126" s="80" t="s">
        <v>262</v>
      </c>
      <c r="F126" s="78" t="str">
        <f>'L6 -  In-house logistics'!F8</f>
        <v>n.e.</v>
      </c>
      <c r="G126" s="77"/>
      <c r="H126" s="81" t="s">
        <v>61</v>
      </c>
    </row>
    <row r="127" spans="2:8">
      <c r="B127" s="78" t="s">
        <v>263</v>
      </c>
      <c r="C127" s="78" t="s">
        <v>263</v>
      </c>
      <c r="D127" s="79" t="s">
        <v>59</v>
      </c>
      <c r="E127" s="80" t="s">
        <v>264</v>
      </c>
      <c r="F127" s="78" t="str">
        <f>'L6 -  In-house logistics'!F10</f>
        <v>n.e.</v>
      </c>
      <c r="G127" s="77"/>
      <c r="H127" s="81" t="s">
        <v>61</v>
      </c>
    </row>
    <row r="128" spans="2:8">
      <c r="B128" s="78" t="s">
        <v>265</v>
      </c>
      <c r="C128" s="78" t="s">
        <v>265</v>
      </c>
      <c r="D128" s="79" t="s">
        <v>59</v>
      </c>
      <c r="E128" s="80" t="s">
        <v>266</v>
      </c>
      <c r="F128" s="78" t="str">
        <f>'L6 -  In-house logistics'!F12</f>
        <v>n.e.</v>
      </c>
      <c r="G128" s="77"/>
      <c r="H128" s="81" t="s">
        <v>61</v>
      </c>
    </row>
    <row r="129" spans="2:8">
      <c r="B129" s="78" t="s">
        <v>267</v>
      </c>
      <c r="C129" s="78" t="s">
        <v>267</v>
      </c>
      <c r="D129" s="79" t="s">
        <v>59</v>
      </c>
      <c r="E129" s="80" t="s">
        <v>268</v>
      </c>
      <c r="F129" s="78" t="str">
        <f>'L6 -  In-house logistics'!F16</f>
        <v>n.e.</v>
      </c>
      <c r="G129" s="77"/>
      <c r="H129" s="81" t="s">
        <v>61</v>
      </c>
    </row>
    <row r="130" spans="2:8">
      <c r="B130" s="78" t="s">
        <v>269</v>
      </c>
      <c r="C130" s="78" t="s">
        <v>269</v>
      </c>
      <c r="D130" s="77"/>
      <c r="E130" s="80" t="s">
        <v>229</v>
      </c>
      <c r="F130" s="78" t="str">
        <f>'L6 -  In-house logistics'!F18</f>
        <v>n.e.</v>
      </c>
      <c r="G130" s="77"/>
      <c r="H130" s="81" t="s">
        <v>61</v>
      </c>
    </row>
    <row r="131" spans="2:8">
      <c r="B131" s="78" t="s">
        <v>270</v>
      </c>
      <c r="C131" s="78" t="s">
        <v>270</v>
      </c>
      <c r="D131" s="79" t="s">
        <v>59</v>
      </c>
      <c r="E131" s="80" t="s">
        <v>271</v>
      </c>
      <c r="F131" s="78" t="str">
        <f>'L6 -  In-house logistics'!F20</f>
        <v>n.e.</v>
      </c>
      <c r="G131" s="77"/>
      <c r="H131" s="81" t="s">
        <v>61</v>
      </c>
    </row>
    <row r="132" spans="2:8">
      <c r="B132" s="78" t="s">
        <v>272</v>
      </c>
      <c r="C132" s="78" t="s">
        <v>272</v>
      </c>
      <c r="D132" s="79" t="s">
        <v>59</v>
      </c>
      <c r="E132" s="80" t="s">
        <v>273</v>
      </c>
      <c r="F132" s="78" t="str">
        <f>'L6 -  In-house logistics'!F22</f>
        <v>n.e.</v>
      </c>
      <c r="G132" s="77"/>
      <c r="H132" s="81" t="s">
        <v>61</v>
      </c>
    </row>
    <row r="133" spans="2:8" ht="26" customHeight="1">
      <c r="B133" s="78" t="s">
        <v>274</v>
      </c>
      <c r="C133" s="78" t="s">
        <v>274</v>
      </c>
      <c r="D133" s="77"/>
      <c r="E133" s="80" t="s">
        <v>275</v>
      </c>
      <c r="F133" s="78" t="str">
        <f>'L6 -  In-house logistics'!F24</f>
        <v>n.e.</v>
      </c>
      <c r="G133" s="77"/>
      <c r="H133" s="81" t="s">
        <v>61</v>
      </c>
    </row>
    <row r="134" spans="2:8">
      <c r="B134" s="78" t="s">
        <v>276</v>
      </c>
      <c r="C134" s="78" t="s">
        <v>276</v>
      </c>
      <c r="D134" s="79" t="s">
        <v>59</v>
      </c>
      <c r="E134" s="80" t="s">
        <v>277</v>
      </c>
      <c r="F134" s="78" t="str">
        <f>'L6 -  In-house logistics'!F26</f>
        <v>n.e.</v>
      </c>
      <c r="G134" s="77"/>
      <c r="H134" s="81" t="s">
        <v>61</v>
      </c>
    </row>
    <row r="135" spans="2:8">
      <c r="B135" s="78" t="s">
        <v>278</v>
      </c>
      <c r="C135" s="78" t="s">
        <v>278</v>
      </c>
      <c r="D135" s="77"/>
      <c r="E135" s="80" t="s">
        <v>279</v>
      </c>
      <c r="F135" s="78" t="str">
        <f>'L6 -  In-house logistics'!F28</f>
        <v>n.e.</v>
      </c>
      <c r="G135" s="77"/>
      <c r="H135" s="81" t="s">
        <v>61</v>
      </c>
    </row>
    <row r="136" spans="2:8" ht="26" customHeight="1">
      <c r="B136" s="78" t="s">
        <v>280</v>
      </c>
      <c r="C136" s="78" t="s">
        <v>280</v>
      </c>
      <c r="D136" s="77"/>
      <c r="E136" s="80" t="s">
        <v>281</v>
      </c>
      <c r="F136" s="78" t="str">
        <f>'L6 -  In-house logistics'!F30</f>
        <v>n.e.</v>
      </c>
      <c r="G136" s="77"/>
      <c r="H136" s="81" t="s">
        <v>61</v>
      </c>
    </row>
    <row r="137" spans="2:8">
      <c r="B137" s="78" t="s">
        <v>282</v>
      </c>
      <c r="C137" s="78" t="s">
        <v>282</v>
      </c>
      <c r="D137" s="79" t="s">
        <v>59</v>
      </c>
      <c r="E137" s="80" t="s">
        <v>283</v>
      </c>
      <c r="F137" s="78" t="str">
        <f>'L6 -  In-house logistics'!F32</f>
        <v>n.e.</v>
      </c>
      <c r="G137" s="77"/>
      <c r="H137" s="81" t="s">
        <v>61</v>
      </c>
    </row>
    <row r="138" spans="2:8">
      <c r="B138" s="78" t="s">
        <v>284</v>
      </c>
      <c r="C138" s="78" t="s">
        <v>284</v>
      </c>
      <c r="D138" s="79" t="s">
        <v>59</v>
      </c>
      <c r="E138" s="80" t="s">
        <v>285</v>
      </c>
      <c r="F138" s="78" t="str">
        <f>'L6 -  In-house logistics'!F34</f>
        <v>n.e.</v>
      </c>
      <c r="G138" s="77"/>
      <c r="H138" s="81" t="s">
        <v>61</v>
      </c>
    </row>
    <row r="139" spans="2:8" ht="26" customHeight="1">
      <c r="B139" s="78" t="s">
        <v>286</v>
      </c>
      <c r="C139" s="78" t="s">
        <v>286</v>
      </c>
      <c r="D139" s="77"/>
      <c r="E139" s="80" t="s">
        <v>126</v>
      </c>
      <c r="F139" s="78" t="str">
        <f>'L6 -  In-house logistics'!F38</f>
        <v>n.e.</v>
      </c>
      <c r="G139" s="77"/>
      <c r="H139" s="81" t="s">
        <v>61</v>
      </c>
    </row>
    <row r="140" spans="2:8">
      <c r="B140" s="78" t="s">
        <v>287</v>
      </c>
      <c r="C140" s="78" t="s">
        <v>287</v>
      </c>
      <c r="D140" s="77"/>
      <c r="E140" s="80" t="s">
        <v>166</v>
      </c>
      <c r="F140" s="78" t="str">
        <f>'L6 -  In-house logistics'!F40</f>
        <v>n.e.</v>
      </c>
      <c r="G140" s="77"/>
      <c r="H140" s="81" t="s">
        <v>61</v>
      </c>
    </row>
    <row r="141" spans="2:8" ht="26" customHeight="1">
      <c r="B141" s="78" t="s">
        <v>288</v>
      </c>
      <c r="C141" s="78" t="s">
        <v>288</v>
      </c>
      <c r="D141" s="79" t="s">
        <v>59</v>
      </c>
      <c r="E141" s="80" t="s">
        <v>239</v>
      </c>
      <c r="F141" s="78" t="str">
        <f>'L6 -  In-house logistics'!F42</f>
        <v>n.e.</v>
      </c>
      <c r="G141" s="77"/>
      <c r="H141" s="81" t="s">
        <v>61</v>
      </c>
    </row>
    <row r="142" spans="2:8">
      <c r="B142" s="78" t="s">
        <v>289</v>
      </c>
      <c r="C142" s="78" t="s">
        <v>289</v>
      </c>
      <c r="D142" s="79" t="s">
        <v>59</v>
      </c>
      <c r="E142" s="80" t="s">
        <v>85</v>
      </c>
      <c r="F142" s="78" t="str">
        <f>'L6 -  In-house logistics'!F44</f>
        <v>n.e.</v>
      </c>
      <c r="G142" s="77"/>
      <c r="H142" s="81" t="s">
        <v>61</v>
      </c>
    </row>
    <row r="143" spans="2:8">
      <c r="B143" s="78" t="s">
        <v>290</v>
      </c>
      <c r="C143" s="78" t="s">
        <v>290</v>
      </c>
      <c r="D143" s="79" t="s">
        <v>59</v>
      </c>
      <c r="E143" s="80" t="s">
        <v>87</v>
      </c>
      <c r="F143" s="78" t="str">
        <f>'L6 -  In-house logistics'!F48</f>
        <v>n.e.</v>
      </c>
      <c r="G143" s="77"/>
      <c r="H143" s="81" t="s">
        <v>61</v>
      </c>
    </row>
    <row r="144" spans="2:8">
      <c r="B144" s="78" t="s">
        <v>291</v>
      </c>
      <c r="C144" s="78" t="s">
        <v>291</v>
      </c>
      <c r="D144" s="79" t="s">
        <v>59</v>
      </c>
      <c r="E144" s="80" t="s">
        <v>89</v>
      </c>
      <c r="F144" s="78" t="str">
        <f>'L6 -  In-house logistics'!F50</f>
        <v>n.e.</v>
      </c>
      <c r="G144" s="77"/>
      <c r="H144" s="81" t="s">
        <v>61</v>
      </c>
    </row>
    <row r="145" spans="2:8">
      <c r="B145" s="78" t="s">
        <v>292</v>
      </c>
      <c r="C145" s="78" t="s">
        <v>292</v>
      </c>
      <c r="D145" s="77"/>
      <c r="E145" s="80" t="s">
        <v>244</v>
      </c>
      <c r="F145" s="78" t="str">
        <f>'L6 -  In-house logistics'!F52</f>
        <v>n.e.</v>
      </c>
      <c r="G145" s="77"/>
      <c r="H145" s="81" t="s">
        <v>61</v>
      </c>
    </row>
    <row r="146" spans="2:8">
      <c r="B146" s="78" t="s">
        <v>293</v>
      </c>
      <c r="C146" s="78" t="s">
        <v>293</v>
      </c>
      <c r="D146" s="79" t="s">
        <v>59</v>
      </c>
      <c r="E146" s="80" t="s">
        <v>294</v>
      </c>
      <c r="F146" s="78" t="str">
        <f>'L6 -  In-house logistics'!F54</f>
        <v>n.e.</v>
      </c>
      <c r="G146" s="77"/>
      <c r="H146" s="81" t="s">
        <v>61</v>
      </c>
    </row>
    <row r="147" spans="2:8">
      <c r="B147" s="78" t="s">
        <v>295</v>
      </c>
      <c r="C147" s="78" t="s">
        <v>295</v>
      </c>
      <c r="D147" s="77"/>
      <c r="E147" s="80" t="s">
        <v>296</v>
      </c>
      <c r="F147" s="78" t="str">
        <f>'L6 -  In-house logistics'!F56</f>
        <v>n.e.</v>
      </c>
      <c r="G147" s="77"/>
      <c r="H147" s="81" t="s">
        <v>61</v>
      </c>
    </row>
    <row r="148" spans="2:8">
      <c r="B148" s="78" t="s">
        <v>297</v>
      </c>
      <c r="C148" s="78" t="s">
        <v>297</v>
      </c>
      <c r="D148" s="77"/>
      <c r="E148" s="80" t="s">
        <v>298</v>
      </c>
      <c r="F148" s="78" t="str">
        <f>'L6 -  In-house logistics'!F58</f>
        <v>n.e.</v>
      </c>
      <c r="G148" s="77"/>
      <c r="H148" s="81" t="s">
        <v>61</v>
      </c>
    </row>
    <row r="149" spans="2:8" ht="26" customHeight="1">
      <c r="B149" s="78" t="s">
        <v>299</v>
      </c>
      <c r="C149" s="78" t="s">
        <v>299</v>
      </c>
      <c r="D149" s="77"/>
      <c r="E149" s="80" t="s">
        <v>300</v>
      </c>
      <c r="F149" s="78" t="str">
        <f>'L6 -  In-house logistics'!F60</f>
        <v>n.e.</v>
      </c>
      <c r="G149" s="77"/>
      <c r="H149" s="81" t="s">
        <v>61</v>
      </c>
    </row>
    <row r="150" spans="2:8" ht="26" customHeight="1">
      <c r="B150" s="78" t="s">
        <v>301</v>
      </c>
      <c r="C150" s="78" t="s">
        <v>301</v>
      </c>
      <c r="D150" s="79" t="s">
        <v>59</v>
      </c>
      <c r="E150" s="80" t="s">
        <v>302</v>
      </c>
      <c r="F150" s="78" t="str">
        <f>'L6 -  In-house logistics'!F64</f>
        <v>n.e.</v>
      </c>
      <c r="G150" s="77"/>
      <c r="H150" s="81" t="s">
        <v>61</v>
      </c>
    </row>
    <row r="151" spans="2:8">
      <c r="B151" s="78" t="s">
        <v>303</v>
      </c>
      <c r="C151" s="78" t="s">
        <v>303</v>
      </c>
      <c r="D151" s="77"/>
      <c r="E151" s="80" t="s">
        <v>95</v>
      </c>
      <c r="F151" s="78" t="str">
        <f>'L6 -  In-house logistics'!F66</f>
        <v>n.e.</v>
      </c>
      <c r="G151" s="77"/>
      <c r="H151" s="81" t="s">
        <v>61</v>
      </c>
    </row>
    <row r="152" spans="2:8" ht="26" customHeight="1">
      <c r="B152" s="78" t="s">
        <v>304</v>
      </c>
      <c r="C152" s="78" t="s">
        <v>304</v>
      </c>
      <c r="D152" s="79" t="s">
        <v>59</v>
      </c>
      <c r="E152" s="80" t="s">
        <v>97</v>
      </c>
      <c r="F152" s="78" t="str">
        <f>'L6 -  In-house logistics'!F68</f>
        <v>n.e.</v>
      </c>
      <c r="G152" s="77"/>
      <c r="H152" s="81" t="s">
        <v>61</v>
      </c>
    </row>
    <row r="153" spans="2:8">
      <c r="B153" s="78" t="s">
        <v>305</v>
      </c>
      <c r="C153" s="78" t="s">
        <v>305</v>
      </c>
      <c r="D153" s="77"/>
      <c r="E153" s="80" t="s">
        <v>99</v>
      </c>
      <c r="F153" s="78" t="str">
        <f>'L6 -  In-house logistics'!F70</f>
        <v>n.e.</v>
      </c>
      <c r="G153" s="77"/>
      <c r="H153" s="81" t="s">
        <v>61</v>
      </c>
    </row>
    <row r="154" spans="2:8">
      <c r="B154" s="78" t="s">
        <v>306</v>
      </c>
      <c r="C154" s="78" t="s">
        <v>306</v>
      </c>
      <c r="D154" s="77"/>
      <c r="E154" s="80" t="s">
        <v>307</v>
      </c>
      <c r="F154" s="78" t="str">
        <f>'L6 -  In-house logistics'!F72</f>
        <v>n.e.</v>
      </c>
      <c r="G154" s="77"/>
      <c r="H154" s="81" t="s">
        <v>61</v>
      </c>
    </row>
    <row r="155" spans="2:8">
      <c r="B155" s="78" t="s">
        <v>308</v>
      </c>
      <c r="C155" s="78" t="s">
        <v>308</v>
      </c>
      <c r="D155" s="77"/>
      <c r="E155" s="80" t="s">
        <v>309</v>
      </c>
      <c r="F155" s="78" t="str">
        <f>'L6 -  In-house logistics'!F74</f>
        <v>n.e.</v>
      </c>
      <c r="G155" s="77"/>
      <c r="H155" s="81" t="s">
        <v>61</v>
      </c>
    </row>
    <row r="156" spans="2:8" ht="26" customHeight="1">
      <c r="B156" s="78" t="s">
        <v>310</v>
      </c>
      <c r="C156" s="78" t="s">
        <v>310</v>
      </c>
      <c r="D156" s="79" t="s">
        <v>59</v>
      </c>
      <c r="E156" s="80" t="s">
        <v>101</v>
      </c>
      <c r="F156" s="78" t="str">
        <f>'L6 -  In-house logistics'!F78</f>
        <v>n.e.</v>
      </c>
      <c r="G156" s="77"/>
      <c r="H156" s="81" t="s">
        <v>61</v>
      </c>
    </row>
    <row r="157" spans="2:8" ht="26" customHeight="1">
      <c r="B157" s="78" t="s">
        <v>311</v>
      </c>
      <c r="C157" s="78" t="s">
        <v>311</v>
      </c>
      <c r="D157" s="77"/>
      <c r="E157" s="80" t="s">
        <v>103</v>
      </c>
      <c r="F157" s="78" t="str">
        <f>'L6 -  In-house logistics'!F80</f>
        <v>n.e.</v>
      </c>
      <c r="G157" s="77"/>
      <c r="H157" s="81" t="s">
        <v>61</v>
      </c>
    </row>
    <row r="158" spans="2:8">
      <c r="B158" s="167" t="s">
        <v>312</v>
      </c>
      <c r="C158" s="168"/>
      <c r="D158" s="168"/>
      <c r="E158" s="168"/>
      <c r="F158" s="168"/>
      <c r="G158" s="169"/>
      <c r="H158" s="77"/>
    </row>
    <row r="159" spans="2:8">
      <c r="B159" s="78" t="s">
        <v>313</v>
      </c>
      <c r="C159" s="78" t="s">
        <v>313</v>
      </c>
      <c r="D159" s="77"/>
      <c r="E159" s="80" t="s">
        <v>314</v>
      </c>
      <c r="F159" s="78" t="str">
        <f>'L7 - Customer management'!F8</f>
        <v>n.e.</v>
      </c>
      <c r="G159" s="77"/>
      <c r="H159" s="81" t="s">
        <v>61</v>
      </c>
    </row>
    <row r="160" spans="2:8" ht="26" customHeight="1">
      <c r="B160" s="78" t="s">
        <v>315</v>
      </c>
      <c r="C160" s="78" t="s">
        <v>315</v>
      </c>
      <c r="D160" s="79" t="s">
        <v>59</v>
      </c>
      <c r="E160" s="80" t="s">
        <v>316</v>
      </c>
      <c r="F160" s="78" t="str">
        <f>'L7 - Customer management'!F10</f>
        <v>n.e.</v>
      </c>
      <c r="G160" s="77"/>
      <c r="H160" s="81" t="s">
        <v>61</v>
      </c>
    </row>
    <row r="161" spans="2:8">
      <c r="B161" s="78" t="s">
        <v>317</v>
      </c>
      <c r="C161" s="78" t="s">
        <v>317</v>
      </c>
      <c r="D161" s="77"/>
      <c r="E161" s="80" t="s">
        <v>318</v>
      </c>
      <c r="F161" s="78" t="str">
        <f>'L7 - Customer management'!F12</f>
        <v>n.e.</v>
      </c>
      <c r="G161" s="77"/>
      <c r="H161" s="81" t="s">
        <v>61</v>
      </c>
    </row>
    <row r="162" spans="2:8">
      <c r="B162" s="78" t="s">
        <v>319</v>
      </c>
      <c r="C162" s="78" t="s">
        <v>319</v>
      </c>
      <c r="D162" s="79" t="s">
        <v>59</v>
      </c>
      <c r="E162" s="80" t="s">
        <v>320</v>
      </c>
      <c r="F162" s="78" t="str">
        <f>'L7 - Customer management'!F16</f>
        <v>n.e.</v>
      </c>
      <c r="G162" s="77"/>
      <c r="H162" s="81" t="s">
        <v>61</v>
      </c>
    </row>
    <row r="163" spans="2:8" ht="26" customHeight="1">
      <c r="B163" s="78" t="s">
        <v>321</v>
      </c>
      <c r="C163" s="78" t="s">
        <v>321</v>
      </c>
      <c r="D163" s="79" t="s">
        <v>59</v>
      </c>
      <c r="E163" s="80" t="s">
        <v>322</v>
      </c>
      <c r="F163" s="78" t="str">
        <f>'L7 - Customer management'!F18</f>
        <v>n.e.</v>
      </c>
      <c r="G163" s="77"/>
      <c r="H163" s="81" t="s">
        <v>61</v>
      </c>
    </row>
    <row r="164" spans="2:8">
      <c r="B164" s="78" t="s">
        <v>323</v>
      </c>
      <c r="C164" s="78" t="s">
        <v>323</v>
      </c>
      <c r="D164" s="77"/>
      <c r="E164" s="80" t="s">
        <v>163</v>
      </c>
      <c r="F164" s="78" t="str">
        <f>'L7 - Customer management'!F20</f>
        <v>n.e.</v>
      </c>
      <c r="G164" s="77"/>
      <c r="H164" s="81" t="s">
        <v>61</v>
      </c>
    </row>
    <row r="165" spans="2:8" ht="26" customHeight="1">
      <c r="B165" s="78" t="s">
        <v>324</v>
      </c>
      <c r="C165" s="78" t="s">
        <v>324</v>
      </c>
      <c r="D165" s="77"/>
      <c r="E165" s="80" t="s">
        <v>126</v>
      </c>
      <c r="F165" s="78" t="str">
        <f>'L7 - Customer management'!F24</f>
        <v>n.e.</v>
      </c>
      <c r="G165" s="77"/>
      <c r="H165" s="81" t="s">
        <v>61</v>
      </c>
    </row>
    <row r="166" spans="2:8" ht="26" customHeight="1">
      <c r="B166" s="78" t="s">
        <v>325</v>
      </c>
      <c r="C166" s="78" t="s">
        <v>325</v>
      </c>
      <c r="D166" s="77"/>
      <c r="E166" s="80" t="s">
        <v>128</v>
      </c>
      <c r="F166" s="78" t="str">
        <f>'L7 - Customer management'!F26</f>
        <v>n.e.</v>
      </c>
      <c r="G166" s="77"/>
      <c r="H166" s="81" t="s">
        <v>61</v>
      </c>
    </row>
    <row r="167" spans="2:8" ht="26" customHeight="1">
      <c r="B167" s="78" t="s">
        <v>326</v>
      </c>
      <c r="C167" s="78" t="s">
        <v>326</v>
      </c>
      <c r="D167" s="77"/>
      <c r="E167" s="80" t="s">
        <v>327</v>
      </c>
      <c r="F167" s="78" t="str">
        <f>'L7 - Customer management'!F28</f>
        <v>n.e.</v>
      </c>
      <c r="G167" s="77"/>
      <c r="H167" s="81" t="s">
        <v>61</v>
      </c>
    </row>
    <row r="168" spans="2:8">
      <c r="B168" s="78" t="s">
        <v>328</v>
      </c>
      <c r="C168" s="78" t="s">
        <v>328</v>
      </c>
      <c r="D168" s="79" t="s">
        <v>59</v>
      </c>
      <c r="E168" s="80" t="s">
        <v>85</v>
      </c>
      <c r="F168" s="78" t="str">
        <f>'L7 - Customer management'!F30</f>
        <v>n.e.</v>
      </c>
      <c r="G168" s="77"/>
      <c r="H168" s="81" t="s">
        <v>61</v>
      </c>
    </row>
    <row r="169" spans="2:8">
      <c r="B169" s="78" t="s">
        <v>329</v>
      </c>
      <c r="C169" s="78" t="s">
        <v>329</v>
      </c>
      <c r="D169" s="77"/>
      <c r="E169" s="80" t="s">
        <v>87</v>
      </c>
      <c r="F169" s="78" t="str">
        <f>'L7 - Customer management'!F34</f>
        <v>n.e.</v>
      </c>
      <c r="G169" s="77"/>
      <c r="H169" s="81" t="s">
        <v>61</v>
      </c>
    </row>
    <row r="170" spans="2:8">
      <c r="B170" s="78" t="s">
        <v>330</v>
      </c>
      <c r="C170" s="78" t="s">
        <v>330</v>
      </c>
      <c r="D170" s="77"/>
      <c r="E170" s="80" t="s">
        <v>89</v>
      </c>
      <c r="F170" s="78" t="str">
        <f>'L7 - Customer management'!F36</f>
        <v>n.e.</v>
      </c>
      <c r="G170" s="77"/>
      <c r="H170" s="81" t="s">
        <v>61</v>
      </c>
    </row>
    <row r="171" spans="2:8">
      <c r="B171" s="78" t="s">
        <v>331</v>
      </c>
      <c r="C171" s="78" t="s">
        <v>331</v>
      </c>
      <c r="D171" s="77"/>
      <c r="E171" s="80" t="s">
        <v>91</v>
      </c>
      <c r="F171" s="78" t="str">
        <f>'L7 - Customer management'!F38</f>
        <v>n.e.</v>
      </c>
      <c r="G171" s="77"/>
      <c r="H171" s="81" t="s">
        <v>61</v>
      </c>
    </row>
    <row r="172" spans="2:8" ht="26" customHeight="1">
      <c r="B172" s="78" t="s">
        <v>332</v>
      </c>
      <c r="C172" s="78" t="s">
        <v>332</v>
      </c>
      <c r="D172" s="79" t="s">
        <v>59</v>
      </c>
      <c r="E172" s="80" t="s">
        <v>333</v>
      </c>
      <c r="F172" s="78" t="str">
        <f>'L7 - Customer management'!F42</f>
        <v>n.e.</v>
      </c>
      <c r="G172" s="77"/>
      <c r="H172" s="81" t="s">
        <v>61</v>
      </c>
    </row>
    <row r="173" spans="2:8">
      <c r="B173" s="78" t="s">
        <v>334</v>
      </c>
      <c r="C173" s="78" t="s">
        <v>334</v>
      </c>
      <c r="D173" s="77"/>
      <c r="E173" s="80" t="s">
        <v>335</v>
      </c>
      <c r="F173" s="78" t="str">
        <f>'L7 - Customer management'!F44</f>
        <v>n.e.</v>
      </c>
      <c r="G173" s="77"/>
      <c r="H173" s="81" t="s">
        <v>61</v>
      </c>
    </row>
    <row r="174" spans="2:8" ht="26" customHeight="1">
      <c r="B174" s="78" t="s">
        <v>336</v>
      </c>
      <c r="C174" s="78" t="s">
        <v>336</v>
      </c>
      <c r="D174" s="79" t="s">
        <v>59</v>
      </c>
      <c r="E174" s="80" t="s">
        <v>97</v>
      </c>
      <c r="F174" s="78" t="str">
        <f>'L7 - Customer management'!F46</f>
        <v>n.e.</v>
      </c>
      <c r="G174" s="77"/>
      <c r="H174" s="81" t="s">
        <v>61</v>
      </c>
    </row>
    <row r="175" spans="2:8">
      <c r="B175" s="78" t="s">
        <v>337</v>
      </c>
      <c r="C175" s="78" t="s">
        <v>337</v>
      </c>
      <c r="D175" s="77"/>
      <c r="E175" s="80" t="s">
        <v>99</v>
      </c>
      <c r="F175" s="78" t="str">
        <f>'L7 - Customer management'!F48</f>
        <v>n.e.</v>
      </c>
      <c r="G175" s="77"/>
      <c r="H175" s="81" t="s">
        <v>61</v>
      </c>
    </row>
    <row r="176" spans="2:8">
      <c r="B176" s="78" t="s">
        <v>338</v>
      </c>
      <c r="C176" s="78" t="s">
        <v>338</v>
      </c>
      <c r="D176" s="77"/>
      <c r="E176" s="80" t="s">
        <v>339</v>
      </c>
      <c r="F176" s="78" t="str">
        <f>'L7 - Customer management'!F50</f>
        <v>n.e.</v>
      </c>
      <c r="G176" s="77"/>
      <c r="H176" s="81" t="s">
        <v>61</v>
      </c>
    </row>
    <row r="177" spans="2:8" ht="26" customHeight="1">
      <c r="B177" s="78" t="s">
        <v>340</v>
      </c>
      <c r="C177" s="78" t="s">
        <v>340</v>
      </c>
      <c r="D177" s="79" t="s">
        <v>59</v>
      </c>
      <c r="E177" s="80" t="s">
        <v>101</v>
      </c>
      <c r="F177" s="78" t="str">
        <f>'L7 - Customer management'!F54</f>
        <v>n.e.</v>
      </c>
      <c r="G177" s="77"/>
      <c r="H177" s="81" t="s">
        <v>61</v>
      </c>
    </row>
    <row r="178" spans="2:8" ht="26" customHeight="1">
      <c r="B178" s="78" t="s">
        <v>341</v>
      </c>
      <c r="C178" s="78" t="s">
        <v>341</v>
      </c>
      <c r="D178" s="77"/>
      <c r="E178" s="80" t="s">
        <v>103</v>
      </c>
      <c r="F178" s="78" t="str">
        <f>'L7 - Customer management'!F56</f>
        <v>n.e.</v>
      </c>
      <c r="G178" s="77"/>
      <c r="H178" s="81" t="s">
        <v>61</v>
      </c>
    </row>
  </sheetData>
  <mergeCells count="8">
    <mergeCell ref="B158:G158"/>
    <mergeCell ref="A1:H1"/>
    <mergeCell ref="B53:G53"/>
    <mergeCell ref="B125:G125"/>
    <mergeCell ref="B28:G28"/>
    <mergeCell ref="B101:G101"/>
    <mergeCell ref="B76:G76"/>
    <mergeCell ref="B4:G4"/>
  </mergeCells>
  <phoneticPr fontId="20" type="noConversion"/>
  <conditionalFormatting sqref="F5 F6 F7 F8 F9 F10 F11 F12 F13 F14 F15 F16 F17 F18 F19 F20 F21 F22 F23 F24 F25 F26 F27 F29 F30 F31 F32 F33 F34 F35 F36 F37 F38 F39 F40 F41 F42 F43 F44 F45 F46 F47 F48 F49 F50 F51 F52 F54 F55 F56 F57 F58 F59 F60 F61 F62 F63 F64 F65 F66 F67 F68 F69 F70 F71 F72 F73 F74 F75 F77 F78 F79 F80 F81 F82 F83 F84 F85 F86 F87 F88 F89 F90 F91 F92 F93 F94 F95 F96 F97 F98 F99 F100 F102 F103 F104 F105 F106 F107 F108 F109 F110 F111 F112 F113 F114 F115 F116 F117 F118 F119 F120 F121 F122 F123 F124 F126 F127 F128 F129 F130 F131 F132 F133 F134 F135 F136 F137 F138 F139 F140 F141 F142 F143 F144 F145 F146 F147 F148 F149 F150 F151 F152 F153 F154 F155 F156 F157 F159 F160 F161 F162 F163 F164 F165 F166 F167 F168 F169 F170 F171 F172 F173 F174 F175 F176 F177 F178">
    <cfRule type="cellIs" dxfId="743" priority="1" operator="equal">
      <formula>10</formula>
    </cfRule>
    <cfRule type="cellIs" dxfId="742" priority="2" operator="equal">
      <formula>8</formula>
    </cfRule>
    <cfRule type="cellIs" dxfId="741" priority="3" operator="equal">
      <formula>6</formula>
    </cfRule>
    <cfRule type="cellIs" dxfId="740" priority="4" operator="equal">
      <formula>4</formula>
    </cfRule>
    <cfRule type="cellIs" dxfId="739" priority="5" operator="equal">
      <formula>0</formula>
    </cfRule>
    <cfRule type="cellIs" dxfId="738" priority="6" operator="equal">
      <formula>2</formula>
    </cfRule>
  </conditionalFormatting>
  <hyperlinks>
    <hyperlink ref="H5" location="'L1 - Project management'!F8" display="🔙" xr:uid="{00000000-0004-0000-0300-000000000000}"/>
    <hyperlink ref="H6" location="'L1 - Project management'!F10" display="🔙" xr:uid="{00000000-0004-0000-0300-000001000000}"/>
    <hyperlink ref="H7" location="'L1 - Project management'!F12" display="🔙" xr:uid="{00000000-0004-0000-0300-000002000000}"/>
    <hyperlink ref="H8" location="'L1 - Project management'!F14" display="🔙" xr:uid="{00000000-0004-0000-0300-000003000000}"/>
    <hyperlink ref="H9" location="'L1 - Project management'!F18" display="🔙" xr:uid="{00000000-0004-0000-0300-000004000000}"/>
    <hyperlink ref="H10" location="'L1 - Project management'!F20" display="🔙" xr:uid="{00000000-0004-0000-0300-000005000000}"/>
    <hyperlink ref="H11" location="'L1 - Project management'!F22" display="🔙" xr:uid="{00000000-0004-0000-0300-000006000000}"/>
    <hyperlink ref="H12" location="'L1 - Project management'!F24" display="🔙" xr:uid="{00000000-0004-0000-0300-000007000000}"/>
    <hyperlink ref="H13" location="'L1 - Project management'!F26" display="🔙" xr:uid="{00000000-0004-0000-0300-000008000000}"/>
    <hyperlink ref="H14" location="'L1 - Project management'!F30" display="🔙" xr:uid="{00000000-0004-0000-0300-000009000000}"/>
    <hyperlink ref="H15" location="'L1 - Project management'!F32" display="🔙" xr:uid="{00000000-0004-0000-0300-00000A000000}"/>
    <hyperlink ref="H16" location="'L1 - Project management'!F34" display="🔙" xr:uid="{00000000-0004-0000-0300-00000B000000}"/>
    <hyperlink ref="H17" location="'L1 - Project management'!F36" display="🔙" xr:uid="{00000000-0004-0000-0300-00000C000000}"/>
    <hyperlink ref="H18" location="'L1 - Project management'!F40" display="🔙" xr:uid="{00000000-0004-0000-0300-00000D000000}"/>
    <hyperlink ref="H19" location="'L1 - Project management'!F42" display="🔙" xr:uid="{00000000-0004-0000-0300-00000E000000}"/>
    <hyperlink ref="H20" location="'L1 - Project management'!F44" display="🔙" xr:uid="{00000000-0004-0000-0300-00000F000000}"/>
    <hyperlink ref="H21" location="'L1 - Project management'!F48" display="🔙" xr:uid="{00000000-0004-0000-0300-000010000000}"/>
    <hyperlink ref="H22" location="'L1 - Project management'!F50" display="🔙" xr:uid="{00000000-0004-0000-0300-000011000000}"/>
    <hyperlink ref="H23" location="'L1 - Project management'!F52" display="🔙" xr:uid="{00000000-0004-0000-0300-000012000000}"/>
    <hyperlink ref="H24" location="'L1 - Project management'!F54" display="🔙" xr:uid="{00000000-0004-0000-0300-000013000000}"/>
    <hyperlink ref="H25" location="'L1 - Project management'!F58" display="🔙" xr:uid="{00000000-0004-0000-0300-000014000000}"/>
    <hyperlink ref="H26" location="'L1 - Project management'!F60" display="🔙" xr:uid="{00000000-0004-0000-0300-000015000000}"/>
    <hyperlink ref="H27" location="'L1 - Project management'!F62" display="🔙" xr:uid="{00000000-0004-0000-0300-000016000000}"/>
    <hyperlink ref="H29" location="'L2 - Planning'!F8" display="🔙" xr:uid="{00000000-0004-0000-0300-000017000000}"/>
    <hyperlink ref="H30" location="'L2 - Planning'!F10" display="🔙" xr:uid="{00000000-0004-0000-0300-000018000000}"/>
    <hyperlink ref="H31" location="'L2 - Planning'!F14" display="🔙" xr:uid="{00000000-0004-0000-0300-000019000000}"/>
    <hyperlink ref="H32" location="'L2 - Planning'!F16" display="🔙" xr:uid="{00000000-0004-0000-0300-00001A000000}"/>
    <hyperlink ref="H33" location="'L2 - Planning'!F18" display="🔙" xr:uid="{00000000-0004-0000-0300-00001B000000}"/>
    <hyperlink ref="H34" location="'L2 - Planning'!F20" display="🔙" xr:uid="{00000000-0004-0000-0300-00001C000000}"/>
    <hyperlink ref="H35" location="'L2 - Planning'!F22" display="🔙" xr:uid="{00000000-0004-0000-0300-00001D000000}"/>
    <hyperlink ref="H36" location="'L2 - Planning'!F24" display="🔙" xr:uid="{00000000-0004-0000-0300-00001E000000}"/>
    <hyperlink ref="H37" location="'L2 - Planning'!F26" display="🔙" xr:uid="{00000000-0004-0000-0300-00001F000000}"/>
    <hyperlink ref="H38" location="'L2 - Planning'!F30" display="🔙" xr:uid="{00000000-0004-0000-0300-000020000000}"/>
    <hyperlink ref="H39" location="'L2 - Planning'!F32" display="🔙" xr:uid="{00000000-0004-0000-0300-000021000000}"/>
    <hyperlink ref="H40" location="'L2 - Planning'!F34" display="🔙" xr:uid="{00000000-0004-0000-0300-000022000000}"/>
    <hyperlink ref="H41" location="'L2 - Planning'!F36" display="🔙" xr:uid="{00000000-0004-0000-0300-000023000000}"/>
    <hyperlink ref="H42" location="'L2 - Planning'!F40" display="🔙" xr:uid="{00000000-0004-0000-0300-000024000000}"/>
    <hyperlink ref="H43" location="'L2 - Planning'!F42" display="🔙" xr:uid="{00000000-0004-0000-0300-000025000000}"/>
    <hyperlink ref="H44" location="'L2 - Planning'!F44" display="🔙" xr:uid="{00000000-0004-0000-0300-000026000000}"/>
    <hyperlink ref="H45" location="'L2 - Planning'!F46" display="🔙" xr:uid="{00000000-0004-0000-0300-000027000000}"/>
    <hyperlink ref="H46" location="'L2 - Planning'!F50" display="🔙" xr:uid="{00000000-0004-0000-0300-000028000000}"/>
    <hyperlink ref="H47" location="'L2 - Planning'!F52" display="🔙" xr:uid="{00000000-0004-0000-0300-000029000000}"/>
    <hyperlink ref="H48" location="'L2 - Planning'!F54" display="🔙" xr:uid="{00000000-0004-0000-0300-00002A000000}"/>
    <hyperlink ref="H49" location="'L2 - Planning'!F56" display="🔙" xr:uid="{00000000-0004-0000-0300-00002B000000}"/>
    <hyperlink ref="H50" location="'L2 - Planning'!F60" display="🔙" xr:uid="{00000000-0004-0000-0300-00002C000000}"/>
    <hyperlink ref="H51" location="'L2 - Planning'!F62" display="🔙" xr:uid="{00000000-0004-0000-0300-00002D000000}"/>
    <hyperlink ref="H52" location="'L2 - Planning'!F64" display="🔙" xr:uid="{00000000-0004-0000-0300-00002E000000}"/>
    <hyperlink ref="H54" location="'L3 - Suppliermgt.'!F8" display="🔙" xr:uid="{00000000-0004-0000-0300-00002F000000}"/>
    <hyperlink ref="H55" location="'L3 - Suppliermgt.'!F12" display="🔙" xr:uid="{00000000-0004-0000-0300-000030000000}"/>
    <hyperlink ref="H56" location="'L3 - Suppliermgt.'!F14" display="🔙" xr:uid="{00000000-0004-0000-0300-000031000000}"/>
    <hyperlink ref="H57" location="'L3 - Suppliermgt.'!F16" display="🔙" xr:uid="{00000000-0004-0000-0300-000032000000}"/>
    <hyperlink ref="H58" location="'L3 - Suppliermgt.'!F18" display="🔙" xr:uid="{00000000-0004-0000-0300-000033000000}"/>
    <hyperlink ref="H59" location="'L3 - Suppliermgt.'!F20" display="🔙" xr:uid="{00000000-0004-0000-0300-000034000000}"/>
    <hyperlink ref="H60" location="'L3 - Suppliermgt.'!F22" display="🔙" xr:uid="{00000000-0004-0000-0300-000035000000}"/>
    <hyperlink ref="H61" location="'L3 - Suppliermgt.'!F24" display="🔙" xr:uid="{00000000-0004-0000-0300-000036000000}"/>
    <hyperlink ref="H62" location="'L3 - Suppliermgt.'!F28" display="🔙" xr:uid="{00000000-0004-0000-0300-000037000000}"/>
    <hyperlink ref="H63" location="'L3 - Suppliermgt.'!F30" display="🔙" xr:uid="{00000000-0004-0000-0300-000038000000}"/>
    <hyperlink ref="H64" location="'L3 - Suppliermgt.'!F32" display="🔙" xr:uid="{00000000-0004-0000-0300-000039000000}"/>
    <hyperlink ref="H65" location="'L3 - Suppliermgt.'!F34" display="🔙" xr:uid="{00000000-0004-0000-0300-00003A000000}"/>
    <hyperlink ref="H66" location="'L3 - Suppliermgt.'!F38" display="🔙" xr:uid="{00000000-0004-0000-0300-00003B000000}"/>
    <hyperlink ref="H67" location="'L3 - Suppliermgt.'!F40" display="🔙" xr:uid="{00000000-0004-0000-0300-00003C000000}"/>
    <hyperlink ref="H68" location="'L3 - Suppliermgt.'!F42" display="🔙" xr:uid="{00000000-0004-0000-0300-00003D000000}"/>
    <hyperlink ref="H69" location="'L3 - Suppliermgt.'!F46" display="🔙" xr:uid="{00000000-0004-0000-0300-00003E000000}"/>
    <hyperlink ref="H70" location="'L3 - Suppliermgt.'!F48" display="🔙" xr:uid="{00000000-0004-0000-0300-00003F000000}"/>
    <hyperlink ref="H71" location="'L3 - Suppliermgt.'!F50" display="🔙" xr:uid="{00000000-0004-0000-0300-000040000000}"/>
    <hyperlink ref="H72" location="'L3 - Suppliermgt.'!F52" display="🔙" xr:uid="{00000000-0004-0000-0300-000041000000}"/>
    <hyperlink ref="H73" location="'L3 - Suppliermgt.'!F54" display="🔙" xr:uid="{00000000-0004-0000-0300-000042000000}"/>
    <hyperlink ref="H74" location="'L3 - Suppliermgt.'!F58" display="🔙" xr:uid="{00000000-0004-0000-0300-000043000000}"/>
    <hyperlink ref="H75" location="'L3 - Suppliermgt.'!F60" display="🔙" xr:uid="{00000000-0004-0000-0300-000044000000}"/>
    <hyperlink ref="H77" location="'L4 - Procurement logistics'!F8" display="🔙" xr:uid="{00000000-0004-0000-0300-000045000000}"/>
    <hyperlink ref="H78" location="'L4 - Procurement logistics'!F10" display="🔙" xr:uid="{00000000-0004-0000-0300-000046000000}"/>
    <hyperlink ref="H79" location="'L4 - Procurement logistics'!F12" display="🔙" xr:uid="{00000000-0004-0000-0300-000047000000}"/>
    <hyperlink ref="H80" location="'L4 - Procurement logistics'!F14" display="🔙" xr:uid="{00000000-0004-0000-0300-000048000000}"/>
    <hyperlink ref="H81" location="'L4 - Procurement logistics'!F18" display="🔙" xr:uid="{00000000-0004-0000-0300-000049000000}"/>
    <hyperlink ref="H82" location="'L4 - Procurement logistics'!F20" display="🔙" xr:uid="{00000000-0004-0000-0300-00004A000000}"/>
    <hyperlink ref="H83" location="'L4 - Procurement logistics'!F22" display="🔙" xr:uid="{00000000-0004-0000-0300-00004B000000}"/>
    <hyperlink ref="H84" location="'L4 - Procurement logistics'!F24" display="🔙" xr:uid="{00000000-0004-0000-0300-00004C000000}"/>
    <hyperlink ref="H85" location="'L4 - Procurement logistics'!F26" display="🔙" xr:uid="{00000000-0004-0000-0300-00004D000000}"/>
    <hyperlink ref="H86" location="'L4 - Procurement logistics'!F30" display="🔙" xr:uid="{00000000-0004-0000-0300-00004E000000}"/>
    <hyperlink ref="H87" location="'L4 - Procurement logistics'!F32" display="🔙" xr:uid="{00000000-0004-0000-0300-00004F000000}"/>
    <hyperlink ref="H88" location="'L4 - Procurement logistics'!F34" display="🔙" xr:uid="{00000000-0004-0000-0300-000050000000}"/>
    <hyperlink ref="H89" location="'L4 - Procurement logistics'!F36" display="🔙" xr:uid="{00000000-0004-0000-0300-000051000000}"/>
    <hyperlink ref="H90" location="'L4 - Procurement logistics'!F40" display="🔙" xr:uid="{00000000-0004-0000-0300-000052000000}"/>
    <hyperlink ref="H91" location="'L4 - Procurement logistics'!F42" display="🔙" xr:uid="{00000000-0004-0000-0300-000053000000}"/>
    <hyperlink ref="H92" location="'L4 - Procurement logistics'!F44" display="🔙" xr:uid="{00000000-0004-0000-0300-000054000000}"/>
    <hyperlink ref="H93" location="'L4 - Procurement logistics'!F46" display="🔙" xr:uid="{00000000-0004-0000-0300-000055000000}"/>
    <hyperlink ref="H94" location="'L4 - Procurement logistics'!F50" display="🔙" xr:uid="{00000000-0004-0000-0300-000056000000}"/>
    <hyperlink ref="H95" location="'L4 - Procurement logistics'!F52" display="🔙" xr:uid="{00000000-0004-0000-0300-000057000000}"/>
    <hyperlink ref="H96" location="'L4 - Procurement logistics'!F54" display="🔙" xr:uid="{00000000-0004-0000-0300-000058000000}"/>
    <hyperlink ref="H97" location="'L4 - Procurement logistics'!F56" display="🔙" xr:uid="{00000000-0004-0000-0300-000059000000}"/>
    <hyperlink ref="H98" location="'L4 - Procurement logistics'!F58" display="🔙" xr:uid="{00000000-0004-0000-0300-00005A000000}"/>
    <hyperlink ref="H99" location="'L4 - Procurement logistics'!F62" display="🔙" xr:uid="{00000000-0004-0000-0300-00005B000000}"/>
    <hyperlink ref="H100" location="'L4 - Procurement logistics'!F64" display="🔙" xr:uid="{00000000-0004-0000-0300-00005C000000}"/>
    <hyperlink ref="H102" location="'L5 - Transport logistics'!F8" display="🔙" xr:uid="{00000000-0004-0000-0300-00005D000000}"/>
    <hyperlink ref="H103" location="'L5 - Transport logistics'!F10" display="🔙" xr:uid="{00000000-0004-0000-0300-00005E000000}"/>
    <hyperlink ref="H104" location="'L5 - Transport logistics'!F14" display="🔙" xr:uid="{00000000-0004-0000-0300-00005F000000}"/>
    <hyperlink ref="H105" location="'L5 - Transport logistics'!F16" display="🔙" xr:uid="{00000000-0004-0000-0300-000060000000}"/>
    <hyperlink ref="H106" location="'L5 - Transport logistics'!F18" display="🔙" xr:uid="{00000000-0004-0000-0300-000061000000}"/>
    <hyperlink ref="H107" location="'L5 - Transport logistics'!F20" display="🔙" xr:uid="{00000000-0004-0000-0300-000062000000}"/>
    <hyperlink ref="H108" location="'L5 - Transport logistics'!F22" display="🔙" xr:uid="{00000000-0004-0000-0300-000063000000}"/>
    <hyperlink ref="H109" location="'L5 - Transport logistics'!F26" display="🔙" xr:uid="{00000000-0004-0000-0300-000064000000}"/>
    <hyperlink ref="H110" location="'L5 - Transport logistics'!F28" display="🔙" xr:uid="{00000000-0004-0000-0300-000065000000}"/>
    <hyperlink ref="H111" location="'L5 - Transport logistics'!F30" display="🔙" xr:uid="{00000000-0004-0000-0300-000066000000}"/>
    <hyperlink ref="H112" location="'L5 - Transport logistics'!F32" display="🔙" xr:uid="{00000000-0004-0000-0300-000067000000}"/>
    <hyperlink ref="H113" location="'L5 - Transport logistics'!F36" display="🔙" xr:uid="{00000000-0004-0000-0300-000068000000}"/>
    <hyperlink ref="H114" location="'L5 - Transport logistics'!F38" display="🔙" xr:uid="{00000000-0004-0000-0300-000069000000}"/>
    <hyperlink ref="H115" location="'L5 - Transport logistics'!F40" display="🔙" xr:uid="{00000000-0004-0000-0300-00006A000000}"/>
    <hyperlink ref="H116" location="'L5 - Transport logistics'!F42" display="🔙" xr:uid="{00000000-0004-0000-0300-00006B000000}"/>
    <hyperlink ref="H117" location="'L5 - Transport logistics'!F46" display="🔙" xr:uid="{00000000-0004-0000-0300-00006C000000}"/>
    <hyperlink ref="H118" location="'L5 - Transport logistics'!F48" display="🔙" xr:uid="{00000000-0004-0000-0300-00006D000000}"/>
    <hyperlink ref="H119" location="'L5 - Transport logistics'!F50" display="🔙" xr:uid="{00000000-0004-0000-0300-00006E000000}"/>
    <hyperlink ref="H120" location="'L5 - Transport logistics'!F52" display="🔙" xr:uid="{00000000-0004-0000-0300-00006F000000}"/>
    <hyperlink ref="H121" location="'L5 - Transport logistics'!F54" display="🔙" xr:uid="{00000000-0004-0000-0300-000070000000}"/>
    <hyperlink ref="H122" location="'L5 - Transport logistics'!F56" display="🔙" xr:uid="{00000000-0004-0000-0300-000071000000}"/>
    <hyperlink ref="H123" location="'L5 - Transport logistics'!F60" display="🔙" xr:uid="{00000000-0004-0000-0300-000072000000}"/>
    <hyperlink ref="H124" location="'L5 - Transport logistics'!F62" display="🔙" xr:uid="{00000000-0004-0000-0300-000073000000}"/>
    <hyperlink ref="H126" location="'L6 -  In-house logistics'!F8" display="🔙" xr:uid="{00000000-0004-0000-0300-000074000000}"/>
    <hyperlink ref="H127" location="'L6 -  In-house logistics'!F10" display="🔙" xr:uid="{00000000-0004-0000-0300-000075000000}"/>
    <hyperlink ref="H128" location="'L6 -  In-house logistics'!F12" display="🔙" xr:uid="{00000000-0004-0000-0300-000076000000}"/>
    <hyperlink ref="H129" location="'L6 -  In-house logistics'!F16" display="🔙" xr:uid="{00000000-0004-0000-0300-000077000000}"/>
    <hyperlink ref="H130" location="'L6 -  In-house logistics'!F18" display="🔙" xr:uid="{00000000-0004-0000-0300-000078000000}"/>
    <hyperlink ref="H131" location="'L6 -  In-house logistics'!F20" display="🔙" xr:uid="{00000000-0004-0000-0300-000079000000}"/>
    <hyperlink ref="H132" location="'L6 -  In-house logistics'!F22" display="🔙" xr:uid="{00000000-0004-0000-0300-00007A000000}"/>
    <hyperlink ref="H133" location="'L6 -  In-house logistics'!F24" display="🔙" xr:uid="{00000000-0004-0000-0300-00007B000000}"/>
    <hyperlink ref="H134" location="'L6 -  In-house logistics'!F26" display="🔙" xr:uid="{00000000-0004-0000-0300-00007C000000}"/>
    <hyperlink ref="H135" location="'L6 -  In-house logistics'!F28" display="🔙" xr:uid="{00000000-0004-0000-0300-00007D000000}"/>
    <hyperlink ref="H136" location="'L6 -  In-house logistics'!F30" display="🔙" xr:uid="{00000000-0004-0000-0300-00007E000000}"/>
    <hyperlink ref="H137" location="'L6 -  In-house logistics'!F32" display="🔙" xr:uid="{00000000-0004-0000-0300-00007F000000}"/>
    <hyperlink ref="H138" location="'L6 -  In-house logistics'!F34" display="🔙" xr:uid="{00000000-0004-0000-0300-000080000000}"/>
    <hyperlink ref="H139" location="'L6 -  In-house logistics'!F38" display="🔙" xr:uid="{00000000-0004-0000-0300-000081000000}"/>
    <hyperlink ref="H140" location="'L6 -  In-house logistics'!F40" display="🔙" xr:uid="{00000000-0004-0000-0300-000082000000}"/>
    <hyperlink ref="H141" location="'L6 -  In-house logistics'!F42" display="🔙" xr:uid="{00000000-0004-0000-0300-000083000000}"/>
    <hyperlink ref="H142" location="'L6 -  In-house logistics'!F44" display="🔙" xr:uid="{00000000-0004-0000-0300-000084000000}"/>
    <hyperlink ref="H143" location="'L6 -  In-house logistics'!F48" display="🔙" xr:uid="{00000000-0004-0000-0300-000085000000}"/>
    <hyperlink ref="H144" location="'L6 -  In-house logistics'!F50" display="🔙" xr:uid="{00000000-0004-0000-0300-000086000000}"/>
    <hyperlink ref="H145" location="'L6 -  In-house logistics'!F52" display="🔙" xr:uid="{00000000-0004-0000-0300-000087000000}"/>
    <hyperlink ref="H146" location="'L6 -  In-house logistics'!F54" display="🔙" xr:uid="{00000000-0004-0000-0300-000088000000}"/>
    <hyperlink ref="H147" location="'L6 -  In-house logistics'!F56" display="🔙" xr:uid="{00000000-0004-0000-0300-000089000000}"/>
    <hyperlink ref="H148" location="'L6 -  In-house logistics'!F58" display="🔙" xr:uid="{00000000-0004-0000-0300-00008A000000}"/>
    <hyperlink ref="H149" location="'L6 -  In-house logistics'!F60" display="🔙" xr:uid="{00000000-0004-0000-0300-00008B000000}"/>
    <hyperlink ref="H150" location="'L6 -  In-house logistics'!F64" display="🔙" xr:uid="{00000000-0004-0000-0300-00008C000000}"/>
    <hyperlink ref="H151" location="'L6 -  In-house logistics'!F66" display="🔙" xr:uid="{00000000-0004-0000-0300-00008D000000}"/>
    <hyperlink ref="H152" location="'L6 -  In-house logistics'!F68" display="🔙" xr:uid="{00000000-0004-0000-0300-00008E000000}"/>
    <hyperlink ref="H153" location="'L6 -  In-house logistics'!F70" display="🔙" xr:uid="{00000000-0004-0000-0300-00008F000000}"/>
    <hyperlink ref="H154" location="'L6 -  In-house logistics'!F72" display="🔙" xr:uid="{00000000-0004-0000-0300-000090000000}"/>
    <hyperlink ref="H155" location="'L6 -  In-house logistics'!F74" display="🔙" xr:uid="{00000000-0004-0000-0300-000091000000}"/>
    <hyperlink ref="H156" location="'L6 -  In-house logistics'!F78" display="🔙" xr:uid="{00000000-0004-0000-0300-000092000000}"/>
    <hyperlink ref="H157" location="'L6 -  In-house logistics'!F80" display="🔙" xr:uid="{00000000-0004-0000-0300-000093000000}"/>
    <hyperlink ref="H159" location="'L7 - Customer management'!F8" display="🔙" xr:uid="{00000000-0004-0000-0300-000094000000}"/>
    <hyperlink ref="H160" location="'L7 - Customer management'!F10" display="🔙" xr:uid="{00000000-0004-0000-0300-000095000000}"/>
    <hyperlink ref="H161" location="'L7 - Customer management'!F12" display="🔙" xr:uid="{00000000-0004-0000-0300-000096000000}"/>
    <hyperlink ref="H162" location="'L7 - Customer management'!F16" display="🔙" xr:uid="{00000000-0004-0000-0300-000097000000}"/>
    <hyperlink ref="H163" location="'L7 - Customer management'!F18" display="🔙" xr:uid="{00000000-0004-0000-0300-000098000000}"/>
    <hyperlink ref="H164" location="'L7 - Customer management'!F20" display="🔙" xr:uid="{00000000-0004-0000-0300-000099000000}"/>
    <hyperlink ref="H165" location="'L7 - Customer management'!F24" display="🔙" xr:uid="{00000000-0004-0000-0300-00009A000000}"/>
    <hyperlink ref="H166" location="'L7 - Customer management'!F26" display="🔙" xr:uid="{00000000-0004-0000-0300-00009B000000}"/>
    <hyperlink ref="H167" location="'L7 - Customer management'!F28" display="🔙" xr:uid="{00000000-0004-0000-0300-00009C000000}"/>
    <hyperlink ref="H168" location="'L7 - Customer management'!F30" display="🔙" xr:uid="{00000000-0004-0000-0300-00009D000000}"/>
    <hyperlink ref="H169" location="'L7 - Customer management'!F34" display="🔙" xr:uid="{00000000-0004-0000-0300-00009E000000}"/>
    <hyperlink ref="H170" location="'L7 - Customer management'!F36" display="🔙" xr:uid="{00000000-0004-0000-0300-00009F000000}"/>
    <hyperlink ref="H171" location="'L7 - Customer management'!F38" display="🔙" xr:uid="{00000000-0004-0000-0300-0000A0000000}"/>
    <hyperlink ref="H172" location="'L7 - Customer management'!F42" display="🔙" xr:uid="{00000000-0004-0000-0300-0000A1000000}"/>
    <hyperlink ref="H173" location="'L7 - Customer management'!F44" display="🔙" xr:uid="{00000000-0004-0000-0300-0000A2000000}"/>
    <hyperlink ref="H174" location="'L7 - Customer management'!F46" display="🔙" xr:uid="{00000000-0004-0000-0300-0000A3000000}"/>
    <hyperlink ref="H175" location="'L7 - Customer management'!F48" display="🔙" xr:uid="{00000000-0004-0000-0300-0000A4000000}"/>
    <hyperlink ref="H176" location="'L7 - Customer management'!F50" display="🔙" xr:uid="{00000000-0004-0000-0300-0000A5000000}"/>
    <hyperlink ref="H177" location="'L7 - Customer management'!F54" display="🔙" xr:uid="{00000000-0004-0000-0300-0000A6000000}"/>
    <hyperlink ref="H178" location="'L7 - Customer management'!F56" display="🔙" xr:uid="{00000000-0004-0000-0300-0000A7000000}"/>
  </hyperlinks>
  <pageMargins left="0.75" right="0.75" top="1" bottom="1" header="0.5" footer="0.5"/>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7C3E3-73C4-7C4D-8695-53D00433CF96}">
  <sheetPr codeName="Sheet4"/>
  <dimension ref="A1:M65"/>
  <sheetViews>
    <sheetView workbookViewId="0">
      <selection activeCell="H44" sqref="H44"/>
    </sheetView>
  </sheetViews>
  <sheetFormatPr baseColWidth="10" defaultColWidth="8.83203125" defaultRowHeight="16"/>
  <cols>
    <col min="1" max="8" width="21.1640625" customWidth="1"/>
    <col min="10" max="13" width="13" hidden="1" customWidth="1"/>
  </cols>
  <sheetData>
    <row r="1" spans="1:8" ht="18" customHeight="1">
      <c r="A1" s="82" t="s">
        <v>342</v>
      </c>
    </row>
    <row r="4" spans="1:8">
      <c r="A4" t="s">
        <v>5</v>
      </c>
      <c r="B4" t="s">
        <v>343</v>
      </c>
      <c r="C4" t="s">
        <v>344</v>
      </c>
      <c r="D4" t="s">
        <v>345</v>
      </c>
      <c r="E4" t="s">
        <v>346</v>
      </c>
      <c r="F4" t="s">
        <v>347</v>
      </c>
      <c r="G4" t="s">
        <v>348</v>
      </c>
      <c r="H4" t="s">
        <v>349</v>
      </c>
    </row>
    <row r="5" spans="1:8">
      <c r="B5" s="83" t="str">
        <f>'L1 - Project management'!F64</f>
        <v>n.e.</v>
      </c>
      <c r="C5" s="83" t="str">
        <f>'L2 - Logistics planning'!F66</f>
        <v>n.e.</v>
      </c>
      <c r="D5" s="83" t="str">
        <f>'L3 - Suppliermgt.'!F62</f>
        <v>n.e.</v>
      </c>
      <c r="E5" s="83" t="str">
        <f>'L4 - Procurement logistics'!F66</f>
        <v>n.e.</v>
      </c>
      <c r="F5" s="83" t="str">
        <f>'L5 - Transport logistics'!F64</f>
        <v>n.e.</v>
      </c>
      <c r="G5" s="83" t="str">
        <f>'L6 -  In-house logistics'!F82</f>
        <v>n.e.</v>
      </c>
      <c r="H5" s="83" t="str">
        <f>'L7 - Customer management'!F58</f>
        <v>n.e.</v>
      </c>
    </row>
    <row r="7" spans="1:8">
      <c r="A7" t="s">
        <v>350</v>
      </c>
      <c r="B7" t="s">
        <v>351</v>
      </c>
      <c r="C7" t="s">
        <v>352</v>
      </c>
      <c r="D7" t="s">
        <v>353</v>
      </c>
      <c r="E7" t="s">
        <v>354</v>
      </c>
      <c r="F7" t="s">
        <v>355</v>
      </c>
      <c r="G7" t="s">
        <v>356</v>
      </c>
      <c r="H7" t="s">
        <v>357</v>
      </c>
    </row>
    <row r="8" spans="1:8">
      <c r="B8" s="83" t="str">
        <f>'L1 - Project management'!F66</f>
        <v>n.e.</v>
      </c>
      <c r="C8" s="83" t="str">
        <f>'L2 - Logistics planning'!F68</f>
        <v>n.e.</v>
      </c>
      <c r="D8" s="83" t="str">
        <f>'L3 - Suppliermgt.'!F64</f>
        <v>n.e.</v>
      </c>
      <c r="E8" s="83" t="str">
        <f>'L4 - Procurement logistics'!F68</f>
        <v>n.e.</v>
      </c>
      <c r="F8" s="83" t="str">
        <f>'L5 - Transport logistics'!F66</f>
        <v>n.e.</v>
      </c>
      <c r="G8" s="83" t="str">
        <f>'L6 -  In-house logistics'!F84</f>
        <v>n.e.</v>
      </c>
      <c r="H8" s="83" t="str">
        <f>'L7 - Customer management'!F60</f>
        <v>n.e.</v>
      </c>
    </row>
    <row r="10" spans="1:8">
      <c r="A10" t="s">
        <v>358</v>
      </c>
      <c r="B10">
        <f>SUM('L1 - Project management'!F8,'L1 - Project management'!F10,'L1 - Project management'!F12,'L1 - Project management'!F14,'L1 - Project management'!F18,'L1 - Project management'!F20,'L1 - Project management'!F22,'L1 - Project management'!F24,'L1 - Project management'!F26,'L1 - Project management'!F30,'L1 - Project management'!F32,'L1 - Project management'!F34,'L1 - Project management'!F36,'L1 - Project management'!F40,'L1 - Project management'!F42,'L1 - Project management'!F44,'L1 - Project management'!F48,'L1 - Project management'!F50,'L1 - Project management'!F52,'L1 - Project management'!F54,'L1 - Project management'!F58,'L1 - Project management'!F60,'L1 - Project management'!F62)</f>
        <v>0</v>
      </c>
      <c r="C10">
        <f>SUM('L2 - Logistics planning'!F8,'L2 - Logistics planning'!F10,'L2 - Logistics planning'!F14,'L2 - Logistics planning'!F16,'L2 - Logistics planning'!F18,'L2 - Logistics planning'!F20,'L2 - Logistics planning'!F22,'L2 - Logistics planning'!F24,'L2 - Logistics planning'!F26,'L2 - Logistics planning'!F30,'L2 - Logistics planning'!F32,'L2 - Logistics planning'!F34,'L2 - Logistics planning'!F36,'L2 - Logistics planning'!F40,'L2 - Logistics planning'!F42,'L2 - Logistics planning'!F44,'L2 - Logistics planning'!F46,'L2 - Logistics planning'!F50,'L2 - Logistics planning'!F52,'L2 - Logistics planning'!F54,'L2 - Logistics planning'!F56,'L2 - Logistics planning'!F60,'L2 - Logistics planning'!F62,'L2 - Logistics planning'!F64)</f>
        <v>0</v>
      </c>
      <c r="D10">
        <f>SUM('L3 - Suppliermgt.'!F8,'L3 - Suppliermgt.'!F12,'L3 - Suppliermgt.'!F14,'L3 - Suppliermgt.'!F16,'L3 - Suppliermgt.'!F18,'L3 - Suppliermgt.'!F20,'L3 - Suppliermgt.'!F22,'L3 - Suppliermgt.'!F24,'L3 - Suppliermgt.'!F28,'L3 - Suppliermgt.'!F30,'L3 - Suppliermgt.'!F32,'L3 - Suppliermgt.'!F34,'L3 - Suppliermgt.'!F38,'L3 - Suppliermgt.'!F40,'L3 - Suppliermgt.'!F42,'L3 - Suppliermgt.'!F46,'L3 - Suppliermgt.'!F48,'L3 - Suppliermgt.'!F50,'L3 - Suppliermgt.'!F52,'L3 - Suppliermgt.'!F54,'L3 - Suppliermgt.'!F58,'L3 - Suppliermgt.'!F60)</f>
        <v>0</v>
      </c>
      <c r="E10">
        <f>SUM('L4 - Procurement logistics'!F8,'L4 - Procurement logistics'!F10,'L4 - Procurement logistics'!F12,'L4 - Procurement logistics'!F14,'L4 - Procurement logistics'!F18,'L4 - Procurement logistics'!F20,'L4 - Procurement logistics'!F22,'L4 - Procurement logistics'!F24,'L4 - Procurement logistics'!F26,'L4 - Procurement logistics'!F30,'L4 - Procurement logistics'!F32,'L4 - Procurement logistics'!F34,'L4 - Procurement logistics'!F36,'L4 - Procurement logistics'!F40,'L4 - Procurement logistics'!F42,'L4 - Procurement logistics'!F44,'L4 - Procurement logistics'!F46,'L4 - Procurement logistics'!F50,'L4 - Procurement logistics'!F52,'L4 - Procurement logistics'!F54,'L4 - Procurement logistics'!F56,'L4 - Procurement logistics'!F58,'L4 - Procurement logistics'!F62,'L4 - Procurement logistics'!F64)</f>
        <v>0</v>
      </c>
      <c r="F10">
        <f>SUM('L5 - Transport logistics'!F8,'L5 - Transport logistics'!F10,'L5 - Transport logistics'!F14,'L5 - Transport logistics'!F16,'L5 - Transport logistics'!F18,'L5 - Transport logistics'!F20,'L5 - Transport logistics'!F22,'L5 - Transport logistics'!F26,'L5 - Transport logistics'!F28,'L5 - Transport logistics'!F30,'L5 - Transport logistics'!F32,'L5 - Transport logistics'!F36,'L5 - Transport logistics'!F38,'L5 - Transport logistics'!F40,'L5 - Transport logistics'!F42,'L5 - Transport logistics'!F46,'L5 - Transport logistics'!F48,'L5 - Transport logistics'!F50,'L5 - Transport logistics'!F52,'L5 - Transport logistics'!F54,'L5 - Transport logistics'!F56,'L5 - Transport logistics'!F60,'L5 - Transport logistics'!F62)</f>
        <v>0</v>
      </c>
      <c r="G10">
        <f>SUM('L6 -  In-house logistics'!F8,'L6 -  In-house logistics'!F10,'L6 -  In-house logistics'!F12,'L6 -  In-house logistics'!F16,'L6 -  In-house logistics'!F18,'L6 -  In-house logistics'!F20,'L6 -  In-house logistics'!F22,'L6 -  In-house logistics'!F24,'L6 -  In-house logistics'!F26,'L6 -  In-house logistics'!F28,'L6 -  In-house logistics'!F30,'L6 -  In-house logistics'!F32,'L6 -  In-house logistics'!F34,'L6 -  In-house logistics'!F38,'L6 -  In-house logistics'!F40,'L6 -  In-house logistics'!F42,'L6 -  In-house logistics'!F44,'L6 -  In-house logistics'!F48,'L6 -  In-house logistics'!F50,'L6 -  In-house logistics'!F52,'L6 -  In-house logistics'!F54,'L6 -  In-house logistics'!F56,'L6 -  In-house logistics'!F58,'L6 -  In-house logistics'!F60,'L6 -  In-house logistics'!F64,'L6 -  In-house logistics'!F66,'L6 -  In-house logistics'!F68,'L6 -  In-house logistics'!F70,'L6 -  In-house logistics'!F72,'L6 -  In-house logistics'!F74,'L6 -  In-house logistics'!F78,'L6 -  In-house logistics'!F80)</f>
        <v>0</v>
      </c>
      <c r="H10">
        <f>SUM('L7 - Customer management'!F8,'L7 - Customer management'!F10,'L7 - Customer management'!F12,'L7 - Customer management'!F16,'L7 - Customer management'!F18,'L7 - Customer management'!F20,'L7 - Customer management'!F24,'L7 - Customer management'!F26,'L7 - Customer management'!F28,'L7 - Customer management'!F30,'L7 - Customer management'!F34,'L7 - Customer management'!F36,'L7 - Customer management'!F38,'L7 - Customer management'!F42,'L7 - Customer management'!F44,'L7 - Customer management'!F46,'L7 - Customer management'!F48,'L7 - Customer management'!F50,'L7 - Customer management'!F54,'L7 - Customer management'!F56)</f>
        <v>0</v>
      </c>
    </row>
    <row r="11" spans="1:8">
      <c r="A11" t="s">
        <v>359</v>
      </c>
      <c r="B11">
        <f>COUNT('L1 - Project management'!F8,'L1 - Project management'!F10,'L1 - Project management'!F12,'L1 - Project management'!F14,'L1 - Project management'!F18,'L1 - Project management'!F20,'L1 - Project management'!F22,'L1 - Project management'!F24,'L1 - Project management'!F26,'L1 - Project management'!F30,'L1 - Project management'!F32,'L1 - Project management'!F34,'L1 - Project management'!F36,'L1 - Project management'!F40,'L1 - Project management'!F42,'L1 - Project management'!F44,'L1 - Project management'!F48,'L1 - Project management'!F50,'L1 - Project management'!F52,'L1 - Project management'!F54,'L1 - Project management'!F58,'L1 - Project management'!F60,'L1 - Project management'!F62)</f>
        <v>0</v>
      </c>
      <c r="C11">
        <f>COUNT('L2 - Logistics planning'!F8,'L2 - Logistics planning'!F10,'L2 - Logistics planning'!F14,'L2 - Logistics planning'!F16,'L2 - Logistics planning'!F18,'L2 - Logistics planning'!F20,'L2 - Logistics planning'!F22,'L2 - Logistics planning'!F24,'L2 - Logistics planning'!F26,'L2 - Logistics planning'!F30,'L2 - Logistics planning'!F32,'L2 - Logistics planning'!F34,'L2 - Logistics planning'!F36,'L2 - Logistics planning'!F40,'L2 - Logistics planning'!F42,'L2 - Logistics planning'!F44,'L2 - Logistics planning'!F46,'L2 - Logistics planning'!F50,'L2 - Logistics planning'!F52,'L2 - Logistics planning'!F54,'L2 - Logistics planning'!F56,'L2 - Logistics planning'!F60,'L2 - Logistics planning'!F62,'L2 - Logistics planning'!F64)</f>
        <v>0</v>
      </c>
      <c r="D11">
        <f>COUNT('L3 - Suppliermgt.'!F8,'L3 - Suppliermgt.'!F12,'L3 - Suppliermgt.'!F14,'L3 - Suppliermgt.'!F16,'L3 - Suppliermgt.'!F18,'L3 - Suppliermgt.'!F20,'L3 - Suppliermgt.'!F22,'L3 - Suppliermgt.'!F24,'L3 - Suppliermgt.'!F28,'L3 - Suppliermgt.'!F30,'L3 - Suppliermgt.'!F32,'L3 - Suppliermgt.'!F34,'L3 - Suppliermgt.'!F38,'L3 - Suppliermgt.'!F40,'L3 - Suppliermgt.'!F42,'L3 - Suppliermgt.'!F46,'L3 - Suppliermgt.'!F48,'L3 - Suppliermgt.'!F50,'L3 - Suppliermgt.'!F52,'L3 - Suppliermgt.'!F54,'L3 - Suppliermgt.'!F58,'L3 - Suppliermgt.'!F60)</f>
        <v>0</v>
      </c>
      <c r="E11">
        <f>COUNT('L4 - Procurement logistics'!F8,'L4 - Procurement logistics'!F10,'L4 - Procurement logistics'!F12,'L4 - Procurement logistics'!F14,'L4 - Procurement logistics'!F18,'L4 - Procurement logistics'!F20,'L4 - Procurement logistics'!F22,'L4 - Procurement logistics'!F24,'L4 - Procurement logistics'!F26,'L4 - Procurement logistics'!F30,'L4 - Procurement logistics'!F32,'L4 - Procurement logistics'!F34,'L4 - Procurement logistics'!F36,'L4 - Procurement logistics'!F40,'L4 - Procurement logistics'!F42,'L4 - Procurement logistics'!F44,'L4 - Procurement logistics'!F46,'L4 - Procurement logistics'!F50,'L4 - Procurement logistics'!F52,'L4 - Procurement logistics'!F54,'L4 - Procurement logistics'!F56,'L4 - Procurement logistics'!F58,'L4 - Procurement logistics'!F62,'L4 - Procurement logistics'!F64)</f>
        <v>0</v>
      </c>
      <c r="F11">
        <f>COUNT('L5 - Transport logistics'!F8,'L5 - Transport logistics'!F10,'L5 - Transport logistics'!F14,'L5 - Transport logistics'!F16,'L5 - Transport logistics'!F18,'L5 - Transport logistics'!F20,'L5 - Transport logistics'!F22,'L5 - Transport logistics'!F26,'L5 - Transport logistics'!F28,'L5 - Transport logistics'!F30,'L5 - Transport logistics'!F32,'L5 - Transport logistics'!F36,'L5 - Transport logistics'!F38,'L5 - Transport logistics'!F40,'L5 - Transport logistics'!F42,'L5 - Transport logistics'!F46,'L5 - Transport logistics'!F48,'L5 - Transport logistics'!F50,'L5 - Transport logistics'!F52,'L5 - Transport logistics'!F54,'L5 - Transport logistics'!F56,'L5 - Transport logistics'!F60,'L5 - Transport logistics'!F62)</f>
        <v>0</v>
      </c>
      <c r="G11">
        <f>COUNT('L6 -  In-house logistics'!F8,'L6 -  In-house logistics'!F10,'L6 -  In-house logistics'!F12,'L6 -  In-house logistics'!F16,'L6 -  In-house logistics'!F18,'L6 -  In-house logistics'!F20,'L6 -  In-house logistics'!F22,'L6 -  In-house logistics'!F24,'L6 -  In-house logistics'!F26,'L6 -  In-house logistics'!F28,'L6 -  In-house logistics'!F30,'L6 -  In-house logistics'!F32,'L6 -  In-house logistics'!F34,'L6 -  In-house logistics'!F38,'L6 -  In-house logistics'!F40,'L6 -  In-house logistics'!F42,'L6 -  In-house logistics'!F44,'L6 -  In-house logistics'!F48,'L6 -  In-house logistics'!F50,'L6 -  In-house logistics'!F52,'L6 -  In-house logistics'!F54,'L6 -  In-house logistics'!F56,'L6 -  In-house logistics'!F58,'L6 -  In-house logistics'!F60,'L6 -  In-house logistics'!F64,'L6 -  In-house logistics'!F66,'L6 -  In-house logistics'!F68,'L6 -  In-house logistics'!F70,'L6 -  In-house logistics'!F72,'L6 -  In-house logistics'!F74,'L6 -  In-house logistics'!F78,'L6 -  In-house logistics'!F80)</f>
        <v>0</v>
      </c>
      <c r="H11">
        <f>COUNT('L7 - Customer management'!F8,'L7 - Customer management'!F10,'L7 - Customer management'!F12,'L7 - Customer management'!F16,'L7 - Customer management'!F18,'L7 - Customer management'!F20,'L7 - Customer management'!F24,'L7 - Customer management'!F26,'L7 - Customer management'!F28,'L7 - Customer management'!F30,'L7 - Customer management'!F34,'L7 - Customer management'!F36,'L7 - Customer management'!F38,'L7 - Customer management'!F42,'L7 - Customer management'!F44,'L7 - Customer management'!F46,'L7 - Customer management'!F48,'L7 - Customer management'!F50,'L7 - Customer management'!F54,'L7 - Customer management'!F56)</f>
        <v>0</v>
      </c>
    </row>
    <row r="23" spans="1:3">
      <c r="A23" t="s">
        <v>360</v>
      </c>
    </row>
    <row r="28" spans="1:3">
      <c r="A28" s="84" t="s">
        <v>361</v>
      </c>
    </row>
    <row r="29" spans="1:3">
      <c r="A29" t="s">
        <v>362</v>
      </c>
      <c r="B29" s="83">
        <f>MIN(B5,C5,D5,E5,F5,G5,H5)</f>
        <v>0</v>
      </c>
      <c r="C29" t="str">
        <f>IF(NOT(ISNUMBER(B29)),"n.e.",IF(B29&lt;0.7,"C",IF(B29&lt;0.8,"B","A")))</f>
        <v>C</v>
      </c>
    </row>
    <row r="30" spans="1:3">
      <c r="A30" t="s">
        <v>363</v>
      </c>
      <c r="B30" s="83" t="str">
        <f>IF(COUNT('L1 - Project management'!F8,'L1 - Project management'!F22,'L1 - Project management'!F26,'L1 - Project management'!F36,'L1 - Project management'!F42,'L1 - Project management'!F48,'L1 - Project management'!F62,'L2 - Logistics planning'!F14,'L2 - Logistics planning'!F18,'L2 - Logistics planning'!F24,'L2 - Logistics planning'!F36,'L2 - Logistics planning'!F42,'L2 - Logistics planning'!F50,'L2 - Logistics planning'!F60,'L3 - Suppliermgt.'!F12,'L3 - Suppliermgt.'!F14,'L3 - Suppliermgt.'!F20,'L3 - Suppliermgt.'!F34,'L3 - Suppliermgt.'!F40,'L3 - Suppliermgt.'!F46,'L3 - Suppliermgt.'!F50,'L3 - Suppliermgt.'!F58,'L4 - Procurement logistics'!F8,'L4 - Procurement logistics'!F18,'L4 - Procurement logistics'!F22,'L4 - Procurement logistics'!F26,'L4 - Procurement logistics'!F36,'L4 - Procurement logistics'!F42,'L4 - Procurement logistics'!F50,'L4 - Procurement logistics'!F54,'L4 - Procurement logistics'!F62,'L5 - Transport logistics'!F10,'L5 - Transport logistics'!F14,'L5 - Transport logistics'!F20,'L5 - Transport logistics'!F32,'L5 - Transport logistics'!F36,'L5 - Transport logistics'!F40,'L5 - Transport logistics'!F46,'L5 - Transport logistics'!F50,'L5 - Transport logistics'!F60,'L6 -  In-house logistics'!F10,'L6 -  In-house logistics'!F12,'L6 -  In-house logistics'!F16,'L6 -  In-house logistics'!F20,'L6 -  In-house logistics'!F22,'L6 -  In-house logistics'!F26,'L6 -  In-house logistics'!F32,'L6 -  In-house logistics'!F34,'L6 -  In-house logistics'!F42,'L6 -  In-house logistics'!F44,'L6 -  In-house logistics'!F48,'L6 -  In-house logistics'!F50,'L6 -  In-house logistics'!F54,'L6 -  In-house logistics'!F64,'L6 -  In-house logistics'!F68,'L6 -  In-house logistics'!F78,'L7 - Customer management'!F10,'L7 - Customer management'!F16,'L7 - Customer management'!F18,'L7 - Customer management'!F30,'L7 - Customer management'!F42,'L7 - Customer management'!F46,'L7 - Customer management'!F54)=0,"n.e.",SUM('L1 - Project management'!F8,'L1 - Project management'!F22,'L1 - Project management'!F26,'L1 - Project management'!F36,'L1 - Project management'!F42,'L1 - Project management'!F48,'L1 - Project management'!F62,'L2 - Logistics planning'!F14,'L2 - Logistics planning'!F18,'L2 - Logistics planning'!F24,'L2 - Logistics planning'!F36,'L2 - Logistics planning'!F42,'L2 - Logistics planning'!F50,'L2 - Logistics planning'!F60,'L3 - Suppliermgt.'!F12,'L3 - Suppliermgt.'!F14,'L3 - Suppliermgt.'!F20,'L3 - Suppliermgt.'!F34,'L3 - Suppliermgt.'!F40,'L3 - Suppliermgt.'!F46,'L3 - Suppliermgt.'!F50,'L3 - Suppliermgt.'!F58,'L4 - Procurement logistics'!F8,'L4 - Procurement logistics'!F18,'L4 - Procurement logistics'!F22,'L4 - Procurement logistics'!F26,'L4 - Procurement logistics'!F36,'L4 - Procurement logistics'!F42,'L4 - Procurement logistics'!F50,'L4 - Procurement logistics'!F54,'L4 - Procurement logistics'!F62,'L5 - Transport logistics'!F10,'L5 - Transport logistics'!F14,'L5 - Transport logistics'!F20,'L5 - Transport logistics'!F32,'L5 - Transport logistics'!F36,'L5 - Transport logistics'!F40,'L5 - Transport logistics'!F46,'L5 - Transport logistics'!F50,'L5 - Transport logistics'!F60,'L6 -  In-house logistics'!F10,'L6 -  In-house logistics'!F12,'L6 -  In-house logistics'!F16,'L6 -  In-house logistics'!F20,'L6 -  In-house logistics'!F22,'L6 -  In-house logistics'!F26,'L6 -  In-house logistics'!F32,'L6 -  In-house logistics'!F34,'L6 -  In-house logistics'!F42,'L6 -  In-house logistics'!F44,'L6 -  In-house logistics'!F48,'L6 -  In-house logistics'!F50,'L6 -  In-house logistics'!F54,'L6 -  In-house logistics'!F64,'L6 -  In-house logistics'!F68,'L6 -  In-house logistics'!F78,'L7 - Customer management'!F10,'L7 - Customer management'!F16,'L7 - Customer management'!F18,'L7 - Customer management'!F30,'L7 - Customer management'!F42,'L7 - Customer management'!F46,'L7 - Customer management'!F54)/(COUNT('L1 - Project management'!F8,'L1 - Project management'!F22,'L1 - Project management'!F26,'L1 - Project management'!F36,'L1 - Project management'!F42,'L1 - Project management'!F48,'L1 - Project management'!F62,'L2 - Logistics planning'!F14,'L2 - Logistics planning'!F18,'L2 - Logistics planning'!F24,'L2 - Logistics planning'!F36,'L2 - Logistics planning'!F42,'L2 - Logistics planning'!F50,'L2 - Logistics planning'!F60,'L3 - Suppliermgt.'!F12,'L3 - Suppliermgt.'!F14,'L3 - Suppliermgt.'!F20,'L3 - Suppliermgt.'!F34,'L3 - Suppliermgt.'!F40,'L3 - Suppliermgt.'!F46,'L3 - Suppliermgt.'!F50,'L3 - Suppliermgt.'!F58,'L4 - Procurement logistics'!F8,'L4 - Procurement logistics'!F18,'L4 - Procurement logistics'!F22,'L4 - Procurement logistics'!F26,'L4 - Procurement logistics'!F36,'L4 - Procurement logistics'!F42,'L4 - Procurement logistics'!F50,'L4 - Procurement logistics'!F54,'L4 - Procurement logistics'!F62,'L5 - Transport logistics'!F10,'L5 - Transport logistics'!F14,'L5 - Transport logistics'!F20,'L5 - Transport logistics'!F32,'L5 - Transport logistics'!F36,'L5 - Transport logistics'!F40,'L5 - Transport logistics'!F46,'L5 - Transport logistics'!F50,'L5 - Transport logistics'!F60,'L6 -  In-house logistics'!F10,'L6 -  In-house logistics'!F12,'L6 -  In-house logistics'!F16,'L6 -  In-house logistics'!F20,'L6 -  In-house logistics'!F22,'L6 -  In-house logistics'!F26,'L6 -  In-house logistics'!F32,'L6 -  In-house logistics'!F34,'L6 -  In-house logistics'!F42,'L6 -  In-house logistics'!F44,'L6 -  In-house logistics'!F48,'L6 -  In-house logistics'!F50,'L6 -  In-house logistics'!F54,'L6 -  In-house logistics'!F64,'L6 -  In-house logistics'!F68,'L6 -  In-house logistics'!F78,'L7 - Customer management'!F10,'L7 - Customer management'!F16,'L7 - Customer management'!F18,'L7 - Customer management'!F30,'L7 - Customer management'!F42,'L7 - Customer management'!F46,'L7 - Customer management'!F54)*10))</f>
        <v>n.e.</v>
      </c>
      <c r="C30" t="str">
        <f>IF(NOT(ISNUMBER(B30)),"n.e.",IF(B30&lt;0.7,"C",IF(B30&lt;0.8,"B","A")))</f>
        <v>n.e.</v>
      </c>
    </row>
    <row r="31" spans="1:3">
      <c r="A31" t="s">
        <v>364</v>
      </c>
      <c r="B31" t="b">
        <f>(('L1 - Project management'!F8=4)*ISNUMBER('L1 - Project management'!F8)+('L1 - Project management'!F22=4)*ISNUMBER('L1 - Project management'!F22)+('L1 - Project management'!F26=4)*ISNUMBER('L1 - Project management'!F26)+('L1 - Project management'!F36=4)*ISNUMBER('L1 - Project management'!F36)+('L1 - Project management'!F42=4)*ISNUMBER('L1 - Project management'!F42)+('L1 - Project management'!F48=4)*ISNUMBER('L1 - Project management'!F48)+('L1 - Project management'!F62=4)*ISNUMBER('L1 - Project management'!F62)+('L2 - Logistics planning'!F14=4)*ISNUMBER('L2 - Logistics planning'!F14)+('L2 - Logistics planning'!F18=4)*ISNUMBER('L2 - Logistics planning'!F18)+('L2 - Logistics planning'!F24=4)*ISNUMBER('L2 - Logistics planning'!F24)+('L2 - Logistics planning'!F36=4)*ISNUMBER('L2 - Logistics planning'!F36)+('L2 - Logistics planning'!F42=4)*ISNUMBER('L2 - Logistics planning'!F42)+('L2 - Logistics planning'!F50=4)*ISNUMBER('L2 - Logistics planning'!F50)+('L2 - Logistics planning'!F60=4)*ISNUMBER('L2 - Logistics planning'!F60)+('L3 - Suppliermgt.'!F12=4)*ISNUMBER('L3 - Suppliermgt.'!F12)+('L3 - Suppliermgt.'!F14=4)*ISNUMBER('L3 - Suppliermgt.'!F14)+('L3 - Suppliermgt.'!F20=4)*ISNUMBER('L3 - Suppliermgt.'!F20)+('L3 - Suppliermgt.'!F34=4)*ISNUMBER('L3 - Suppliermgt.'!F34)+('L3 - Suppliermgt.'!F40=4)*ISNUMBER('L3 - Suppliermgt.'!F40)+('L3 - Suppliermgt.'!F46=4)*ISNUMBER('L3 - Suppliermgt.'!F46)+('L3 - Suppliermgt.'!F50=4)*ISNUMBER('L3 - Suppliermgt.'!F50)+('L3 - Suppliermgt.'!F58=4)*ISNUMBER('L3 - Suppliermgt.'!F58)+('L4 - Procurement logistics'!F8=4)*ISNUMBER('L4 - Procurement logistics'!F8)+('L4 - Procurement logistics'!F18=4)*ISNUMBER('L4 - Procurement logistics'!F18)+('L4 - Procurement logistics'!F22=4)*ISNUMBER('L4 - Procurement logistics'!F22)+('L4 - Procurement logistics'!F26=4)*ISNUMBER('L4 - Procurement logistics'!F26)+('L4 - Procurement logistics'!F36=4)*ISNUMBER('L4 - Procurement logistics'!F36)+('L4 - Procurement logistics'!F42=4)*ISNUMBER('L4 - Procurement logistics'!F42)+('L4 - Procurement logistics'!F50=4)*ISNUMBER('L4 - Procurement logistics'!F50)+('L4 - Procurement logistics'!F54=4)*ISNUMBER('L4 - Procurement logistics'!F54)+('L4 - Procurement logistics'!F62=4)*ISNUMBER('L4 - Procurement logistics'!F62)+('L5 - Transport logistics'!F10=4)*ISNUMBER('L5 - Transport logistics'!F10)+('L5 - Transport logistics'!F14=4)*ISNUMBER('L5 - Transport logistics'!F14)+('L5 - Transport logistics'!F20=4)*ISNUMBER('L5 - Transport logistics'!F20)+('L5 - Transport logistics'!F32=4)*ISNUMBER('L5 - Transport logistics'!F32)+('L5 - Transport logistics'!F36=4)*ISNUMBER('L5 - Transport logistics'!F36)+('L5 - Transport logistics'!F40=4)*ISNUMBER('L5 - Transport logistics'!F40)+('L5 - Transport logistics'!F46=4)*ISNUMBER('L5 - Transport logistics'!F46)+('L5 - Transport logistics'!F50=4)*ISNUMBER('L5 - Transport logistics'!F50)+('L5 - Transport logistics'!F60=4)*ISNUMBER('L5 - Transport logistics'!F60)+('L6 -  In-house logistics'!F10=4)*ISNUMBER('L6 -  In-house logistics'!F10)+('L6 -  In-house logistics'!F12=4)*ISNUMBER('L6 -  In-house logistics'!F12)+('L6 -  In-house logistics'!F16=4)*ISNUMBER('L6 -  In-house logistics'!F16)+('L6 -  In-house logistics'!F20=4)*ISNUMBER('L6 -  In-house logistics'!F20)+('L6 -  In-house logistics'!F22=4)*ISNUMBER('L6 -  In-house logistics'!F22)+('L6 -  In-house logistics'!F26=4)*ISNUMBER('L6 -  In-house logistics'!F26)+('L6 -  In-house logistics'!F32=4)*ISNUMBER('L6 -  In-house logistics'!F32)+('L6 -  In-house logistics'!F34=4)*ISNUMBER('L6 -  In-house logistics'!F34)+('L6 -  In-house logistics'!F42=4)*ISNUMBER('L6 -  In-house logistics'!F42)+('L6 -  In-house logistics'!F44=4)*ISNUMBER('L6 -  In-house logistics'!F44)+('L6 -  In-house logistics'!F48=4)*ISNUMBER('L6 -  In-house logistics'!F48)+('L6 -  In-house logistics'!F50=4)*ISNUMBER('L6 -  In-house logistics'!F50)+('L6 -  In-house logistics'!F54=4)*ISNUMBER('L6 -  In-house logistics'!F54)+('L6 -  In-house logistics'!F64=4)*ISNUMBER('L6 -  In-house logistics'!F64)+('L6 -  In-house logistics'!F68=4)*ISNUMBER('L6 -  In-house logistics'!F68)+('L6 -  In-house logistics'!F78=4)*ISNUMBER('L6 -  In-house logistics'!F78)+('L7 - Customer management'!F10=4)*ISNUMBER('L7 - Customer management'!F10)+('L7 - Customer management'!F16=4)*ISNUMBER('L7 - Customer management'!F16)+('L7 - Customer management'!F18=4)*ISNUMBER('L7 - Customer management'!F18)+('L7 - Customer management'!F30=4)*ISNUMBER('L7 - Customer management'!F30)+('L7 - Customer management'!F42=4)*ISNUMBER('L7 - Customer management'!F42)+('L7 - Customer management'!F46=4)*ISNUMBER('L7 - Customer management'!F46)+('L7 - Customer management'!F54=4)*ISNUMBER('L7 - Customer management'!F54))&gt;0</f>
        <v>0</v>
      </c>
      <c r="C31" t="str">
        <f>IF(B31,"B","A")</f>
        <v>A</v>
      </c>
    </row>
    <row r="32" spans="1:3">
      <c r="A32" t="s">
        <v>365</v>
      </c>
      <c r="B32" t="b">
        <f>(('L1 - Project management'!F8=0)*ISNUMBER('L1 - Project management'!F8)+('L1 - Project management'!F22=0)*ISNUMBER('L1 - Project management'!F22)+('L1 - Project management'!F26=0)*ISNUMBER('L1 - Project management'!F26)+('L1 - Project management'!F36=0)*ISNUMBER('L1 - Project management'!F36)+('L1 - Project management'!F42=0)*ISNUMBER('L1 - Project management'!F42)+('L1 - Project management'!F48=0)*ISNUMBER('L1 - Project management'!F48)+('L1 - Project management'!F62=0)*ISNUMBER('L1 - Project management'!F62)+('L2 - Logistics planning'!F14=0)*ISNUMBER('L2 - Logistics planning'!F14)+('L2 - Logistics planning'!F18=0)*ISNUMBER('L2 - Logistics planning'!F18)+('L2 - Logistics planning'!F24=0)*ISNUMBER('L2 - Logistics planning'!F24)+('L2 - Logistics planning'!F36=0)*ISNUMBER('L2 - Logistics planning'!F36)+('L2 - Logistics planning'!F42=0)*ISNUMBER('L2 - Logistics planning'!F42)+('L2 - Logistics planning'!F50=0)*ISNUMBER('L2 - Logistics planning'!F50)+('L2 - Logistics planning'!F60=0)*ISNUMBER('L2 - Logistics planning'!F60)+('L3 - Suppliermgt.'!F12=0)*ISNUMBER('L3 - Suppliermgt.'!F12)+('L3 - Suppliermgt.'!F14=0)*ISNUMBER('L3 - Suppliermgt.'!F14)+('L3 - Suppliermgt.'!F20=0)*ISNUMBER('L3 - Suppliermgt.'!F20)+('L3 - Suppliermgt.'!F34=0)*ISNUMBER('L3 - Suppliermgt.'!F34)+('L3 - Suppliermgt.'!F40=0)*ISNUMBER('L3 - Suppliermgt.'!F40)+('L3 - Suppliermgt.'!F46=0)*ISNUMBER('L3 - Suppliermgt.'!F46)+('L3 - Suppliermgt.'!F50=0)*ISNUMBER('L3 - Suppliermgt.'!F50)+('L3 - Suppliermgt.'!F58=0)*ISNUMBER('L3 - Suppliermgt.'!F58)+('L4 - Procurement logistics'!F8=0)*ISNUMBER('L4 - Procurement logistics'!F8)+('L4 - Procurement logistics'!F18=0)*ISNUMBER('L4 - Procurement logistics'!F18)+('L4 - Procurement logistics'!F22=0)*ISNUMBER('L4 - Procurement logistics'!F22)+('L4 - Procurement logistics'!F26=0)*ISNUMBER('L4 - Procurement logistics'!F26)+('L4 - Procurement logistics'!F36=0)*ISNUMBER('L4 - Procurement logistics'!F36)+('L4 - Procurement logistics'!F42=0)*ISNUMBER('L4 - Procurement logistics'!F42)+('L4 - Procurement logistics'!F50=0)*ISNUMBER('L4 - Procurement logistics'!F50)+('L4 - Procurement logistics'!F54=0)*ISNUMBER('L4 - Procurement logistics'!F54)+('L4 - Procurement logistics'!F62=0)*ISNUMBER('L4 - Procurement logistics'!F62)+('L5 - Transport logistics'!F10=0)*ISNUMBER('L5 - Transport logistics'!F10)+('L5 - Transport logistics'!F14=0)*ISNUMBER('L5 - Transport logistics'!F14)+('L5 - Transport logistics'!F20=0)*ISNUMBER('L5 - Transport logistics'!F20)+('L5 - Transport logistics'!F32=0)*ISNUMBER('L5 - Transport logistics'!F32)+('L5 - Transport logistics'!F36=0)*ISNUMBER('L5 - Transport logistics'!F36)+('L5 - Transport logistics'!F40=0)*ISNUMBER('L5 - Transport logistics'!F40)+('L5 - Transport logistics'!F46=0)*ISNUMBER('L5 - Transport logistics'!F46)+('L5 - Transport logistics'!F50=0)*ISNUMBER('L5 - Transport logistics'!F50)+('L5 - Transport logistics'!F60=0)*ISNUMBER('L5 - Transport logistics'!F60)+('L6 -  In-house logistics'!F10=0)*ISNUMBER('L6 -  In-house logistics'!F10)+('L6 -  In-house logistics'!F12=0)*ISNUMBER('L6 -  In-house logistics'!F12)+('L6 -  In-house logistics'!F16=0)*ISNUMBER('L6 -  In-house logistics'!F16)+('L6 -  In-house logistics'!F20=0)*ISNUMBER('L6 -  In-house logistics'!F20)+('L6 -  In-house logistics'!F22=0)*ISNUMBER('L6 -  In-house logistics'!F22)+('L6 -  In-house logistics'!F26=0)*ISNUMBER('L6 -  In-house logistics'!F26)+('L6 -  In-house logistics'!F32=0)*ISNUMBER('L6 -  In-house logistics'!F32)+('L6 -  In-house logistics'!F34=0)*ISNUMBER('L6 -  In-house logistics'!F34)+('L6 -  In-house logistics'!F42=0)*ISNUMBER('L6 -  In-house logistics'!F42)+('L6 -  In-house logistics'!F44=0)*ISNUMBER('L6 -  In-house logistics'!F44)+('L6 -  In-house logistics'!F48=0)*ISNUMBER('L6 -  In-house logistics'!F48)+('L6 -  In-house logistics'!F50=0)*ISNUMBER('L6 -  In-house logistics'!F50)+('L6 -  In-house logistics'!F54=0)*ISNUMBER('L6 -  In-house logistics'!F54)+('L6 -  In-house logistics'!F64=0)*ISNUMBER('L6 -  In-house logistics'!F64)+('L6 -  In-house logistics'!F68=0)*ISNUMBER('L6 -  In-house logistics'!F68)+('L6 -  In-house logistics'!F78=0)*ISNUMBER('L6 -  In-house logistics'!F78)+('L7 - Customer management'!F10=0)*ISNUMBER('L7 - Customer management'!F10)+('L7 - Customer management'!F16=0)*ISNUMBER('L7 - Customer management'!F16)+('L7 - Customer management'!F18=0)*ISNUMBER('L7 - Customer management'!F18)+('L7 - Customer management'!F30=0)*ISNUMBER('L7 - Customer management'!F30)+('L7 - Customer management'!F42=0)*ISNUMBER('L7 - Customer management'!F42)+('L7 - Customer management'!F46=0)*ISNUMBER('L7 - Customer management'!F46)+('L7 - Customer management'!F54=0)*ISNUMBER('L7 - Customer management'!F54))&gt;0</f>
        <v>0</v>
      </c>
      <c r="C32" t="str">
        <f>IF(B32,"C","A")</f>
        <v>A</v>
      </c>
    </row>
    <row r="33" spans="1:8">
      <c r="A33" t="s">
        <v>366</v>
      </c>
      <c r="B33" t="str">
        <f>IF(COUNT('L1 - Project management'!F68,'L2 - Logistics planning'!F70,'L3 - Suppliermgt.'!F66,'L4 - Procurement logistics'!F70,'L5 - Transport logistics'!F68,'L6 -  In-house logistics'!F86,'L7 - Customer management'!F62)=0,"n.e.",MIN('L1 - Project management'!F68,'L2 - Logistics planning'!F70,'L3 - Suppliermgt.'!F66,'L4 - Procurement logistics'!F70,'L5 - Transport logistics'!F68,'L6 -  In-house logistics'!F86,'L7 - Customer management'!F62))</f>
        <v>n.e.</v>
      </c>
      <c r="C33" t="str">
        <f>IF(NOT(ISNUMBER(B33)),"n.e.",IF(B33=0,"B","A"))</f>
        <v>n.e.</v>
      </c>
      <c r="D33" s="85" t="s">
        <v>367</v>
      </c>
      <c r="F33" s="171" t="str">
        <f>IF(B48="No result!","No result!",IF(NOT(ISNUMBER(B38)),"n.e.",IF(OR(C29="C",C30="C",C32="C"),"C",IF(OR(C29="B",C30="B",C31="B",C33="B"),IF(B41="A","B",B41),B41))))</f>
        <v>n.e.</v>
      </c>
      <c r="G33" s="170"/>
    </row>
    <row r="34" spans="1:8">
      <c r="F34" s="170"/>
      <c r="G34" s="170"/>
    </row>
    <row r="37" spans="1:8">
      <c r="A37" t="s">
        <v>368</v>
      </c>
    </row>
    <row r="38" spans="1:8">
      <c r="A38" t="s">
        <v>369</v>
      </c>
      <c r="B38" s="83" t="str">
        <f>IF(SUM(B11:H11)=0,"n.e.",SUM(B10:H10)/SUM(B11:H11)/10)</f>
        <v>n.e.</v>
      </c>
    </row>
    <row r="39" spans="1:8">
      <c r="A39" t="s">
        <v>370</v>
      </c>
      <c r="B39" s="83" t="str">
        <f>B30</f>
        <v>n.e.</v>
      </c>
    </row>
    <row r="41" spans="1:8">
      <c r="A41" t="s">
        <v>371</v>
      </c>
      <c r="B41" t="str">
        <f>IF(NOT(ISNUMBER(B38)),"n.e.",IF(B38&gt;=0.9,"A",IF(B38&gt;=0.8,"B","C")))</f>
        <v>n.e.</v>
      </c>
    </row>
    <row r="43" spans="1:8">
      <c r="A43" t="s">
        <v>372</v>
      </c>
    </row>
    <row r="44" spans="1:8">
      <c r="A44" t="s">
        <v>373</v>
      </c>
      <c r="B44">
        <v>23</v>
      </c>
      <c r="C44">
        <v>24</v>
      </c>
      <c r="D44">
        <v>22</v>
      </c>
      <c r="E44">
        <v>24</v>
      </c>
      <c r="F44">
        <v>23</v>
      </c>
      <c r="G44">
        <v>32</v>
      </c>
      <c r="H44">
        <v>20</v>
      </c>
    </row>
    <row r="45" spans="1:8">
      <c r="A45" t="s">
        <v>374</v>
      </c>
      <c r="B45">
        <v>16</v>
      </c>
      <c r="C45">
        <v>16</v>
      </c>
      <c r="D45">
        <v>15</v>
      </c>
      <c r="E45">
        <v>16</v>
      </c>
      <c r="F45">
        <v>16</v>
      </c>
      <c r="G45">
        <v>22</v>
      </c>
      <c r="H45">
        <v>14</v>
      </c>
    </row>
    <row r="46" spans="1:8">
      <c r="A46" t="s">
        <v>375</v>
      </c>
      <c r="B46">
        <f t="shared" ref="B46:H46" si="0">B44-B24</f>
        <v>23</v>
      </c>
      <c r="C46">
        <f t="shared" si="0"/>
        <v>24</v>
      </c>
      <c r="D46">
        <f t="shared" si="0"/>
        <v>22</v>
      </c>
      <c r="E46">
        <f t="shared" si="0"/>
        <v>24</v>
      </c>
      <c r="F46">
        <f t="shared" si="0"/>
        <v>23</v>
      </c>
      <c r="G46">
        <f t="shared" si="0"/>
        <v>32</v>
      </c>
      <c r="H46">
        <f t="shared" si="0"/>
        <v>20</v>
      </c>
    </row>
    <row r="47" spans="1:8">
      <c r="A47" t="s">
        <v>376</v>
      </c>
      <c r="B47" t="str">
        <f t="shared" ref="B47:H47" si="1">IF(B46&gt;=B45,"OK","No result!")</f>
        <v>OK</v>
      </c>
      <c r="C47" t="str">
        <f t="shared" si="1"/>
        <v>OK</v>
      </c>
      <c r="D47" t="str">
        <f t="shared" si="1"/>
        <v>OK</v>
      </c>
      <c r="E47" t="str">
        <f t="shared" si="1"/>
        <v>OK</v>
      </c>
      <c r="F47" t="str">
        <f t="shared" si="1"/>
        <v>OK</v>
      </c>
      <c r="G47" t="str">
        <f t="shared" si="1"/>
        <v>OK</v>
      </c>
      <c r="H47" t="str">
        <f t="shared" si="1"/>
        <v>OK</v>
      </c>
    </row>
    <row r="48" spans="1:8">
      <c r="A48" t="s">
        <v>377</v>
      </c>
      <c r="B48" t="str">
        <f>IF(OR(B47="No result!",C47="No result!",D47="No result!",E47="No result!",F47="No result!",G47="No result!",H47="No result!"),"No result!","OK")</f>
        <v>OK</v>
      </c>
    </row>
    <row r="50" spans="1:4">
      <c r="A50" t="s">
        <v>378</v>
      </c>
      <c r="B50" t="str">
        <f>F33</f>
        <v>n.e.</v>
      </c>
    </row>
    <row r="52" spans="1:4">
      <c r="A52" t="s">
        <v>379</v>
      </c>
    </row>
    <row r="53" spans="1:4">
      <c r="A53" s="86" t="str">
        <f>IF(C29="B","- Process element &lt;80%","")</f>
        <v/>
      </c>
    </row>
    <row r="54" spans="1:4">
      <c r="A54" s="86" t="str">
        <f>IF(C29="C","- Process element &lt;70%","")</f>
        <v>- Process element &lt;70%</v>
      </c>
    </row>
    <row r="55" spans="1:4">
      <c r="A55" s="86" t="str">
        <f>IF(C30="B","- Critical path (*) &lt;80%","")</f>
        <v/>
      </c>
    </row>
    <row r="56" spans="1:4">
      <c r="A56" s="86" t="str">
        <f>IF(C30="C","- Critical path (*) &lt;70%","")</f>
        <v/>
      </c>
    </row>
    <row r="57" spans="1:4">
      <c r="A57" s="86" t="str">
        <f>IF(C31="B","- *-question scored 4 points","")</f>
        <v/>
      </c>
    </row>
    <row r="58" spans="1:4">
      <c r="A58" s="86" t="str">
        <f>IF(C32="C","- *-question scored 0 points","")</f>
        <v/>
      </c>
      <c r="B58" t="s">
        <v>380</v>
      </c>
      <c r="C58" t="s">
        <v>381</v>
      </c>
      <c r="D58" t="s">
        <v>382</v>
      </c>
    </row>
    <row r="59" spans="1:4">
      <c r="A59" s="86" t="str">
        <f>IF(C33="B","- Question scored 0 points","")</f>
        <v/>
      </c>
    </row>
    <row r="60" spans="1:4">
      <c r="B60" t="s">
        <v>383</v>
      </c>
      <c r="C60">
        <v>10</v>
      </c>
      <c r="D60" t="s">
        <v>384</v>
      </c>
    </row>
    <row r="61" spans="1:4">
      <c r="B61" t="s">
        <v>385</v>
      </c>
      <c r="C61">
        <v>8</v>
      </c>
      <c r="D61" t="s">
        <v>386</v>
      </c>
    </row>
    <row r="62" spans="1:4">
      <c r="B62" t="s">
        <v>387</v>
      </c>
      <c r="C62">
        <v>6</v>
      </c>
      <c r="D62" t="s">
        <v>388</v>
      </c>
    </row>
    <row r="63" spans="1:4">
      <c r="B63" t="s">
        <v>389</v>
      </c>
      <c r="C63">
        <v>4</v>
      </c>
      <c r="D63" t="s">
        <v>390</v>
      </c>
    </row>
    <row r="64" spans="1:4">
      <c r="B64" t="s">
        <v>391</v>
      </c>
      <c r="C64">
        <v>0</v>
      </c>
      <c r="D64" t="s">
        <v>390</v>
      </c>
    </row>
    <row r="65" spans="2:4">
      <c r="B65" t="s">
        <v>392</v>
      </c>
      <c r="C65" t="s">
        <v>393</v>
      </c>
      <c r="D65" t="s">
        <v>394</v>
      </c>
    </row>
  </sheetData>
  <mergeCells count="1">
    <mergeCell ref="F33:G34"/>
  </mergeCells>
  <phoneticPr fontId="20" type="noConversion"/>
  <pageMargins left="0.75" right="0.75" top="1" bottom="1" header="0.5" footer="0.5"/>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A13D0-577F-E047-AF27-E47F67E9EC27}">
  <sheetPr codeName="Sheet5"/>
  <dimension ref="A1:G68"/>
  <sheetViews>
    <sheetView tabSelected="1" zoomScale="110" zoomScaleNormal="110" workbookViewId="0">
      <selection activeCell="M12" sqref="M12"/>
    </sheetView>
  </sheetViews>
  <sheetFormatPr baseColWidth="10" defaultColWidth="8.83203125" defaultRowHeight="16"/>
  <cols>
    <col min="1" max="1" width="7" customWidth="1"/>
    <col min="2" max="2" width="4" customWidth="1"/>
    <col min="3" max="3" width="2" customWidth="1"/>
    <col min="4" max="4" width="55" customWidth="1"/>
    <col min="5" max="5" width="40" customWidth="1"/>
    <col min="6" max="7" width="15" customWidth="1"/>
  </cols>
  <sheetData>
    <row r="1" spans="1:7" ht="30" customHeight="1">
      <c r="A1" s="150" t="s">
        <v>57</v>
      </c>
      <c r="B1" s="170"/>
      <c r="C1" s="170"/>
      <c r="D1" s="170"/>
      <c r="E1" s="170"/>
      <c r="F1" s="170"/>
      <c r="G1" s="170"/>
    </row>
    <row r="2" spans="1:7" ht="6" customHeight="1"/>
    <row r="3" spans="1:7" ht="20" customHeight="1">
      <c r="A3" s="74" t="s">
        <v>3</v>
      </c>
      <c r="B3" s="74" t="s">
        <v>59</v>
      </c>
      <c r="D3" s="74" t="s">
        <v>395</v>
      </c>
      <c r="E3" s="74" t="s">
        <v>396</v>
      </c>
      <c r="F3" s="74" t="s">
        <v>55</v>
      </c>
      <c r="G3" s="74" t="s">
        <v>397</v>
      </c>
    </row>
    <row r="4" spans="1:7" ht="6" customHeight="1"/>
    <row r="5" spans="1:7" ht="6" customHeight="1"/>
    <row r="6" spans="1:7" ht="22" customHeight="1">
      <c r="A6" s="173" t="s">
        <v>398</v>
      </c>
      <c r="B6" s="168"/>
      <c r="C6" s="168"/>
      <c r="D6" s="168"/>
      <c r="E6" s="168"/>
      <c r="F6" s="168"/>
      <c r="G6" s="169"/>
    </row>
    <row r="7" spans="1:7" ht="28" customHeight="1">
      <c r="A7" s="87" t="s">
        <v>58</v>
      </c>
      <c r="B7" s="79" t="s">
        <v>59</v>
      </c>
      <c r="D7" s="172" t="s">
        <v>399</v>
      </c>
      <c r="E7" s="169"/>
      <c r="F7" s="88" t="str">
        <f>IF(OR(F8="n.e.",F8=""),"not evaluated","evaluated")</f>
        <v>not evaluated</v>
      </c>
      <c r="G7" s="77"/>
    </row>
    <row r="8" spans="1:7" ht="80" customHeight="1">
      <c r="A8" s="77"/>
      <c r="B8" s="77"/>
      <c r="D8" s="80" t="s">
        <v>656</v>
      </c>
      <c r="E8" s="80" t="s">
        <v>657</v>
      </c>
      <c r="F8" s="89" t="s">
        <v>393</v>
      </c>
      <c r="G8" s="81" t="s">
        <v>400</v>
      </c>
    </row>
    <row r="9" spans="1:7" ht="28" customHeight="1">
      <c r="A9" s="87" t="s">
        <v>62</v>
      </c>
      <c r="B9" s="77"/>
      <c r="D9" s="172" t="s">
        <v>401</v>
      </c>
      <c r="E9" s="169"/>
      <c r="F9" s="88" t="str">
        <f>IF(OR(F10="n.e.",F10=""),"not evaluated","evaluated")</f>
        <v>not evaluated</v>
      </c>
      <c r="G9" s="77"/>
    </row>
    <row r="10" spans="1:7" ht="80" customHeight="1">
      <c r="A10" s="77"/>
      <c r="B10" s="77"/>
      <c r="D10" s="80" t="s">
        <v>658</v>
      </c>
      <c r="E10" s="80" t="s">
        <v>659</v>
      </c>
      <c r="F10" s="89" t="s">
        <v>393</v>
      </c>
      <c r="G10" s="81" t="s">
        <v>400</v>
      </c>
    </row>
    <row r="11" spans="1:7" ht="28" customHeight="1">
      <c r="A11" s="87" t="s">
        <v>64</v>
      </c>
      <c r="B11" s="77"/>
      <c r="D11" s="172" t="s">
        <v>402</v>
      </c>
      <c r="E11" s="169"/>
      <c r="F11" s="88" t="str">
        <f>IF(OR(F12="n.e.",F12=""),"not evaluated","evaluated")</f>
        <v>not evaluated</v>
      </c>
      <c r="G11" s="77"/>
    </row>
    <row r="12" spans="1:7" ht="80" customHeight="1">
      <c r="A12" s="77"/>
      <c r="B12" s="77"/>
      <c r="D12" s="80" t="s">
        <v>660</v>
      </c>
      <c r="E12" s="80" t="s">
        <v>661</v>
      </c>
      <c r="F12" s="89" t="s">
        <v>393</v>
      </c>
      <c r="G12" s="81" t="s">
        <v>400</v>
      </c>
    </row>
    <row r="13" spans="1:7" ht="28" customHeight="1">
      <c r="A13" s="87" t="s">
        <v>66</v>
      </c>
      <c r="B13" s="77"/>
      <c r="D13" s="172" t="s">
        <v>403</v>
      </c>
      <c r="E13" s="169"/>
      <c r="F13" s="88" t="str">
        <f>IF(OR(F14="n.e.",F14=""),"not evaluated","evaluated")</f>
        <v>not evaluated</v>
      </c>
      <c r="G13" s="77"/>
    </row>
    <row r="14" spans="1:7" ht="80" customHeight="1">
      <c r="A14" s="77"/>
      <c r="B14" s="77"/>
      <c r="D14" s="80" t="s">
        <v>662</v>
      </c>
      <c r="E14" s="80" t="s">
        <v>663</v>
      </c>
      <c r="F14" s="89" t="s">
        <v>393</v>
      </c>
      <c r="G14" s="81" t="s">
        <v>400</v>
      </c>
    </row>
    <row r="16" spans="1:7" ht="22" customHeight="1">
      <c r="A16" s="173" t="s">
        <v>404</v>
      </c>
      <c r="B16" s="168"/>
      <c r="C16" s="168"/>
      <c r="D16" s="168"/>
      <c r="E16" s="168"/>
      <c r="F16" s="168"/>
      <c r="G16" s="169"/>
    </row>
    <row r="17" spans="1:7" ht="28" customHeight="1">
      <c r="A17" s="87" t="s">
        <v>68</v>
      </c>
      <c r="B17" s="77"/>
      <c r="D17" s="172" t="s">
        <v>405</v>
      </c>
      <c r="E17" s="169"/>
      <c r="F17" s="88" t="str">
        <f>IF(OR(F18="n.e.",F18=""),"not evaluated","evaluated")</f>
        <v>not evaluated</v>
      </c>
      <c r="G17" s="77"/>
    </row>
    <row r="18" spans="1:7" ht="80" customHeight="1">
      <c r="A18" s="77"/>
      <c r="B18" s="77"/>
      <c r="D18" s="80" t="s">
        <v>664</v>
      </c>
      <c r="E18" s="80" t="s">
        <v>665</v>
      </c>
      <c r="F18" s="89" t="s">
        <v>393</v>
      </c>
      <c r="G18" s="81" t="s">
        <v>400</v>
      </c>
    </row>
    <row r="19" spans="1:7" ht="28" customHeight="1">
      <c r="A19" s="87" t="s">
        <v>70</v>
      </c>
      <c r="B19" s="77"/>
      <c r="D19" s="172" t="s">
        <v>406</v>
      </c>
      <c r="E19" s="169"/>
      <c r="F19" s="88" t="str">
        <f>IF(OR(F20="n.e.",F20=""),"not evaluated","evaluated")</f>
        <v>not evaluated</v>
      </c>
      <c r="G19" s="77"/>
    </row>
    <row r="20" spans="1:7" ht="80" customHeight="1">
      <c r="A20" s="77"/>
      <c r="B20" s="77"/>
      <c r="D20" s="80" t="s">
        <v>666</v>
      </c>
      <c r="E20" s="80" t="s">
        <v>667</v>
      </c>
      <c r="F20" s="89" t="s">
        <v>393</v>
      </c>
      <c r="G20" s="81" t="s">
        <v>400</v>
      </c>
    </row>
    <row r="21" spans="1:7" ht="28" customHeight="1">
      <c r="A21" s="87" t="s">
        <v>72</v>
      </c>
      <c r="B21" s="79" t="s">
        <v>59</v>
      </c>
      <c r="D21" s="172" t="s">
        <v>407</v>
      </c>
      <c r="E21" s="169"/>
      <c r="F21" s="88" t="str">
        <f>IF(OR(F22="n.e.",F22=""),"not evaluated","evaluated")</f>
        <v>not evaluated</v>
      </c>
      <c r="G21" s="77"/>
    </row>
    <row r="22" spans="1:7" ht="80" customHeight="1">
      <c r="A22" s="77"/>
      <c r="B22" s="77"/>
      <c r="D22" s="80" t="s">
        <v>668</v>
      </c>
      <c r="E22" s="80" t="s">
        <v>669</v>
      </c>
      <c r="F22" s="89" t="s">
        <v>393</v>
      </c>
      <c r="G22" s="81" t="s">
        <v>400</v>
      </c>
    </row>
    <row r="23" spans="1:7" ht="28" customHeight="1">
      <c r="A23" s="87" t="s">
        <v>74</v>
      </c>
      <c r="B23" s="77"/>
      <c r="D23" s="172" t="s">
        <v>408</v>
      </c>
      <c r="E23" s="169"/>
      <c r="F23" s="88" t="str">
        <f>IF(OR(F24="n.e.",F24=""),"not evaluated","evaluated")</f>
        <v>not evaluated</v>
      </c>
      <c r="G23" s="77"/>
    </row>
    <row r="24" spans="1:7" ht="80" customHeight="1">
      <c r="A24" s="77"/>
      <c r="B24" s="77"/>
      <c r="D24" s="80" t="s">
        <v>670</v>
      </c>
      <c r="E24" s="80" t="s">
        <v>671</v>
      </c>
      <c r="F24" s="89" t="s">
        <v>393</v>
      </c>
      <c r="G24" s="81" t="s">
        <v>400</v>
      </c>
    </row>
    <row r="25" spans="1:7" ht="28" customHeight="1">
      <c r="A25" s="87" t="s">
        <v>76</v>
      </c>
      <c r="B25" s="79" t="s">
        <v>59</v>
      </c>
      <c r="D25" s="172" t="s">
        <v>409</v>
      </c>
      <c r="E25" s="169"/>
      <c r="F25" s="88" t="str">
        <f>IF(OR(F26="n.e.",F26=""),"not evaluated","evaluated")</f>
        <v>not evaluated</v>
      </c>
      <c r="G25" s="77"/>
    </row>
    <row r="26" spans="1:7" ht="80" customHeight="1">
      <c r="A26" s="77"/>
      <c r="B26" s="77"/>
      <c r="D26" s="80" t="s">
        <v>672</v>
      </c>
      <c r="E26" s="80" t="s">
        <v>673</v>
      </c>
      <c r="F26" s="89" t="s">
        <v>393</v>
      </c>
      <c r="G26" s="81" t="s">
        <v>400</v>
      </c>
    </row>
    <row r="28" spans="1:7" ht="22" customHeight="1">
      <c r="A28" s="173" t="s">
        <v>410</v>
      </c>
      <c r="B28" s="168"/>
      <c r="C28" s="168"/>
      <c r="D28" s="168"/>
      <c r="E28" s="168"/>
      <c r="F28" s="168"/>
      <c r="G28" s="169"/>
    </row>
    <row r="29" spans="1:7" ht="28" customHeight="1">
      <c r="A29" s="87" t="s">
        <v>78</v>
      </c>
      <c r="B29" s="77"/>
      <c r="D29" s="172" t="s">
        <v>411</v>
      </c>
      <c r="E29" s="169"/>
      <c r="F29" s="88" t="str">
        <f>IF(OR(F30="n.e.",F30=""),"not evaluated","evaluated")</f>
        <v>not evaluated</v>
      </c>
      <c r="G29" s="77"/>
    </row>
    <row r="30" spans="1:7" ht="80" customHeight="1">
      <c r="A30" s="77"/>
      <c r="B30" s="77"/>
      <c r="D30" s="80" t="s">
        <v>674</v>
      </c>
      <c r="E30" s="80" t="s">
        <v>675</v>
      </c>
      <c r="F30" s="89" t="s">
        <v>393</v>
      </c>
      <c r="G30" s="81" t="s">
        <v>400</v>
      </c>
    </row>
    <row r="31" spans="1:7" ht="28" customHeight="1">
      <c r="A31" s="87" t="s">
        <v>80</v>
      </c>
      <c r="B31" s="77"/>
      <c r="D31" s="172" t="s">
        <v>412</v>
      </c>
      <c r="E31" s="169"/>
      <c r="F31" s="88" t="str">
        <f>IF(OR(F32="n.e.",F32=""),"not evaluated","evaluated")</f>
        <v>not evaluated</v>
      </c>
      <c r="G31" s="77"/>
    </row>
    <row r="32" spans="1:7" ht="80" customHeight="1">
      <c r="A32" s="77"/>
      <c r="B32" s="77"/>
      <c r="D32" s="80" t="s">
        <v>676</v>
      </c>
      <c r="E32" s="80" t="s">
        <v>677</v>
      </c>
      <c r="F32" s="89" t="s">
        <v>393</v>
      </c>
      <c r="G32" s="81" t="s">
        <v>400</v>
      </c>
    </row>
    <row r="33" spans="1:7" ht="28" customHeight="1">
      <c r="A33" s="87" t="s">
        <v>82</v>
      </c>
      <c r="B33" s="77"/>
      <c r="D33" s="172" t="s">
        <v>413</v>
      </c>
      <c r="E33" s="169"/>
      <c r="F33" s="88" t="str">
        <f>IF(OR(F34="n.e.",F34=""),"not evaluated","evaluated")</f>
        <v>not evaluated</v>
      </c>
      <c r="G33" s="77"/>
    </row>
    <row r="34" spans="1:7" ht="80" customHeight="1">
      <c r="A34" s="77"/>
      <c r="B34" s="77"/>
      <c r="D34" s="80" t="s">
        <v>678</v>
      </c>
      <c r="E34" s="80" t="s">
        <v>679</v>
      </c>
      <c r="F34" s="89" t="s">
        <v>393</v>
      </c>
      <c r="G34" s="81" t="s">
        <v>400</v>
      </c>
    </row>
    <row r="35" spans="1:7" ht="28" customHeight="1">
      <c r="A35" s="87" t="s">
        <v>84</v>
      </c>
      <c r="B35" s="79" t="s">
        <v>59</v>
      </c>
      <c r="D35" s="172" t="s">
        <v>414</v>
      </c>
      <c r="E35" s="169"/>
      <c r="F35" s="88" t="str">
        <f>IF(OR(F36="n.e.",F36=""),"not evaluated","evaluated")</f>
        <v>not evaluated</v>
      </c>
      <c r="G35" s="77"/>
    </row>
    <row r="36" spans="1:7" ht="80" customHeight="1">
      <c r="A36" s="77"/>
      <c r="B36" s="77"/>
      <c r="D36" s="80" t="s">
        <v>680</v>
      </c>
      <c r="E36" s="80" t="s">
        <v>681</v>
      </c>
      <c r="F36" s="89" t="s">
        <v>393</v>
      </c>
      <c r="G36" s="81" t="s">
        <v>400</v>
      </c>
    </row>
    <row r="38" spans="1:7" ht="22" customHeight="1">
      <c r="A38" s="173" t="s">
        <v>415</v>
      </c>
      <c r="B38" s="168"/>
      <c r="C38" s="168"/>
      <c r="D38" s="168"/>
      <c r="E38" s="168"/>
      <c r="F38" s="168"/>
      <c r="G38" s="169"/>
    </row>
    <row r="39" spans="1:7" ht="28" customHeight="1">
      <c r="A39" s="87" t="s">
        <v>86</v>
      </c>
      <c r="B39" s="77"/>
      <c r="D39" s="172" t="s">
        <v>416</v>
      </c>
      <c r="E39" s="169"/>
      <c r="F39" s="88" t="str">
        <f>IF(OR(F40="n.e.",F40=""),"not evaluated","evaluated")</f>
        <v>not evaluated</v>
      </c>
      <c r="G39" s="77"/>
    </row>
    <row r="40" spans="1:7" ht="80" customHeight="1">
      <c r="A40" s="77"/>
      <c r="B40" s="77"/>
      <c r="D40" s="80" t="s">
        <v>682</v>
      </c>
      <c r="E40" s="80" t="s">
        <v>683</v>
      </c>
      <c r="F40" s="89" t="s">
        <v>393</v>
      </c>
      <c r="G40" s="81" t="s">
        <v>400</v>
      </c>
    </row>
    <row r="41" spans="1:7" ht="28" customHeight="1">
      <c r="A41" s="87" t="s">
        <v>88</v>
      </c>
      <c r="B41" s="79" t="s">
        <v>59</v>
      </c>
      <c r="D41" s="172" t="s">
        <v>417</v>
      </c>
      <c r="E41" s="169"/>
      <c r="F41" s="88" t="str">
        <f>IF(OR(F42="n.e.",F42=""),"not evaluated","evaluated")</f>
        <v>not evaluated</v>
      </c>
      <c r="G41" s="77"/>
    </row>
    <row r="42" spans="1:7" ht="80" customHeight="1">
      <c r="A42" s="77"/>
      <c r="B42" s="77"/>
      <c r="D42" s="80" t="s">
        <v>684</v>
      </c>
      <c r="E42" s="80" t="s">
        <v>685</v>
      </c>
      <c r="F42" s="89" t="s">
        <v>393</v>
      </c>
      <c r="G42" s="81" t="s">
        <v>400</v>
      </c>
    </row>
    <row r="43" spans="1:7" ht="28" customHeight="1">
      <c r="A43" s="87" t="s">
        <v>90</v>
      </c>
      <c r="B43" s="77"/>
      <c r="D43" s="172" t="s">
        <v>418</v>
      </c>
      <c r="E43" s="169"/>
      <c r="F43" s="88" t="str">
        <f>IF(OR(F44="n.e.",F44=""),"not evaluated","evaluated")</f>
        <v>not evaluated</v>
      </c>
      <c r="G43" s="77"/>
    </row>
    <row r="44" spans="1:7" ht="80" customHeight="1">
      <c r="A44" s="77"/>
      <c r="B44" s="77"/>
      <c r="D44" s="80" t="s">
        <v>686</v>
      </c>
      <c r="E44" s="80" t="s">
        <v>687</v>
      </c>
      <c r="F44" s="89" t="s">
        <v>393</v>
      </c>
      <c r="G44" s="81" t="s">
        <v>400</v>
      </c>
    </row>
    <row r="46" spans="1:7" ht="22" customHeight="1">
      <c r="A46" s="173" t="s">
        <v>419</v>
      </c>
      <c r="B46" s="168"/>
      <c r="C46" s="168"/>
      <c r="D46" s="168"/>
      <c r="E46" s="168"/>
      <c r="F46" s="168"/>
      <c r="G46" s="169"/>
    </row>
    <row r="47" spans="1:7" ht="28" customHeight="1">
      <c r="A47" s="87" t="s">
        <v>92</v>
      </c>
      <c r="B47" s="79" t="s">
        <v>59</v>
      </c>
      <c r="D47" s="172" t="s">
        <v>420</v>
      </c>
      <c r="E47" s="169"/>
      <c r="F47" s="88" t="str">
        <f>IF(OR(F48="n.e.",F48=""),"not evaluated","evaluated")</f>
        <v>not evaluated</v>
      </c>
      <c r="G47" s="77"/>
    </row>
    <row r="48" spans="1:7" ht="80" customHeight="1">
      <c r="A48" s="77"/>
      <c r="B48" s="77"/>
      <c r="D48" s="80" t="s">
        <v>688</v>
      </c>
      <c r="E48" s="80" t="s">
        <v>689</v>
      </c>
      <c r="F48" s="89" t="s">
        <v>393</v>
      </c>
      <c r="G48" s="81" t="s">
        <v>400</v>
      </c>
    </row>
    <row r="49" spans="1:7" ht="28" customHeight="1">
      <c r="A49" s="87" t="s">
        <v>94</v>
      </c>
      <c r="B49" s="77"/>
      <c r="D49" s="172" t="s">
        <v>421</v>
      </c>
      <c r="E49" s="169"/>
      <c r="F49" s="88" t="str">
        <f>IF(OR(F50="n.e.",F50=""),"not evaluated","evaluated")</f>
        <v>not evaluated</v>
      </c>
      <c r="G49" s="77"/>
    </row>
    <row r="50" spans="1:7" ht="80" customHeight="1">
      <c r="A50" s="77"/>
      <c r="B50" s="77"/>
      <c r="D50" s="80" t="s">
        <v>690</v>
      </c>
      <c r="E50" s="80" t="s">
        <v>691</v>
      </c>
      <c r="F50" s="89" t="s">
        <v>393</v>
      </c>
      <c r="G50" s="81" t="s">
        <v>400</v>
      </c>
    </row>
    <row r="51" spans="1:7" ht="28" customHeight="1">
      <c r="A51" s="87" t="s">
        <v>96</v>
      </c>
      <c r="B51" s="77"/>
      <c r="D51" s="172" t="s">
        <v>422</v>
      </c>
      <c r="E51" s="169"/>
      <c r="F51" s="88" t="str">
        <f>IF(OR(F52="n.e.",F52=""),"not evaluated","evaluated")</f>
        <v>not evaluated</v>
      </c>
      <c r="G51" s="77"/>
    </row>
    <row r="52" spans="1:7" ht="80" customHeight="1">
      <c r="A52" s="77"/>
      <c r="B52" s="77"/>
      <c r="D52" s="80" t="s">
        <v>692</v>
      </c>
      <c r="E52" s="80" t="s">
        <v>693</v>
      </c>
      <c r="F52" s="89" t="s">
        <v>393</v>
      </c>
      <c r="G52" s="81" t="s">
        <v>400</v>
      </c>
    </row>
    <row r="53" spans="1:7" ht="28" customHeight="1">
      <c r="A53" s="87" t="s">
        <v>98</v>
      </c>
      <c r="B53" s="77"/>
      <c r="D53" s="172" t="s">
        <v>423</v>
      </c>
      <c r="E53" s="169"/>
      <c r="F53" s="88" t="str">
        <f>IF(OR(F54="n.e.",F54=""),"not evaluated","evaluated")</f>
        <v>not evaluated</v>
      </c>
      <c r="G53" s="77"/>
    </row>
    <row r="54" spans="1:7" ht="80" customHeight="1">
      <c r="A54" s="77"/>
      <c r="B54" s="77"/>
      <c r="D54" s="80" t="s">
        <v>694</v>
      </c>
      <c r="E54" s="80" t="s">
        <v>695</v>
      </c>
      <c r="F54" s="89" t="s">
        <v>393</v>
      </c>
      <c r="G54" s="81" t="s">
        <v>400</v>
      </c>
    </row>
    <row r="56" spans="1:7" ht="22" customHeight="1">
      <c r="A56" s="173" t="s">
        <v>424</v>
      </c>
      <c r="B56" s="168"/>
      <c r="C56" s="168"/>
      <c r="D56" s="168"/>
      <c r="E56" s="168"/>
      <c r="F56" s="168"/>
      <c r="G56" s="169"/>
    </row>
    <row r="57" spans="1:7" ht="28" customHeight="1">
      <c r="A57" s="87" t="s">
        <v>100</v>
      </c>
      <c r="B57" s="77"/>
      <c r="D57" s="172" t="s">
        <v>425</v>
      </c>
      <c r="E57" s="169"/>
      <c r="F57" s="88" t="str">
        <f>IF(OR(F58="n.e.",F58=""),"not evaluated","evaluated")</f>
        <v>not evaluated</v>
      </c>
      <c r="G57" s="77"/>
    </row>
    <row r="58" spans="1:7" ht="80" customHeight="1">
      <c r="A58" s="77"/>
      <c r="B58" s="77"/>
      <c r="D58" s="80" t="s">
        <v>696</v>
      </c>
      <c r="E58" s="80" t="s">
        <v>697</v>
      </c>
      <c r="F58" s="89" t="s">
        <v>393</v>
      </c>
      <c r="G58" s="81" t="s">
        <v>400</v>
      </c>
    </row>
    <row r="59" spans="1:7" ht="28" customHeight="1">
      <c r="A59" s="87" t="s">
        <v>102</v>
      </c>
      <c r="B59" s="77"/>
      <c r="D59" s="172" t="s">
        <v>426</v>
      </c>
      <c r="E59" s="169"/>
      <c r="F59" s="88" t="str">
        <f>IF(OR(F60="n.e.",F60=""),"not evaluated","evaluated")</f>
        <v>not evaluated</v>
      </c>
      <c r="G59" s="77"/>
    </row>
    <row r="60" spans="1:7" ht="80" customHeight="1">
      <c r="A60" s="77"/>
      <c r="B60" s="77"/>
      <c r="D60" s="80" t="s">
        <v>698</v>
      </c>
      <c r="E60" s="80" t="s">
        <v>699</v>
      </c>
      <c r="F60" s="89" t="s">
        <v>393</v>
      </c>
      <c r="G60" s="81" t="s">
        <v>400</v>
      </c>
    </row>
    <row r="61" spans="1:7" ht="28" customHeight="1">
      <c r="A61" s="87" t="s">
        <v>104</v>
      </c>
      <c r="B61" s="79" t="s">
        <v>59</v>
      </c>
      <c r="D61" s="172" t="s">
        <v>427</v>
      </c>
      <c r="E61" s="169"/>
      <c r="F61" s="88" t="str">
        <f>IF(OR(F62="n.e.",F62=""),"not evaluated","evaluated")</f>
        <v>not evaluated</v>
      </c>
      <c r="G61" s="77"/>
    </row>
    <row r="62" spans="1:7" ht="80" customHeight="1">
      <c r="A62" s="77"/>
      <c r="B62" s="77"/>
      <c r="D62" s="80" t="s">
        <v>700</v>
      </c>
      <c r="E62" s="80" t="s">
        <v>701</v>
      </c>
      <c r="F62" s="89" t="s">
        <v>393</v>
      </c>
      <c r="G62" s="81" t="s">
        <v>400</v>
      </c>
    </row>
    <row r="64" spans="1:7">
      <c r="D64" s="90">
        <f>COUNT(F8,F10,F12,F14,F18,F20,F22,F24,F26,F30,F32,F34,F36,F40,F42,F44,F48,F50,F52,F54,F58,F60,F62)</f>
        <v>0</v>
      </c>
      <c r="E64" s="90" t="s">
        <v>428</v>
      </c>
      <c r="F64" s="91" t="str">
        <f>IF(D64=0,"n.e.",SUM(F8,F10,F12,F14,F18,F20,F22,F24,F26,F30,F32,F34,F36,F40,F42,F44,F48,F50,F52,F54,F58,F60,F62)/(D64*10))</f>
        <v>n.e.</v>
      </c>
    </row>
    <row r="66" spans="4:6">
      <c r="D66">
        <f>COUNT(F8,F22,F26,F36,F42,F48,F62)</f>
        <v>0</v>
      </c>
      <c r="E66" s="92" t="s">
        <v>429</v>
      </c>
      <c r="F66" s="83" t="str">
        <f>IF(D66=0,"n.e.",SUM(F8,F22,F26,F36,F42,F48,F62)/(D66*10))</f>
        <v>n.e.</v>
      </c>
    </row>
    <row r="67" spans="4:6">
      <c r="E67" t="s">
        <v>430</v>
      </c>
      <c r="F67" t="str">
        <f>IF(COUNT(F8,F22,F26,F36,F42,F48,F62)=0,"n.e.",MIN(F8,F22,F26,F36,F42,F48,F62))</f>
        <v>n.e.</v>
      </c>
    </row>
    <row r="68" spans="4:6">
      <c r="E68" t="s">
        <v>431</v>
      </c>
      <c r="F68" t="str">
        <f>IF(COUNT(F8,F10,F12,F14,F18,F20,F22,F24,F26,F30,F32,F34,F36,F40,F42,F44,F48,F50,F52,F54,F58,F60,F62)=0,"n.e.",MIN(F8,F10,F12,F14,F18,F20,F22,F24,F26,F30,F32,F34,F36,F40,F42,F44,F48,F50,F52,F54,F58,F60,F62))</f>
        <v>n.e.</v>
      </c>
    </row>
  </sheetData>
  <mergeCells count="30">
    <mergeCell ref="D49:E49"/>
    <mergeCell ref="D57:E57"/>
    <mergeCell ref="D61:E61"/>
    <mergeCell ref="D41:E41"/>
    <mergeCell ref="D17:E17"/>
    <mergeCell ref="D53:E53"/>
    <mergeCell ref="D47:E47"/>
    <mergeCell ref="A46:G46"/>
    <mergeCell ref="A56:G56"/>
    <mergeCell ref="D51:E51"/>
    <mergeCell ref="D59:E59"/>
    <mergeCell ref="D19:E19"/>
    <mergeCell ref="A38:G38"/>
    <mergeCell ref="D31:E31"/>
    <mergeCell ref="A28:G28"/>
    <mergeCell ref="D21:E21"/>
    <mergeCell ref="A1:G1"/>
    <mergeCell ref="D7:E7"/>
    <mergeCell ref="A6:G6"/>
    <mergeCell ref="D43:E43"/>
    <mergeCell ref="A16:G16"/>
    <mergeCell ref="D9:E9"/>
    <mergeCell ref="D39:E39"/>
    <mergeCell ref="D25:E25"/>
    <mergeCell ref="D33:E33"/>
    <mergeCell ref="D29:E29"/>
    <mergeCell ref="D23:E23"/>
    <mergeCell ref="D35:E35"/>
    <mergeCell ref="D11:E11"/>
    <mergeCell ref="D13:E13"/>
  </mergeCells>
  <phoneticPr fontId="20" type="noConversion"/>
  <conditionalFormatting sqref="F8 F10 F12 F14 F18 F20 F22 F24 F26 F30 F32 F34 F36 F40 F42 F44 F48 F50 F52 F54 F58 F60 F62">
    <cfRule type="cellIs" dxfId="737" priority="1" operator="equal">
      <formula>10</formula>
    </cfRule>
    <cfRule type="cellIs" dxfId="736" priority="2" operator="equal">
      <formula>8</formula>
    </cfRule>
    <cfRule type="cellIs" dxfId="735" priority="3" operator="equal">
      <formula>6</formula>
    </cfRule>
    <cfRule type="cellIs" dxfId="734" priority="4" operator="equal">
      <formula>4</formula>
    </cfRule>
    <cfRule type="cellIs" dxfId="733" priority="5" operator="equal">
      <formula>0</formula>
    </cfRule>
    <cfRule type="cellIs" dxfId="732" priority="6" operator="equal">
      <formula>2</formula>
    </cfRule>
  </conditionalFormatting>
  <dataValidations count="1">
    <dataValidation type="list" allowBlank="1" sqref="F8 F10 F12 F14 F18 F20 F22 F24 F26 F30 F32 F34 F36 F40 F42 F44 F48 F50 F52 F54 F58 F60 F62" xr:uid="{00000000-0002-0000-0400-000000000000}">
      <formula1>"n.e.,0,4,6,8,10"</formula1>
    </dataValidation>
  </dataValidations>
  <hyperlinks>
    <hyperlink ref="G8" location="Remarks!H5" display="▶️" xr:uid="{00000000-0004-0000-0400-000000000000}"/>
    <hyperlink ref="G10" location="Remarks!H6" display="▶️" xr:uid="{00000000-0004-0000-0400-000001000000}"/>
    <hyperlink ref="G12" location="Remarks!H7" display="▶️" xr:uid="{00000000-0004-0000-0400-000002000000}"/>
    <hyperlink ref="G14" location="Remarks!H8" display="▶️" xr:uid="{00000000-0004-0000-0400-000003000000}"/>
    <hyperlink ref="G18" location="Remarks!H9" display="▶️" xr:uid="{00000000-0004-0000-0400-000004000000}"/>
    <hyperlink ref="G20" location="Remarks!H10" display="▶️" xr:uid="{00000000-0004-0000-0400-000005000000}"/>
    <hyperlink ref="G22" location="Remarks!H11" display="▶️" xr:uid="{00000000-0004-0000-0400-000006000000}"/>
    <hyperlink ref="G24" location="Remarks!H12" display="▶️" xr:uid="{00000000-0004-0000-0400-000007000000}"/>
    <hyperlink ref="G26" location="Remarks!H13" display="▶️" xr:uid="{00000000-0004-0000-0400-000008000000}"/>
    <hyperlink ref="G30" location="Remarks!H14" display="▶️" xr:uid="{00000000-0004-0000-0400-000009000000}"/>
    <hyperlink ref="G32" location="Remarks!H15" display="▶️" xr:uid="{00000000-0004-0000-0400-00000A000000}"/>
    <hyperlink ref="G34" location="Remarks!H16" display="▶️" xr:uid="{00000000-0004-0000-0400-00000B000000}"/>
    <hyperlink ref="G36" location="Remarks!H17" display="▶️" xr:uid="{00000000-0004-0000-0400-00000C000000}"/>
    <hyperlink ref="G40" location="Remarks!H18" display="▶️" xr:uid="{00000000-0004-0000-0400-00000D000000}"/>
    <hyperlink ref="G42" location="Remarks!H19" display="▶️" xr:uid="{00000000-0004-0000-0400-00000E000000}"/>
    <hyperlink ref="G44" location="Remarks!H20" display="▶️" xr:uid="{00000000-0004-0000-0400-00000F000000}"/>
    <hyperlink ref="G48" location="Remarks!H21" display="▶️" xr:uid="{00000000-0004-0000-0400-000010000000}"/>
    <hyperlink ref="G50" location="Remarks!H22" display="▶️" xr:uid="{00000000-0004-0000-0400-000011000000}"/>
    <hyperlink ref="G52" location="Remarks!H23" display="▶️" xr:uid="{00000000-0004-0000-0400-000012000000}"/>
    <hyperlink ref="G54" location="Remarks!H24" display="▶️" xr:uid="{00000000-0004-0000-0400-000013000000}"/>
    <hyperlink ref="G58" location="Remarks!H25" display="▶️" xr:uid="{00000000-0004-0000-0400-000014000000}"/>
    <hyperlink ref="G60" location="Remarks!H26" display="▶️" xr:uid="{00000000-0004-0000-0400-000015000000}"/>
    <hyperlink ref="G62" location="Remarks!H27" display="▶️" xr:uid="{00000000-0004-0000-0400-000016000000}"/>
  </hyperlinks>
  <pageMargins left="0.75" right="0.75" top="1" bottom="1" header="0.5" footer="0.5"/>
  <headerFooter>
    <oddHeader>&amp;L&amp;"Calibri"&amp;1 &amp;K000000 INTERNAL#_x000D_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FB8A6-B9CC-384B-B650-B9CC447AD14F}">
  <sheetPr codeName="Sheet6"/>
  <dimension ref="A1:G70"/>
  <sheetViews>
    <sheetView topLeftCell="A16" workbookViewId="0">
      <selection activeCell="D18" sqref="D18"/>
    </sheetView>
  </sheetViews>
  <sheetFormatPr baseColWidth="10" defaultColWidth="8.83203125" defaultRowHeight="16"/>
  <cols>
    <col min="1" max="1" width="7" customWidth="1"/>
    <col min="2" max="2" width="4" customWidth="1"/>
    <col min="3" max="3" width="2" customWidth="1"/>
    <col min="4" max="4" width="55" customWidth="1"/>
    <col min="5" max="5" width="40" customWidth="1"/>
    <col min="6" max="7" width="15" customWidth="1"/>
  </cols>
  <sheetData>
    <row r="1" spans="1:7" ht="30" customHeight="1">
      <c r="A1" s="150" t="s">
        <v>702</v>
      </c>
      <c r="B1" s="170"/>
      <c r="C1" s="170"/>
      <c r="D1" s="170"/>
      <c r="E1" s="170"/>
      <c r="F1" s="170"/>
      <c r="G1" s="170"/>
    </row>
    <row r="2" spans="1:7" ht="6" customHeight="1"/>
    <row r="3" spans="1:7" ht="20" customHeight="1">
      <c r="A3" s="74" t="s">
        <v>3</v>
      </c>
      <c r="B3" s="74" t="s">
        <v>59</v>
      </c>
      <c r="D3" s="74" t="s">
        <v>395</v>
      </c>
      <c r="E3" s="74" t="s">
        <v>396</v>
      </c>
      <c r="F3" s="74" t="s">
        <v>55</v>
      </c>
      <c r="G3" s="74" t="s">
        <v>397</v>
      </c>
    </row>
    <row r="4" spans="1:7" ht="6" customHeight="1"/>
    <row r="5" spans="1:7" ht="6" customHeight="1"/>
    <row r="6" spans="1:7" ht="22" customHeight="1">
      <c r="A6" s="173" t="s">
        <v>432</v>
      </c>
      <c r="B6" s="168"/>
      <c r="C6" s="168"/>
      <c r="D6" s="168"/>
      <c r="E6" s="168"/>
      <c r="F6" s="168"/>
      <c r="G6" s="169"/>
    </row>
    <row r="7" spans="1:7" ht="28" customHeight="1">
      <c r="A7" s="87" t="s">
        <v>107</v>
      </c>
      <c r="B7" s="77"/>
      <c r="D7" s="172" t="s">
        <v>433</v>
      </c>
      <c r="E7" s="169"/>
      <c r="F7" s="88" t="str">
        <f>IF(OR(F8="n.e.",F8=""),"not evaluated","evaluated")</f>
        <v>not evaluated</v>
      </c>
      <c r="G7" s="77"/>
    </row>
    <row r="8" spans="1:7" ht="80" customHeight="1">
      <c r="A8" s="77"/>
      <c r="B8" s="77"/>
      <c r="D8" s="80" t="s">
        <v>703</v>
      </c>
      <c r="E8" s="80" t="s">
        <v>704</v>
      </c>
      <c r="F8" s="89" t="s">
        <v>393</v>
      </c>
      <c r="G8" s="81" t="s">
        <v>400</v>
      </c>
    </row>
    <row r="9" spans="1:7" ht="28" customHeight="1">
      <c r="A9" s="87" t="s">
        <v>109</v>
      </c>
      <c r="B9" s="77"/>
      <c r="D9" s="172" t="s">
        <v>434</v>
      </c>
      <c r="E9" s="169"/>
      <c r="F9" s="88" t="str">
        <f>IF(OR(F10="n.e.",F10=""),"not evaluated","evaluated")</f>
        <v>not evaluated</v>
      </c>
      <c r="G9" s="77"/>
    </row>
    <row r="10" spans="1:7" ht="80" customHeight="1">
      <c r="A10" s="77"/>
      <c r="B10" s="77"/>
      <c r="D10" s="80" t="s">
        <v>705</v>
      </c>
      <c r="E10" s="80" t="s">
        <v>706</v>
      </c>
      <c r="F10" s="89" t="s">
        <v>393</v>
      </c>
      <c r="G10" s="81" t="s">
        <v>400</v>
      </c>
    </row>
    <row r="12" spans="1:7" ht="22" customHeight="1">
      <c r="A12" s="173" t="s">
        <v>435</v>
      </c>
      <c r="B12" s="168"/>
      <c r="C12" s="168"/>
      <c r="D12" s="168"/>
      <c r="E12" s="168"/>
      <c r="F12" s="168"/>
      <c r="G12" s="169"/>
    </row>
    <row r="13" spans="1:7" ht="28" customHeight="1">
      <c r="A13" s="87" t="s">
        <v>111</v>
      </c>
      <c r="B13" s="79" t="s">
        <v>59</v>
      </c>
      <c r="D13" s="172" t="s">
        <v>436</v>
      </c>
      <c r="E13" s="169"/>
      <c r="F13" s="88" t="str">
        <f>IF(OR(F14="n.e.",F14=""),"not evaluated","evaluated")</f>
        <v>not evaluated</v>
      </c>
      <c r="G13" s="77"/>
    </row>
    <row r="14" spans="1:7" ht="80" customHeight="1">
      <c r="A14" s="77"/>
      <c r="B14" s="77"/>
      <c r="D14" s="80" t="s">
        <v>707</v>
      </c>
      <c r="E14" s="80" t="s">
        <v>708</v>
      </c>
      <c r="F14" s="89" t="s">
        <v>393</v>
      </c>
      <c r="G14" s="81" t="s">
        <v>400</v>
      </c>
    </row>
    <row r="15" spans="1:7" ht="28" customHeight="1">
      <c r="A15" s="87" t="s">
        <v>113</v>
      </c>
      <c r="B15" s="77"/>
      <c r="D15" s="172" t="s">
        <v>437</v>
      </c>
      <c r="E15" s="169"/>
      <c r="F15" s="88" t="str">
        <f>IF(OR(F16="n.e.",F16=""),"not evaluated","evaluated")</f>
        <v>not evaluated</v>
      </c>
      <c r="G15" s="77"/>
    </row>
    <row r="16" spans="1:7" ht="80" customHeight="1">
      <c r="A16" s="77"/>
      <c r="B16" s="77"/>
      <c r="D16" s="80" t="s">
        <v>709</v>
      </c>
      <c r="E16" s="80" t="s">
        <v>710</v>
      </c>
      <c r="F16" s="89" t="s">
        <v>393</v>
      </c>
      <c r="G16" s="81" t="s">
        <v>400</v>
      </c>
    </row>
    <row r="17" spans="1:7" ht="28" customHeight="1">
      <c r="A17" s="87" t="s">
        <v>115</v>
      </c>
      <c r="B17" s="79" t="s">
        <v>59</v>
      </c>
      <c r="D17" s="172" t="s">
        <v>438</v>
      </c>
      <c r="E17" s="169"/>
      <c r="F17" s="88" t="str">
        <f>IF(OR(F18="n.e.",F18=""),"not evaluated","evaluated")</f>
        <v>not evaluated</v>
      </c>
      <c r="G17" s="77"/>
    </row>
    <row r="18" spans="1:7" ht="80" customHeight="1">
      <c r="A18" s="77"/>
      <c r="B18" s="77"/>
      <c r="D18" s="80" t="s">
        <v>711</v>
      </c>
      <c r="E18" s="80" t="s">
        <v>712</v>
      </c>
      <c r="F18" s="89" t="s">
        <v>393</v>
      </c>
      <c r="G18" s="81" t="s">
        <v>400</v>
      </c>
    </row>
    <row r="19" spans="1:7" ht="28" customHeight="1">
      <c r="A19" s="87" t="s">
        <v>117</v>
      </c>
      <c r="B19" s="77"/>
      <c r="D19" s="172" t="s">
        <v>439</v>
      </c>
      <c r="E19" s="169"/>
      <c r="F19" s="88" t="str">
        <f>IF(OR(F20="n.e.",F20=""),"not evaluated","evaluated")</f>
        <v>not evaluated</v>
      </c>
      <c r="G19" s="77"/>
    </row>
    <row r="20" spans="1:7" ht="80" customHeight="1">
      <c r="A20" s="77"/>
      <c r="B20" s="77"/>
      <c r="D20" s="80" t="s">
        <v>713</v>
      </c>
      <c r="E20" s="80" t="s">
        <v>714</v>
      </c>
      <c r="F20" s="89" t="s">
        <v>393</v>
      </c>
      <c r="G20" s="81" t="s">
        <v>400</v>
      </c>
    </row>
    <row r="21" spans="1:7" ht="28" customHeight="1">
      <c r="A21" s="87" t="s">
        <v>119</v>
      </c>
      <c r="B21" s="77"/>
      <c r="D21" s="172" t="s">
        <v>440</v>
      </c>
      <c r="E21" s="169"/>
      <c r="F21" s="88" t="str">
        <f>IF(OR(F22="n.e.",F22=""),"not evaluated","evaluated")</f>
        <v>not evaluated</v>
      </c>
      <c r="G21" s="77"/>
    </row>
    <row r="22" spans="1:7" ht="80" customHeight="1">
      <c r="A22" s="77"/>
      <c r="B22" s="77"/>
      <c r="D22" s="80" t="s">
        <v>715</v>
      </c>
      <c r="E22" s="80" t="s">
        <v>716</v>
      </c>
      <c r="F22" s="89" t="s">
        <v>393</v>
      </c>
      <c r="G22" s="81" t="s">
        <v>400</v>
      </c>
    </row>
    <row r="23" spans="1:7" ht="28" customHeight="1">
      <c r="A23" s="87" t="s">
        <v>121</v>
      </c>
      <c r="B23" s="79" t="s">
        <v>59</v>
      </c>
      <c r="D23" s="172" t="s">
        <v>441</v>
      </c>
      <c r="E23" s="169"/>
      <c r="F23" s="88" t="str">
        <f>IF(OR(F24="n.e.",F24=""),"not evaluated","evaluated")</f>
        <v>not evaluated</v>
      </c>
      <c r="G23" s="77"/>
    </row>
    <row r="24" spans="1:7" ht="80" customHeight="1">
      <c r="A24" s="77"/>
      <c r="B24" s="77"/>
      <c r="D24" s="80" t="s">
        <v>717</v>
      </c>
      <c r="E24" s="80" t="s">
        <v>718</v>
      </c>
      <c r="F24" s="89" t="s">
        <v>393</v>
      </c>
      <c r="G24" s="81" t="s">
        <v>400</v>
      </c>
    </row>
    <row r="25" spans="1:7" ht="28" customHeight="1">
      <c r="A25" s="87" t="s">
        <v>123</v>
      </c>
      <c r="B25" s="77"/>
      <c r="D25" s="172" t="s">
        <v>442</v>
      </c>
      <c r="E25" s="169"/>
      <c r="F25" s="88" t="str">
        <f>IF(OR(F26="n.e.",F26=""),"not evaluated","evaluated")</f>
        <v>not evaluated</v>
      </c>
      <c r="G25" s="77"/>
    </row>
    <row r="26" spans="1:7" ht="80" customHeight="1">
      <c r="A26" s="77"/>
      <c r="B26" s="77"/>
      <c r="D26" s="80" t="s">
        <v>719</v>
      </c>
      <c r="E26" s="80" t="s">
        <v>720</v>
      </c>
      <c r="F26" s="89" t="s">
        <v>393</v>
      </c>
      <c r="G26" s="81" t="s">
        <v>400</v>
      </c>
    </row>
    <row r="28" spans="1:7" ht="22" customHeight="1">
      <c r="A28" s="173" t="s">
        <v>443</v>
      </c>
      <c r="B28" s="168"/>
      <c r="C28" s="168"/>
      <c r="D28" s="168"/>
      <c r="E28" s="168"/>
      <c r="F28" s="168"/>
      <c r="G28" s="169"/>
    </row>
    <row r="29" spans="1:7" ht="28" customHeight="1">
      <c r="A29" s="87" t="s">
        <v>125</v>
      </c>
      <c r="B29" s="77"/>
      <c r="D29" s="172" t="s">
        <v>444</v>
      </c>
      <c r="E29" s="169"/>
      <c r="F29" s="88" t="str">
        <f>IF(OR(F30="n.e.",F30=""),"not evaluated","evaluated")</f>
        <v>not evaluated</v>
      </c>
      <c r="G29" s="77"/>
    </row>
    <row r="30" spans="1:7" ht="80" customHeight="1">
      <c r="A30" s="77"/>
      <c r="B30" s="77"/>
      <c r="D30" s="80" t="s">
        <v>721</v>
      </c>
      <c r="E30" s="80" t="s">
        <v>722</v>
      </c>
      <c r="F30" s="89" t="s">
        <v>393</v>
      </c>
      <c r="G30" s="81" t="s">
        <v>400</v>
      </c>
    </row>
    <row r="31" spans="1:7" ht="28" customHeight="1">
      <c r="A31" s="87" t="s">
        <v>127</v>
      </c>
      <c r="B31" s="77"/>
      <c r="D31" s="172" t="s">
        <v>445</v>
      </c>
      <c r="E31" s="169"/>
      <c r="F31" s="88" t="str">
        <f>IF(OR(F32="n.e.",F32=""),"not evaluated","evaluated")</f>
        <v>not evaluated</v>
      </c>
      <c r="G31" s="77"/>
    </row>
    <row r="32" spans="1:7" ht="80" customHeight="1">
      <c r="A32" s="77"/>
      <c r="B32" s="77"/>
      <c r="D32" s="80" t="s">
        <v>723</v>
      </c>
      <c r="E32" s="80" t="s">
        <v>724</v>
      </c>
      <c r="F32" s="89" t="s">
        <v>393</v>
      </c>
      <c r="G32" s="81" t="s">
        <v>400</v>
      </c>
    </row>
    <row r="33" spans="1:7" ht="28" customHeight="1">
      <c r="A33" s="87" t="s">
        <v>129</v>
      </c>
      <c r="B33" s="77"/>
      <c r="D33" s="172" t="s">
        <v>446</v>
      </c>
      <c r="E33" s="169"/>
      <c r="F33" s="88" t="str">
        <f>IF(OR(F34="n.e.",F34=""),"not evaluated","evaluated")</f>
        <v>not evaluated</v>
      </c>
      <c r="G33" s="77"/>
    </row>
    <row r="34" spans="1:7" ht="80" customHeight="1">
      <c r="A34" s="77"/>
      <c r="B34" s="77"/>
      <c r="D34" s="80" t="s">
        <v>725</v>
      </c>
      <c r="E34" s="80" t="s">
        <v>679</v>
      </c>
      <c r="F34" s="89" t="s">
        <v>393</v>
      </c>
      <c r="G34" s="81" t="s">
        <v>400</v>
      </c>
    </row>
    <row r="35" spans="1:7" ht="28" customHeight="1">
      <c r="A35" s="87" t="s">
        <v>131</v>
      </c>
      <c r="B35" s="79" t="s">
        <v>59</v>
      </c>
      <c r="D35" s="172" t="s">
        <v>447</v>
      </c>
      <c r="E35" s="169"/>
      <c r="F35" s="88" t="str">
        <f>IF(OR(F36="n.e.",F36=""),"not evaluated","evaluated")</f>
        <v>not evaluated</v>
      </c>
      <c r="G35" s="77"/>
    </row>
    <row r="36" spans="1:7" ht="80" customHeight="1">
      <c r="A36" s="77"/>
      <c r="B36" s="77"/>
      <c r="D36" s="80" t="s">
        <v>726</v>
      </c>
      <c r="E36" s="80" t="s">
        <v>727</v>
      </c>
      <c r="F36" s="89" t="s">
        <v>393</v>
      </c>
      <c r="G36" s="81" t="s">
        <v>400</v>
      </c>
    </row>
    <row r="38" spans="1:7" ht="22" customHeight="1">
      <c r="A38" s="173" t="s">
        <v>448</v>
      </c>
      <c r="B38" s="168"/>
      <c r="C38" s="168"/>
      <c r="D38" s="168"/>
      <c r="E38" s="168"/>
      <c r="F38" s="168"/>
      <c r="G38" s="169"/>
    </row>
    <row r="39" spans="1:7" ht="28" customHeight="1">
      <c r="A39" s="87" t="s">
        <v>132</v>
      </c>
      <c r="B39" s="77"/>
      <c r="D39" s="172" t="s">
        <v>449</v>
      </c>
      <c r="E39" s="169"/>
      <c r="F39" s="88" t="str">
        <f>IF(OR(F40="n.e.",F40=""),"not evaluated","evaluated")</f>
        <v>not evaluated</v>
      </c>
      <c r="G39" s="77"/>
    </row>
    <row r="40" spans="1:7" ht="80" customHeight="1">
      <c r="A40" s="77"/>
      <c r="B40" s="77"/>
      <c r="D40" s="80" t="s">
        <v>728</v>
      </c>
      <c r="E40" s="80" t="s">
        <v>729</v>
      </c>
      <c r="F40" s="89" t="s">
        <v>393</v>
      </c>
      <c r="G40" s="81" t="s">
        <v>400</v>
      </c>
    </row>
    <row r="41" spans="1:7" ht="28" customHeight="1">
      <c r="A41" s="87" t="s">
        <v>133</v>
      </c>
      <c r="B41" s="79" t="s">
        <v>59</v>
      </c>
      <c r="D41" s="172" t="s">
        <v>450</v>
      </c>
      <c r="E41" s="169"/>
      <c r="F41" s="88" t="str">
        <f>IF(OR(F42="n.e.",F42=""),"not evaluated","evaluated")</f>
        <v>not evaluated</v>
      </c>
      <c r="G41" s="77"/>
    </row>
    <row r="42" spans="1:7" ht="80" customHeight="1">
      <c r="A42" s="77"/>
      <c r="B42" s="77"/>
      <c r="D42" s="80" t="s">
        <v>730</v>
      </c>
      <c r="E42" s="80" t="s">
        <v>685</v>
      </c>
      <c r="F42" s="89" t="s">
        <v>393</v>
      </c>
      <c r="G42" s="81" t="s">
        <v>400</v>
      </c>
    </row>
    <row r="43" spans="1:7" ht="28" customHeight="1">
      <c r="A43" s="87" t="s">
        <v>134</v>
      </c>
      <c r="B43" s="77"/>
      <c r="D43" s="172" t="s">
        <v>451</v>
      </c>
      <c r="E43" s="169"/>
      <c r="F43" s="88" t="str">
        <f>IF(OR(F44="n.e.",F44=""),"not evaluated","evaluated")</f>
        <v>not evaluated</v>
      </c>
      <c r="G43" s="77"/>
    </row>
    <row r="44" spans="1:7" ht="80" customHeight="1">
      <c r="A44" s="77"/>
      <c r="B44" s="77"/>
      <c r="D44" s="80" t="s">
        <v>731</v>
      </c>
      <c r="E44" s="80" t="s">
        <v>732</v>
      </c>
      <c r="F44" s="89" t="s">
        <v>393</v>
      </c>
      <c r="G44" s="81" t="s">
        <v>400</v>
      </c>
    </row>
    <row r="45" spans="1:7" ht="28" customHeight="1">
      <c r="A45" s="87" t="s">
        <v>135</v>
      </c>
      <c r="B45" s="77"/>
      <c r="D45" s="172" t="s">
        <v>452</v>
      </c>
      <c r="E45" s="169"/>
      <c r="F45" s="88" t="str">
        <f>IF(OR(F46="n.e.",F46=""),"not evaluated","evaluated")</f>
        <v>not evaluated</v>
      </c>
      <c r="G45" s="77"/>
    </row>
    <row r="46" spans="1:7" ht="80" customHeight="1">
      <c r="A46" s="77"/>
      <c r="B46" s="77"/>
      <c r="D46" s="80" t="s">
        <v>733</v>
      </c>
      <c r="E46" s="80" t="s">
        <v>734</v>
      </c>
      <c r="F46" s="89" t="s">
        <v>393</v>
      </c>
      <c r="G46" s="81" t="s">
        <v>400</v>
      </c>
    </row>
    <row r="48" spans="1:7" ht="22" customHeight="1">
      <c r="A48" s="173" t="s">
        <v>453</v>
      </c>
      <c r="B48" s="168"/>
      <c r="C48" s="168"/>
      <c r="D48" s="168"/>
      <c r="E48" s="168"/>
      <c r="F48" s="168"/>
      <c r="G48" s="169"/>
    </row>
    <row r="49" spans="1:7" ht="28" customHeight="1">
      <c r="A49" s="87" t="s">
        <v>137</v>
      </c>
      <c r="B49" s="79" t="s">
        <v>59</v>
      </c>
      <c r="D49" s="172" t="s">
        <v>454</v>
      </c>
      <c r="E49" s="169"/>
      <c r="F49" s="88" t="str">
        <f>IF(OR(F50="n.e.",F50=""),"not evaluated","evaluated")</f>
        <v>not evaluated</v>
      </c>
      <c r="G49" s="77"/>
    </row>
    <row r="50" spans="1:7" ht="80" customHeight="1">
      <c r="A50" s="77"/>
      <c r="B50" s="77"/>
      <c r="D50" s="80" t="s">
        <v>735</v>
      </c>
      <c r="E50" s="80" t="s">
        <v>736</v>
      </c>
      <c r="F50" s="89" t="s">
        <v>393</v>
      </c>
      <c r="G50" s="81" t="s">
        <v>400</v>
      </c>
    </row>
    <row r="51" spans="1:7" ht="28" customHeight="1">
      <c r="A51" s="87" t="s">
        <v>139</v>
      </c>
      <c r="B51" s="77"/>
      <c r="D51" s="172" t="s">
        <v>455</v>
      </c>
      <c r="E51" s="169"/>
      <c r="F51" s="88" t="str">
        <f>IF(OR(F52="n.e.",F52=""),"not evaluated","evaluated")</f>
        <v>not evaluated</v>
      </c>
      <c r="G51" s="77"/>
    </row>
    <row r="52" spans="1:7" ht="80" customHeight="1">
      <c r="A52" s="77"/>
      <c r="B52" s="77"/>
      <c r="D52" s="80" t="s">
        <v>737</v>
      </c>
      <c r="E52" s="80" t="s">
        <v>738</v>
      </c>
      <c r="F52" s="89" t="s">
        <v>393</v>
      </c>
      <c r="G52" s="81" t="s">
        <v>400</v>
      </c>
    </row>
    <row r="53" spans="1:7" ht="28" customHeight="1">
      <c r="A53" s="87" t="s">
        <v>140</v>
      </c>
      <c r="B53" s="77"/>
      <c r="D53" s="172" t="s">
        <v>456</v>
      </c>
      <c r="E53" s="169"/>
      <c r="F53" s="88" t="str">
        <f>IF(OR(F54="n.e.",F54=""),"not evaluated","evaluated")</f>
        <v>not evaluated</v>
      </c>
      <c r="G53" s="77"/>
    </row>
    <row r="54" spans="1:7" ht="80" customHeight="1">
      <c r="A54" s="77"/>
      <c r="B54" s="77"/>
      <c r="D54" s="80" t="s">
        <v>739</v>
      </c>
      <c r="E54" s="80" t="s">
        <v>740</v>
      </c>
      <c r="F54" s="89" t="s">
        <v>393</v>
      </c>
      <c r="G54" s="81" t="s">
        <v>400</v>
      </c>
    </row>
    <row r="55" spans="1:7" ht="28" customHeight="1">
      <c r="A55" s="87" t="s">
        <v>141</v>
      </c>
      <c r="B55" s="77"/>
      <c r="D55" s="172" t="s">
        <v>457</v>
      </c>
      <c r="E55" s="169"/>
      <c r="F55" s="88" t="str">
        <f>IF(OR(F56="n.e.",F56=""),"not evaluated","evaluated")</f>
        <v>not evaluated</v>
      </c>
      <c r="G55" s="77"/>
    </row>
    <row r="56" spans="1:7" ht="80" customHeight="1">
      <c r="A56" s="77"/>
      <c r="B56" s="77"/>
      <c r="D56" s="80" t="s">
        <v>741</v>
      </c>
      <c r="E56" s="80" t="s">
        <v>742</v>
      </c>
      <c r="F56" s="89" t="s">
        <v>393</v>
      </c>
      <c r="G56" s="81" t="s">
        <v>400</v>
      </c>
    </row>
    <row r="58" spans="1:7" ht="22" customHeight="1">
      <c r="A58" s="173" t="s">
        <v>458</v>
      </c>
      <c r="B58" s="168"/>
      <c r="C58" s="168"/>
      <c r="D58" s="168"/>
      <c r="E58" s="168"/>
      <c r="F58" s="168"/>
      <c r="G58" s="169"/>
    </row>
    <row r="59" spans="1:7" ht="28" customHeight="1">
      <c r="A59" s="87" t="s">
        <v>143</v>
      </c>
      <c r="B59" s="79" t="s">
        <v>59</v>
      </c>
      <c r="D59" s="172" t="s">
        <v>459</v>
      </c>
      <c r="E59" s="169"/>
      <c r="F59" s="88" t="str">
        <f>IF(OR(F60="n.e.",F60=""),"not evaluated","evaluated")</f>
        <v>not evaluated</v>
      </c>
      <c r="G59" s="77"/>
    </row>
    <row r="60" spans="1:7" ht="80" customHeight="1">
      <c r="A60" s="77"/>
      <c r="B60" s="77"/>
      <c r="D60" s="80" t="s">
        <v>743</v>
      </c>
      <c r="E60" s="80" t="s">
        <v>744</v>
      </c>
      <c r="F60" s="89" t="s">
        <v>393</v>
      </c>
      <c r="G60" s="81" t="s">
        <v>400</v>
      </c>
    </row>
    <row r="61" spans="1:7" ht="28" customHeight="1">
      <c r="A61" s="87" t="s">
        <v>144</v>
      </c>
      <c r="B61" s="77"/>
      <c r="D61" s="172" t="s">
        <v>460</v>
      </c>
      <c r="E61" s="169"/>
      <c r="F61" s="88" t="str">
        <f>IF(OR(F62="n.e.",F62=""),"not evaluated","evaluated")</f>
        <v>not evaluated</v>
      </c>
      <c r="G61" s="77"/>
    </row>
    <row r="62" spans="1:7" ht="80" customHeight="1">
      <c r="A62" s="77"/>
      <c r="B62" s="77"/>
      <c r="D62" s="80" t="s">
        <v>745</v>
      </c>
      <c r="E62" s="80" t="s">
        <v>746</v>
      </c>
      <c r="F62" s="89" t="s">
        <v>393</v>
      </c>
      <c r="G62" s="81" t="s">
        <v>400</v>
      </c>
    </row>
    <row r="63" spans="1:7" ht="28" customHeight="1">
      <c r="A63" s="87" t="s">
        <v>145</v>
      </c>
      <c r="B63" s="77"/>
      <c r="D63" s="172" t="s">
        <v>461</v>
      </c>
      <c r="E63" s="169"/>
      <c r="F63" s="88" t="str">
        <f>IF(OR(F64="n.e.",F64=""),"not evaluated","evaluated")</f>
        <v>not evaluated</v>
      </c>
      <c r="G63" s="77"/>
    </row>
    <row r="64" spans="1:7" ht="80" customHeight="1">
      <c r="A64" s="77"/>
      <c r="B64" s="77"/>
      <c r="D64" s="80" t="s">
        <v>747</v>
      </c>
      <c r="E64" s="80" t="s">
        <v>748</v>
      </c>
      <c r="F64" s="89" t="s">
        <v>393</v>
      </c>
      <c r="G64" s="81" t="s">
        <v>400</v>
      </c>
    </row>
    <row r="66" spans="4:6">
      <c r="D66" s="90">
        <f>COUNT(F8,F10,F14,F16,F18,F20,F22,F24,F26,F30,F32,F34,F36,F40,F42,F44,F46,F50,F52,F54,F56,F60,F62,F64)</f>
        <v>0</v>
      </c>
      <c r="E66" s="90" t="s">
        <v>462</v>
      </c>
      <c r="F66" s="91" t="str">
        <f>IF(D66=0,"n.e.",SUM(F8,F10,F14,F16,F18,F20,F22,F24,F26,F30,F32,F34,F36,F40,F42,F44,F46,F50,F52,F54,F56,F60,F62,F64)/(D66*10))</f>
        <v>n.e.</v>
      </c>
    </row>
    <row r="68" spans="4:6">
      <c r="D68">
        <f>COUNT(F14,F18,F24,F36,F42,F50,F60)</f>
        <v>0</v>
      </c>
      <c r="E68" s="92" t="s">
        <v>429</v>
      </c>
      <c r="F68" s="83" t="str">
        <f>IF(D68=0,"n.e.",SUM(F14,F18,F24,F36,F42,F50,F60)/(D68*10))</f>
        <v>n.e.</v>
      </c>
    </row>
    <row r="69" spans="4:6">
      <c r="E69" t="s">
        <v>430</v>
      </c>
      <c r="F69" t="str">
        <f>IF(COUNT(F14,F18,F24,F36,F42,F50,F60)=0,"n.e.",MIN(F14,F18,F24,F36,F42,F50,F60))</f>
        <v>n.e.</v>
      </c>
    </row>
    <row r="70" spans="4:6">
      <c r="E70" t="s">
        <v>431</v>
      </c>
      <c r="F70" t="str">
        <f>IF(COUNT(F8,F10,F14,F16,F18,F20,F22,F24,F26,F30,F32,F34,F36,F40,F42,F44,F46,F50,F52,F54,F56,F60,F62,F64)=0,"n.e.",MIN(F8,F10,F14,F16,F18,F20,F22,F24,F26,F30,F32,F34,F36,F40,F42,F44,F46,F50,F52,F54,F56,F60,F62,F64))</f>
        <v>n.e.</v>
      </c>
    </row>
  </sheetData>
  <mergeCells count="31">
    <mergeCell ref="D63:E63"/>
    <mergeCell ref="A38:G38"/>
    <mergeCell ref="D31:E31"/>
    <mergeCell ref="D45:E45"/>
    <mergeCell ref="A28:G28"/>
    <mergeCell ref="A58:G58"/>
    <mergeCell ref="D49:E49"/>
    <mergeCell ref="A48:G48"/>
    <mergeCell ref="D61:E61"/>
    <mergeCell ref="D41:E41"/>
    <mergeCell ref="D17:E17"/>
    <mergeCell ref="D53:E53"/>
    <mergeCell ref="D55:E55"/>
    <mergeCell ref="D51:E51"/>
    <mergeCell ref="D59:E59"/>
    <mergeCell ref="D19:E19"/>
    <mergeCell ref="D21:E21"/>
    <mergeCell ref="A1:G1"/>
    <mergeCell ref="D7:E7"/>
    <mergeCell ref="A6:G6"/>
    <mergeCell ref="D43:E43"/>
    <mergeCell ref="D9:E9"/>
    <mergeCell ref="D39:E39"/>
    <mergeCell ref="D25:E25"/>
    <mergeCell ref="D15:E15"/>
    <mergeCell ref="D33:E33"/>
    <mergeCell ref="D29:E29"/>
    <mergeCell ref="A12:G12"/>
    <mergeCell ref="D23:E23"/>
    <mergeCell ref="D35:E35"/>
    <mergeCell ref="D13:E13"/>
  </mergeCells>
  <phoneticPr fontId="20" type="noConversion"/>
  <conditionalFormatting sqref="F8 F10 F14 F16 F18 F20 F22 F24 F26 F30 F32 F34 F36 F40 F42 F44 F46 F50 F52 F54 F56 F60 F62 F64">
    <cfRule type="cellIs" dxfId="731" priority="1" operator="equal">
      <formula>10</formula>
    </cfRule>
    <cfRule type="cellIs" dxfId="730" priority="2" operator="equal">
      <formula>8</formula>
    </cfRule>
    <cfRule type="cellIs" dxfId="729" priority="3" operator="equal">
      <formula>6</formula>
    </cfRule>
    <cfRule type="cellIs" dxfId="728" priority="4" operator="equal">
      <formula>4</formula>
    </cfRule>
    <cfRule type="cellIs" dxfId="727" priority="5" operator="equal">
      <formula>0</formula>
    </cfRule>
    <cfRule type="cellIs" dxfId="726" priority="6" operator="equal">
      <formula>2</formula>
    </cfRule>
  </conditionalFormatting>
  <dataValidations count="1">
    <dataValidation type="list" allowBlank="1" sqref="F8 F10 F14 F16 F18 F20 F22 F24 F26 F30 F32 F34 F36 F40 F42 F44 F46 F50 F52 F54 F56 F60 F62 F64" xr:uid="{00000000-0002-0000-0500-000000000000}">
      <formula1>"n.e.,0,4,6,8,10"</formula1>
    </dataValidation>
  </dataValidations>
  <hyperlinks>
    <hyperlink ref="G8" location="Remarks!H29" display="▶️" xr:uid="{00000000-0004-0000-0500-000000000000}"/>
    <hyperlink ref="G10" location="Remarks!H30" display="▶️" xr:uid="{00000000-0004-0000-0500-000001000000}"/>
    <hyperlink ref="G14" location="Remarks!H31" display="▶️" xr:uid="{00000000-0004-0000-0500-000002000000}"/>
    <hyperlink ref="G16" location="Remarks!H32" display="▶️" xr:uid="{00000000-0004-0000-0500-000003000000}"/>
    <hyperlink ref="G18" location="Remarks!H33" display="▶️" xr:uid="{00000000-0004-0000-0500-000004000000}"/>
    <hyperlink ref="G20" location="Remarks!H34" display="▶️" xr:uid="{00000000-0004-0000-0500-000005000000}"/>
    <hyperlink ref="G22" location="Remarks!H35" display="▶️" xr:uid="{00000000-0004-0000-0500-000006000000}"/>
    <hyperlink ref="G24" location="Remarks!H36" display="▶️" xr:uid="{00000000-0004-0000-0500-000007000000}"/>
    <hyperlink ref="G26" location="Remarks!H37" display="▶️" xr:uid="{00000000-0004-0000-0500-000008000000}"/>
    <hyperlink ref="G30" location="Remarks!H38" display="▶️" xr:uid="{00000000-0004-0000-0500-000009000000}"/>
    <hyperlink ref="G32" location="Remarks!H39" display="▶️" xr:uid="{00000000-0004-0000-0500-00000A000000}"/>
    <hyperlink ref="G34" location="Remarks!H40" display="▶️" xr:uid="{00000000-0004-0000-0500-00000B000000}"/>
    <hyperlink ref="G36" location="Remarks!H41" display="▶️" xr:uid="{00000000-0004-0000-0500-00000C000000}"/>
    <hyperlink ref="G40" location="Remarks!H42" display="▶️" xr:uid="{00000000-0004-0000-0500-00000D000000}"/>
    <hyperlink ref="G42" location="Remarks!H43" display="▶️" xr:uid="{00000000-0004-0000-0500-00000E000000}"/>
    <hyperlink ref="G44" location="Remarks!H44" display="▶️" xr:uid="{00000000-0004-0000-0500-00000F000000}"/>
    <hyperlink ref="G46" location="Remarks!H45" display="▶️" xr:uid="{00000000-0004-0000-0500-000010000000}"/>
    <hyperlink ref="G50" location="Remarks!H46" display="▶️" xr:uid="{00000000-0004-0000-0500-000011000000}"/>
    <hyperlink ref="G52" location="Remarks!H47" display="▶️" xr:uid="{00000000-0004-0000-0500-000012000000}"/>
    <hyperlink ref="G54" location="Remarks!H48" display="▶️" xr:uid="{00000000-0004-0000-0500-000013000000}"/>
    <hyperlink ref="G56" location="Remarks!H49" display="▶️" xr:uid="{00000000-0004-0000-0500-000014000000}"/>
    <hyperlink ref="G60" location="Remarks!H50" display="▶️" xr:uid="{00000000-0004-0000-0500-000015000000}"/>
    <hyperlink ref="G62" location="Remarks!H51" display="▶️" xr:uid="{00000000-0004-0000-0500-000016000000}"/>
    <hyperlink ref="G64" location="Remarks!H52" display="▶️" xr:uid="{00000000-0004-0000-0500-000017000000}"/>
  </hyperlinks>
  <pageMargins left="0.75" right="0.75" top="1" bottom="1" header="0.5" footer="0.5"/>
  <headerFooter>
    <oddHeader>&amp;L&amp;"Calibri"&amp;1 &amp;K000000 INTERNAL#_x000D_</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71664-9204-6244-8342-102C2D1DE876}">
  <sheetPr codeName="Sheet7"/>
  <dimension ref="A1:G66"/>
  <sheetViews>
    <sheetView topLeftCell="A47" workbookViewId="0">
      <selection activeCell="P60" sqref="P60"/>
    </sheetView>
  </sheetViews>
  <sheetFormatPr baseColWidth="10" defaultColWidth="8.83203125" defaultRowHeight="16"/>
  <cols>
    <col min="1" max="1" width="7" customWidth="1"/>
    <col min="2" max="2" width="4" customWidth="1"/>
    <col min="3" max="3" width="2" customWidth="1"/>
    <col min="4" max="4" width="55" customWidth="1"/>
    <col min="5" max="5" width="40" customWidth="1"/>
    <col min="6" max="7" width="15" customWidth="1"/>
  </cols>
  <sheetData>
    <row r="1" spans="1:7" ht="30" customHeight="1">
      <c r="A1" s="150" t="s">
        <v>147</v>
      </c>
      <c r="B1" s="170"/>
      <c r="C1" s="170"/>
      <c r="D1" s="170"/>
      <c r="E1" s="170"/>
      <c r="F1" s="170"/>
      <c r="G1" s="170"/>
    </row>
    <row r="2" spans="1:7" ht="6" customHeight="1"/>
    <row r="3" spans="1:7" ht="20" customHeight="1">
      <c r="A3" s="74" t="s">
        <v>3</v>
      </c>
      <c r="B3" s="74" t="s">
        <v>59</v>
      </c>
      <c r="D3" s="74" t="s">
        <v>395</v>
      </c>
      <c r="E3" s="74" t="s">
        <v>396</v>
      </c>
      <c r="F3" s="74" t="s">
        <v>55</v>
      </c>
      <c r="G3" s="74" t="s">
        <v>397</v>
      </c>
    </row>
    <row r="4" spans="1:7" ht="6" customHeight="1"/>
    <row r="5" spans="1:7" ht="6" customHeight="1"/>
    <row r="6" spans="1:7" ht="22" customHeight="1">
      <c r="A6" s="173" t="s">
        <v>463</v>
      </c>
      <c r="B6" s="168"/>
      <c r="C6" s="168"/>
      <c r="D6" s="168"/>
      <c r="E6" s="168"/>
      <c r="F6" s="168"/>
      <c r="G6" s="169"/>
    </row>
    <row r="7" spans="1:7" ht="28" customHeight="1">
      <c r="A7" s="87" t="s">
        <v>148</v>
      </c>
      <c r="B7" s="77"/>
      <c r="D7" s="172" t="s">
        <v>464</v>
      </c>
      <c r="E7" s="169"/>
      <c r="F7" s="88" t="str">
        <f>IF(OR(F8="n.e.",F8=""),"not evaluated","evaluated")</f>
        <v>not evaluated</v>
      </c>
      <c r="G7" s="77"/>
    </row>
    <row r="8" spans="1:7" ht="80" customHeight="1">
      <c r="A8" s="77"/>
      <c r="B8" s="77"/>
      <c r="D8" s="80" t="s">
        <v>749</v>
      </c>
      <c r="E8" s="80" t="s">
        <v>750</v>
      </c>
      <c r="F8" s="89" t="s">
        <v>393</v>
      </c>
      <c r="G8" s="81" t="s">
        <v>400</v>
      </c>
    </row>
    <row r="10" spans="1:7" ht="22" customHeight="1">
      <c r="A10" s="173" t="s">
        <v>465</v>
      </c>
      <c r="B10" s="168"/>
      <c r="C10" s="168"/>
      <c r="D10" s="168"/>
      <c r="E10" s="168"/>
      <c r="F10" s="168"/>
      <c r="G10" s="169"/>
    </row>
    <row r="11" spans="1:7" ht="28" customHeight="1">
      <c r="A11" s="87" t="s">
        <v>150</v>
      </c>
      <c r="B11" s="79" t="s">
        <v>59</v>
      </c>
      <c r="D11" s="172" t="s">
        <v>466</v>
      </c>
      <c r="E11" s="169"/>
      <c r="F11" s="88" t="str">
        <f>IF(OR(F12="n.e.",F12=""),"not evaluated","evaluated")</f>
        <v>not evaluated</v>
      </c>
      <c r="G11" s="77"/>
    </row>
    <row r="12" spans="1:7" ht="80" customHeight="1">
      <c r="A12" s="77"/>
      <c r="B12" s="77"/>
      <c r="D12" s="80" t="s">
        <v>751</v>
      </c>
      <c r="E12" s="80" t="s">
        <v>752</v>
      </c>
      <c r="F12" s="89" t="s">
        <v>393</v>
      </c>
      <c r="G12" s="81" t="s">
        <v>400</v>
      </c>
    </row>
    <row r="13" spans="1:7" ht="28" customHeight="1">
      <c r="A13" s="87" t="s">
        <v>152</v>
      </c>
      <c r="B13" s="79" t="s">
        <v>59</v>
      </c>
      <c r="D13" s="172" t="s">
        <v>467</v>
      </c>
      <c r="E13" s="169"/>
      <c r="F13" s="88" t="str">
        <f>IF(OR(F14="n.e.",F14=""),"not evaluated","evaluated")</f>
        <v>not evaluated</v>
      </c>
      <c r="G13" s="77"/>
    </row>
    <row r="14" spans="1:7" ht="80" customHeight="1">
      <c r="A14" s="77"/>
      <c r="B14" s="77"/>
      <c r="D14" s="80" t="s">
        <v>753</v>
      </c>
      <c r="E14" s="80" t="s">
        <v>754</v>
      </c>
      <c r="F14" s="89" t="s">
        <v>393</v>
      </c>
      <c r="G14" s="81" t="s">
        <v>400</v>
      </c>
    </row>
    <row r="15" spans="1:7" ht="28" customHeight="1">
      <c r="A15" s="87" t="s">
        <v>154</v>
      </c>
      <c r="B15" s="77"/>
      <c r="D15" s="172" t="s">
        <v>468</v>
      </c>
      <c r="E15" s="169"/>
      <c r="F15" s="88" t="str">
        <f>IF(OR(F16="n.e.",F16=""),"not evaluated","evaluated")</f>
        <v>not evaluated</v>
      </c>
      <c r="G15" s="77"/>
    </row>
    <row r="16" spans="1:7" ht="80" customHeight="1">
      <c r="A16" s="77"/>
      <c r="B16" s="77"/>
      <c r="D16" s="80" t="s">
        <v>755</v>
      </c>
      <c r="E16" s="80" t="s">
        <v>756</v>
      </c>
      <c r="F16" s="89" t="s">
        <v>393</v>
      </c>
      <c r="G16" s="81" t="s">
        <v>400</v>
      </c>
    </row>
    <row r="17" spans="1:7" ht="28" customHeight="1">
      <c r="A17" s="87" t="s">
        <v>156</v>
      </c>
      <c r="B17" s="77"/>
      <c r="D17" s="172" t="s">
        <v>469</v>
      </c>
      <c r="E17" s="169"/>
      <c r="F17" s="88" t="str">
        <f>IF(OR(F18="n.e.",F18=""),"not evaluated","evaluated")</f>
        <v>not evaluated</v>
      </c>
      <c r="G17" s="77"/>
    </row>
    <row r="18" spans="1:7" ht="80" customHeight="1">
      <c r="A18" s="77"/>
      <c r="B18" s="77"/>
      <c r="D18" s="80" t="s">
        <v>757</v>
      </c>
      <c r="E18" s="80" t="s">
        <v>758</v>
      </c>
      <c r="F18" s="89" t="s">
        <v>393</v>
      </c>
      <c r="G18" s="81" t="s">
        <v>400</v>
      </c>
    </row>
    <row r="19" spans="1:7" ht="28" customHeight="1">
      <c r="A19" s="87" t="s">
        <v>158</v>
      </c>
      <c r="B19" s="79" t="s">
        <v>59</v>
      </c>
      <c r="D19" s="172" t="s">
        <v>470</v>
      </c>
      <c r="E19" s="169"/>
      <c r="F19" s="88" t="str">
        <f>IF(OR(F20="n.e.",F20=""),"not evaluated","evaluated")</f>
        <v>not evaluated</v>
      </c>
      <c r="G19" s="77"/>
    </row>
    <row r="20" spans="1:7" ht="80" customHeight="1">
      <c r="A20" s="77"/>
      <c r="B20" s="77"/>
      <c r="D20" s="80" t="s">
        <v>759</v>
      </c>
      <c r="E20" s="80" t="s">
        <v>760</v>
      </c>
      <c r="F20" s="89" t="s">
        <v>393</v>
      </c>
      <c r="G20" s="81" t="s">
        <v>400</v>
      </c>
    </row>
    <row r="21" spans="1:7" ht="28" customHeight="1">
      <c r="A21" s="87" t="s">
        <v>160</v>
      </c>
      <c r="B21" s="77"/>
      <c r="D21" s="172" t="s">
        <v>471</v>
      </c>
      <c r="E21" s="169"/>
      <c r="F21" s="88" t="str">
        <f>IF(OR(F22="n.e.",F22=""),"not evaluated","evaluated")</f>
        <v>not evaluated</v>
      </c>
      <c r="G21" s="77"/>
    </row>
    <row r="22" spans="1:7" ht="80" customHeight="1">
      <c r="A22" s="77"/>
      <c r="B22" s="77"/>
      <c r="D22" s="80" t="s">
        <v>761</v>
      </c>
      <c r="E22" s="80" t="s">
        <v>762</v>
      </c>
      <c r="F22" s="89" t="s">
        <v>393</v>
      </c>
      <c r="G22" s="81" t="s">
        <v>400</v>
      </c>
    </row>
    <row r="23" spans="1:7" ht="28" customHeight="1">
      <c r="A23" s="87" t="s">
        <v>162</v>
      </c>
      <c r="B23" s="77"/>
      <c r="D23" s="172" t="s">
        <v>472</v>
      </c>
      <c r="E23" s="169"/>
      <c r="F23" s="88" t="str">
        <f>IF(OR(F24="n.e.",F24=""),"not evaluated","evaluated")</f>
        <v>not evaluated</v>
      </c>
      <c r="G23" s="77"/>
    </row>
    <row r="24" spans="1:7" ht="80" customHeight="1">
      <c r="A24" s="77"/>
      <c r="B24" s="77"/>
      <c r="D24" s="80" t="s">
        <v>763</v>
      </c>
      <c r="E24" s="80" t="s">
        <v>764</v>
      </c>
      <c r="F24" s="89" t="s">
        <v>393</v>
      </c>
      <c r="G24" s="81" t="s">
        <v>400</v>
      </c>
    </row>
    <row r="26" spans="1:7" ht="22" customHeight="1">
      <c r="A26" s="173" t="s">
        <v>473</v>
      </c>
      <c r="B26" s="168"/>
      <c r="C26" s="168"/>
      <c r="D26" s="168"/>
      <c r="E26" s="168"/>
      <c r="F26" s="168"/>
      <c r="G26" s="169"/>
    </row>
    <row r="27" spans="1:7" ht="28" customHeight="1">
      <c r="A27" s="87" t="s">
        <v>164</v>
      </c>
      <c r="B27" s="77"/>
      <c r="D27" s="172" t="s">
        <v>474</v>
      </c>
      <c r="E27" s="169"/>
      <c r="F27" s="88" t="str">
        <f>IF(OR(F28="n.e.",F28=""),"not evaluated","evaluated")</f>
        <v>not evaluated</v>
      </c>
      <c r="G27" s="77"/>
    </row>
    <row r="28" spans="1:7" ht="80" customHeight="1">
      <c r="A28" s="77"/>
      <c r="B28" s="77"/>
      <c r="D28" s="80" t="s">
        <v>765</v>
      </c>
      <c r="E28" s="80" t="s">
        <v>766</v>
      </c>
      <c r="F28" s="89" t="s">
        <v>393</v>
      </c>
      <c r="G28" s="81" t="s">
        <v>400</v>
      </c>
    </row>
    <row r="29" spans="1:7" ht="28" customHeight="1">
      <c r="A29" s="87" t="s">
        <v>165</v>
      </c>
      <c r="B29" s="77"/>
      <c r="D29" s="172" t="s">
        <v>475</v>
      </c>
      <c r="E29" s="169"/>
      <c r="F29" s="88" t="str">
        <f>IF(OR(F30="n.e.",F30=""),"not evaluated","evaluated")</f>
        <v>not evaluated</v>
      </c>
      <c r="G29" s="77"/>
    </row>
    <row r="30" spans="1:7" ht="80" customHeight="1">
      <c r="A30" s="77"/>
      <c r="B30" s="77"/>
      <c r="D30" s="80" t="s">
        <v>767</v>
      </c>
      <c r="E30" s="80" t="s">
        <v>768</v>
      </c>
      <c r="F30" s="89" t="s">
        <v>393</v>
      </c>
      <c r="G30" s="81" t="s">
        <v>400</v>
      </c>
    </row>
    <row r="31" spans="1:7" ht="28" customHeight="1">
      <c r="A31" s="87" t="s">
        <v>167</v>
      </c>
      <c r="B31" s="77"/>
      <c r="D31" s="172" t="s">
        <v>476</v>
      </c>
      <c r="E31" s="169"/>
      <c r="F31" s="88" t="str">
        <f>IF(OR(F32="n.e.",F32=""),"not evaluated","evaluated")</f>
        <v>not evaluated</v>
      </c>
      <c r="G31" s="77"/>
    </row>
    <row r="32" spans="1:7" ht="80" customHeight="1">
      <c r="A32" s="77"/>
      <c r="B32" s="77"/>
      <c r="D32" s="80" t="s">
        <v>769</v>
      </c>
      <c r="E32" s="80" t="s">
        <v>770</v>
      </c>
      <c r="F32" s="89" t="s">
        <v>393</v>
      </c>
      <c r="G32" s="81" t="s">
        <v>400</v>
      </c>
    </row>
    <row r="33" spans="1:7" ht="28" customHeight="1">
      <c r="A33" s="87" t="s">
        <v>169</v>
      </c>
      <c r="B33" s="79" t="s">
        <v>59</v>
      </c>
      <c r="D33" s="172" t="s">
        <v>477</v>
      </c>
      <c r="E33" s="169"/>
      <c r="F33" s="88" t="str">
        <f>IF(OR(F34="n.e.",F34=""),"not evaluated","evaluated")</f>
        <v>not evaluated</v>
      </c>
      <c r="G33" s="77"/>
    </row>
    <row r="34" spans="1:7" ht="80" customHeight="1">
      <c r="A34" s="77"/>
      <c r="B34" s="77"/>
      <c r="D34" s="80" t="s">
        <v>771</v>
      </c>
      <c r="E34" s="80" t="s">
        <v>772</v>
      </c>
      <c r="F34" s="89" t="s">
        <v>393</v>
      </c>
      <c r="G34" s="81" t="s">
        <v>400</v>
      </c>
    </row>
    <row r="36" spans="1:7" ht="22" customHeight="1">
      <c r="A36" s="173" t="s">
        <v>478</v>
      </c>
      <c r="B36" s="168"/>
      <c r="C36" s="168"/>
      <c r="D36" s="168"/>
      <c r="E36" s="168"/>
      <c r="F36" s="168"/>
      <c r="G36" s="169"/>
    </row>
    <row r="37" spans="1:7" ht="28" customHeight="1">
      <c r="A37" s="87" t="s">
        <v>170</v>
      </c>
      <c r="B37" s="77"/>
      <c r="D37" s="172" t="s">
        <v>479</v>
      </c>
      <c r="E37" s="169"/>
      <c r="F37" s="88" t="str">
        <f>IF(OR(F38="n.e.",F38=""),"not evaluated","evaluated")</f>
        <v>not evaluated</v>
      </c>
      <c r="G37" s="77"/>
    </row>
    <row r="38" spans="1:7" ht="80" customHeight="1">
      <c r="A38" s="77"/>
      <c r="B38" s="77"/>
      <c r="D38" s="80" t="s">
        <v>773</v>
      </c>
      <c r="E38" s="80" t="s">
        <v>774</v>
      </c>
      <c r="F38" s="89" t="s">
        <v>393</v>
      </c>
      <c r="G38" s="81" t="s">
        <v>400</v>
      </c>
    </row>
    <row r="39" spans="1:7" ht="28" customHeight="1">
      <c r="A39" s="87" t="s">
        <v>171</v>
      </c>
      <c r="B39" s="79" t="s">
        <v>59</v>
      </c>
      <c r="D39" s="172" t="s">
        <v>480</v>
      </c>
      <c r="E39" s="169"/>
      <c r="F39" s="88" t="str">
        <f>IF(OR(F40="n.e.",F40=""),"not evaluated","evaluated")</f>
        <v>not evaluated</v>
      </c>
      <c r="G39" s="77"/>
    </row>
    <row r="40" spans="1:7" ht="80" customHeight="1">
      <c r="A40" s="77"/>
      <c r="B40" s="77"/>
      <c r="D40" s="80" t="s">
        <v>775</v>
      </c>
      <c r="E40" s="80" t="s">
        <v>685</v>
      </c>
      <c r="F40" s="89" t="s">
        <v>393</v>
      </c>
      <c r="G40" s="81" t="s">
        <v>400</v>
      </c>
    </row>
    <row r="41" spans="1:7" ht="28" customHeight="1">
      <c r="A41" s="87" t="s">
        <v>172</v>
      </c>
      <c r="B41" s="77"/>
      <c r="D41" s="172" t="s">
        <v>481</v>
      </c>
      <c r="E41" s="169"/>
      <c r="F41" s="88" t="str">
        <f>IF(OR(F42="n.e.",F42=""),"not evaluated","evaluated")</f>
        <v>not evaluated</v>
      </c>
      <c r="G41" s="77"/>
    </row>
    <row r="42" spans="1:7" ht="80" customHeight="1">
      <c r="A42" s="77"/>
      <c r="B42" s="77"/>
      <c r="D42" s="80" t="s">
        <v>776</v>
      </c>
      <c r="E42" s="80" t="s">
        <v>687</v>
      </c>
      <c r="F42" s="89" t="s">
        <v>393</v>
      </c>
      <c r="G42" s="81" t="s">
        <v>400</v>
      </c>
    </row>
    <row r="44" spans="1:7" ht="22" customHeight="1">
      <c r="A44" s="173" t="s">
        <v>482</v>
      </c>
      <c r="B44" s="168"/>
      <c r="C44" s="168"/>
      <c r="D44" s="168"/>
      <c r="E44" s="168"/>
      <c r="F44" s="168"/>
      <c r="G44" s="169"/>
    </row>
    <row r="45" spans="1:7" ht="28" customHeight="1">
      <c r="A45" s="87" t="s">
        <v>173</v>
      </c>
      <c r="B45" s="79" t="s">
        <v>59</v>
      </c>
      <c r="D45" s="172" t="s">
        <v>483</v>
      </c>
      <c r="E45" s="169"/>
      <c r="F45" s="88" t="str">
        <f>IF(OR(F46="n.e.",F46=""),"not evaluated","evaluated")</f>
        <v>not evaluated</v>
      </c>
      <c r="G45" s="77"/>
    </row>
    <row r="46" spans="1:7" ht="80" customHeight="1">
      <c r="A46" s="77"/>
      <c r="B46" s="77"/>
      <c r="D46" s="80" t="s">
        <v>777</v>
      </c>
      <c r="E46" s="80" t="s">
        <v>778</v>
      </c>
      <c r="F46" s="89" t="s">
        <v>393</v>
      </c>
      <c r="G46" s="81" t="s">
        <v>400</v>
      </c>
    </row>
    <row r="47" spans="1:7" ht="28" customHeight="1">
      <c r="A47" s="87" t="s">
        <v>175</v>
      </c>
      <c r="B47" s="77"/>
      <c r="D47" s="172" t="s">
        <v>484</v>
      </c>
      <c r="E47" s="169"/>
      <c r="F47" s="88" t="str">
        <f>IF(OR(F48="n.e.",F48=""),"not evaluated","evaluated")</f>
        <v>not evaluated</v>
      </c>
      <c r="G47" s="77"/>
    </row>
    <row r="48" spans="1:7" ht="80" customHeight="1">
      <c r="A48" s="77"/>
      <c r="B48" s="77"/>
      <c r="D48" s="80" t="s">
        <v>779</v>
      </c>
      <c r="E48" s="80" t="s">
        <v>780</v>
      </c>
      <c r="F48" s="89" t="s">
        <v>393</v>
      </c>
      <c r="G48" s="81" t="s">
        <v>400</v>
      </c>
    </row>
    <row r="49" spans="1:7" ht="28" customHeight="1">
      <c r="A49" s="87" t="s">
        <v>177</v>
      </c>
      <c r="B49" s="79" t="s">
        <v>59</v>
      </c>
      <c r="D49" s="172" t="s">
        <v>485</v>
      </c>
      <c r="E49" s="169"/>
      <c r="F49" s="88" t="str">
        <f>IF(OR(F50="n.e.",F50=""),"not evaluated","evaluated")</f>
        <v>not evaluated</v>
      </c>
      <c r="G49" s="77"/>
    </row>
    <row r="50" spans="1:7" ht="80" customHeight="1">
      <c r="A50" s="77"/>
      <c r="B50" s="77"/>
      <c r="D50" s="80" t="s">
        <v>781</v>
      </c>
      <c r="E50" s="80" t="s">
        <v>782</v>
      </c>
      <c r="F50" s="89" t="s">
        <v>393</v>
      </c>
      <c r="G50" s="81" t="s">
        <v>400</v>
      </c>
    </row>
    <row r="51" spans="1:7" ht="28" customHeight="1">
      <c r="A51" s="87" t="s">
        <v>179</v>
      </c>
      <c r="B51" s="77"/>
      <c r="D51" s="172" t="s">
        <v>486</v>
      </c>
      <c r="E51" s="169"/>
      <c r="F51" s="88" t="str">
        <f>IF(OR(F52="n.e.",F52=""),"not evaluated","evaluated")</f>
        <v>not evaluated</v>
      </c>
      <c r="G51" s="77"/>
    </row>
    <row r="52" spans="1:7" ht="80" customHeight="1">
      <c r="A52" s="77"/>
      <c r="B52" s="77"/>
      <c r="D52" s="80" t="s">
        <v>783</v>
      </c>
      <c r="E52" s="80" t="s">
        <v>784</v>
      </c>
      <c r="F52" s="89" t="s">
        <v>393</v>
      </c>
      <c r="G52" s="81" t="s">
        <v>400</v>
      </c>
    </row>
    <row r="53" spans="1:7" ht="28" customHeight="1">
      <c r="A53" s="87" t="s">
        <v>180</v>
      </c>
      <c r="B53" s="77"/>
      <c r="D53" s="172" t="s">
        <v>487</v>
      </c>
      <c r="E53" s="169"/>
      <c r="F53" s="88" t="str">
        <f>IF(OR(F54="n.e.",F54=""),"not evaluated","evaluated")</f>
        <v>not evaluated</v>
      </c>
      <c r="G53" s="77"/>
    </row>
    <row r="54" spans="1:7" ht="80" customHeight="1">
      <c r="A54" s="77"/>
      <c r="B54" s="77"/>
      <c r="D54" s="80" t="s">
        <v>785</v>
      </c>
      <c r="E54" s="80" t="s">
        <v>786</v>
      </c>
      <c r="F54" s="89" t="s">
        <v>393</v>
      </c>
      <c r="G54" s="81" t="s">
        <v>400</v>
      </c>
    </row>
    <row r="56" spans="1:7" ht="22" customHeight="1">
      <c r="A56" s="173" t="s">
        <v>488</v>
      </c>
      <c r="B56" s="168"/>
      <c r="C56" s="168"/>
      <c r="D56" s="168"/>
      <c r="E56" s="168"/>
      <c r="F56" s="168"/>
      <c r="G56" s="169"/>
    </row>
    <row r="57" spans="1:7" ht="28" customHeight="1">
      <c r="A57" s="87" t="s">
        <v>182</v>
      </c>
      <c r="B57" s="79" t="s">
        <v>59</v>
      </c>
      <c r="D57" s="172" t="s">
        <v>489</v>
      </c>
      <c r="E57" s="169"/>
      <c r="F57" s="88" t="str">
        <f>IF(OR(F58="n.e.",F58=""),"not evaluated","evaluated")</f>
        <v>not evaluated</v>
      </c>
      <c r="G57" s="77"/>
    </row>
    <row r="58" spans="1:7" ht="80" customHeight="1">
      <c r="A58" s="77"/>
      <c r="B58" s="77"/>
      <c r="D58" s="80" t="s">
        <v>787</v>
      </c>
      <c r="E58" s="80" t="s">
        <v>788</v>
      </c>
      <c r="F58" s="89" t="s">
        <v>393</v>
      </c>
      <c r="G58" s="81" t="s">
        <v>400</v>
      </c>
    </row>
    <row r="59" spans="1:7" ht="28" customHeight="1">
      <c r="A59" s="87" t="s">
        <v>183</v>
      </c>
      <c r="B59" s="77"/>
      <c r="D59" s="172" t="s">
        <v>490</v>
      </c>
      <c r="E59" s="169"/>
      <c r="F59" s="88" t="str">
        <f>IF(OR(F60="n.e.",F60=""),"not evaluated","evaluated")</f>
        <v>not evaluated</v>
      </c>
      <c r="G59" s="77"/>
    </row>
    <row r="60" spans="1:7" ht="80" customHeight="1">
      <c r="A60" s="77"/>
      <c r="B60" s="77"/>
      <c r="D60" s="80" t="s">
        <v>789</v>
      </c>
      <c r="E60" s="80" t="s">
        <v>790</v>
      </c>
      <c r="F60" s="89" t="s">
        <v>393</v>
      </c>
      <c r="G60" s="81" t="s">
        <v>400</v>
      </c>
    </row>
    <row r="62" spans="1:7">
      <c r="D62" s="90">
        <f>COUNT(F8,F12,F14,F16,F18,F20,F22,F24,F28,F30,F32,F34,F38,F40,F42,F46,F48,F50,F52,F54,F58,F60)</f>
        <v>0</v>
      </c>
      <c r="E62" s="90" t="s">
        <v>491</v>
      </c>
      <c r="F62" s="91" t="str">
        <f>IF(D62=0,"n.e.",SUM(F8,F12,F14,F16,F18,F20,F22,F24,F28,F30,F32,F34,F38,F40,F42,F46,F48,F50,F52,F54,F58,F60)/(D62*10))</f>
        <v>n.e.</v>
      </c>
    </row>
    <row r="64" spans="1:7">
      <c r="D64">
        <f>COUNT(F12,F14,F20,F34,F40,F46,F50,F58)</f>
        <v>0</v>
      </c>
      <c r="E64" s="92" t="s">
        <v>429</v>
      </c>
      <c r="F64" s="83" t="str">
        <f>IF(D64=0,"n.e.",SUM(F12,F14,F20,F34,F40,F46,F50,F58)/(D64*10))</f>
        <v>n.e.</v>
      </c>
    </row>
    <row r="65" spans="5:6">
      <c r="E65" t="s">
        <v>430</v>
      </c>
      <c r="F65" t="str">
        <f>IF(COUNT(F12,F14,F20,F34,F40,F46,F50,F58)=0,"n.e.",MIN(F12,F14,F20,F34,F40,F46,F50,F58))</f>
        <v>n.e.</v>
      </c>
    </row>
    <row r="66" spans="5:6">
      <c r="E66" t="s">
        <v>431</v>
      </c>
      <c r="F66" t="str">
        <f>IF(COUNT(F8,F12,F14,F16,F18,F20,F22,F24,F28,F30,F32,F34,F38,F40,F42,F46,F48,F50,F52,F54,F58,F60)=0,"n.e.",MIN(F8,F12,F14,F16,F18,F20,F22,F24,F28,F30,F32,F34,F38,F40,F42,F46,F48,F50,F52,F54,F58,F60))</f>
        <v>n.e.</v>
      </c>
    </row>
  </sheetData>
  <mergeCells count="29">
    <mergeCell ref="A10:G10"/>
    <mergeCell ref="D21:E21"/>
    <mergeCell ref="A44:G44"/>
    <mergeCell ref="A56:G56"/>
    <mergeCell ref="D51:E51"/>
    <mergeCell ref="D19:E19"/>
    <mergeCell ref="D31:E31"/>
    <mergeCell ref="D45:E45"/>
    <mergeCell ref="D41:E41"/>
    <mergeCell ref="D17:E17"/>
    <mergeCell ref="D53:E53"/>
    <mergeCell ref="A36:G36"/>
    <mergeCell ref="D47:E47"/>
    <mergeCell ref="D59:E59"/>
    <mergeCell ref="A1:G1"/>
    <mergeCell ref="D7:E7"/>
    <mergeCell ref="A6:G6"/>
    <mergeCell ref="D37:E37"/>
    <mergeCell ref="D39:E39"/>
    <mergeCell ref="D15:E15"/>
    <mergeCell ref="D33:E33"/>
    <mergeCell ref="D29:E29"/>
    <mergeCell ref="D23:E23"/>
    <mergeCell ref="A26:G26"/>
    <mergeCell ref="D49:E49"/>
    <mergeCell ref="D57:E57"/>
    <mergeCell ref="D11:E11"/>
    <mergeCell ref="D13:E13"/>
    <mergeCell ref="D27:E27"/>
  </mergeCells>
  <phoneticPr fontId="20" type="noConversion"/>
  <conditionalFormatting sqref="F8">
    <cfRule type="cellIs" dxfId="725" priority="127" operator="equal">
      <formula>10</formula>
    </cfRule>
    <cfRule type="cellIs" dxfId="724" priority="128" operator="equal">
      <formula>8</formula>
    </cfRule>
    <cfRule type="cellIs" dxfId="723" priority="129" operator="equal">
      <formula>6</formula>
    </cfRule>
    <cfRule type="cellIs" dxfId="722" priority="130" operator="equal">
      <formula>4</formula>
    </cfRule>
    <cfRule type="cellIs" dxfId="721" priority="131" operator="equal">
      <formula>0</formula>
    </cfRule>
    <cfRule type="cellIs" dxfId="720" priority="132" operator="equal">
      <formula>2</formula>
    </cfRule>
  </conditionalFormatting>
  <conditionalFormatting sqref="F12">
    <cfRule type="cellIs" dxfId="719" priority="121" operator="equal">
      <formula>10</formula>
    </cfRule>
    <cfRule type="cellIs" dxfId="718" priority="122" operator="equal">
      <formula>8</formula>
    </cfRule>
    <cfRule type="cellIs" dxfId="717" priority="123" operator="equal">
      <formula>6</formula>
    </cfRule>
    <cfRule type="cellIs" dxfId="716" priority="124" operator="equal">
      <formula>4</formula>
    </cfRule>
    <cfRule type="cellIs" dxfId="715" priority="125" operator="equal">
      <formula>0</formula>
    </cfRule>
    <cfRule type="cellIs" dxfId="714" priority="126" operator="equal">
      <formula>2</formula>
    </cfRule>
  </conditionalFormatting>
  <conditionalFormatting sqref="F14">
    <cfRule type="cellIs" dxfId="713" priority="115" operator="equal">
      <formula>10</formula>
    </cfRule>
    <cfRule type="cellIs" dxfId="712" priority="116" operator="equal">
      <formula>8</formula>
    </cfRule>
    <cfRule type="cellIs" dxfId="711" priority="117" operator="equal">
      <formula>6</formula>
    </cfRule>
    <cfRule type="cellIs" dxfId="710" priority="118" operator="equal">
      <formula>4</formula>
    </cfRule>
    <cfRule type="cellIs" dxfId="709" priority="119" operator="equal">
      <formula>0</formula>
    </cfRule>
    <cfRule type="cellIs" dxfId="708" priority="120" operator="equal">
      <formula>2</formula>
    </cfRule>
  </conditionalFormatting>
  <conditionalFormatting sqref="F16">
    <cfRule type="cellIs" dxfId="707" priority="109" operator="equal">
      <formula>10</formula>
    </cfRule>
    <cfRule type="cellIs" dxfId="706" priority="110" operator="equal">
      <formula>8</formula>
    </cfRule>
    <cfRule type="cellIs" dxfId="705" priority="111" operator="equal">
      <formula>6</formula>
    </cfRule>
    <cfRule type="cellIs" dxfId="704" priority="112" operator="equal">
      <formula>4</formula>
    </cfRule>
    <cfRule type="cellIs" dxfId="703" priority="113" operator="equal">
      <formula>0</formula>
    </cfRule>
    <cfRule type="cellIs" dxfId="702" priority="114" operator="equal">
      <formula>2</formula>
    </cfRule>
  </conditionalFormatting>
  <conditionalFormatting sqref="F18">
    <cfRule type="cellIs" dxfId="701" priority="103" operator="equal">
      <formula>10</formula>
    </cfRule>
    <cfRule type="cellIs" dxfId="700" priority="104" operator="equal">
      <formula>8</formula>
    </cfRule>
    <cfRule type="cellIs" dxfId="699" priority="105" operator="equal">
      <formula>6</formula>
    </cfRule>
    <cfRule type="cellIs" dxfId="698" priority="106" operator="equal">
      <formula>4</formula>
    </cfRule>
    <cfRule type="cellIs" dxfId="697" priority="107" operator="equal">
      <formula>0</formula>
    </cfRule>
    <cfRule type="cellIs" dxfId="696" priority="108" operator="equal">
      <formula>2</formula>
    </cfRule>
  </conditionalFormatting>
  <conditionalFormatting sqref="F20">
    <cfRule type="cellIs" dxfId="695" priority="97" operator="equal">
      <formula>10</formula>
    </cfRule>
    <cfRule type="cellIs" dxfId="694" priority="98" operator="equal">
      <formula>8</formula>
    </cfRule>
    <cfRule type="cellIs" dxfId="693" priority="99" operator="equal">
      <formula>6</formula>
    </cfRule>
    <cfRule type="cellIs" dxfId="692" priority="100" operator="equal">
      <formula>4</formula>
    </cfRule>
    <cfRule type="cellIs" dxfId="691" priority="101" operator="equal">
      <formula>0</formula>
    </cfRule>
    <cfRule type="cellIs" dxfId="690" priority="102" operator="equal">
      <formula>2</formula>
    </cfRule>
  </conditionalFormatting>
  <conditionalFormatting sqref="F22">
    <cfRule type="cellIs" dxfId="689" priority="91" operator="equal">
      <formula>10</formula>
    </cfRule>
    <cfRule type="cellIs" dxfId="688" priority="92" operator="equal">
      <formula>8</formula>
    </cfRule>
    <cfRule type="cellIs" dxfId="687" priority="93" operator="equal">
      <formula>6</formula>
    </cfRule>
    <cfRule type="cellIs" dxfId="686" priority="94" operator="equal">
      <formula>4</formula>
    </cfRule>
    <cfRule type="cellIs" dxfId="685" priority="95" operator="equal">
      <formula>0</formula>
    </cfRule>
    <cfRule type="cellIs" dxfId="684" priority="96" operator="equal">
      <formula>2</formula>
    </cfRule>
  </conditionalFormatting>
  <conditionalFormatting sqref="F24">
    <cfRule type="cellIs" dxfId="683" priority="85" operator="equal">
      <formula>10</formula>
    </cfRule>
    <cfRule type="cellIs" dxfId="682" priority="86" operator="equal">
      <formula>8</formula>
    </cfRule>
    <cfRule type="cellIs" dxfId="681" priority="87" operator="equal">
      <formula>6</formula>
    </cfRule>
    <cfRule type="cellIs" dxfId="680" priority="88" operator="equal">
      <formula>4</formula>
    </cfRule>
    <cfRule type="cellIs" dxfId="679" priority="89" operator="equal">
      <formula>0</formula>
    </cfRule>
    <cfRule type="cellIs" dxfId="678" priority="90" operator="equal">
      <formula>2</formula>
    </cfRule>
  </conditionalFormatting>
  <conditionalFormatting sqref="F28">
    <cfRule type="cellIs" dxfId="677" priority="79" operator="equal">
      <formula>10</formula>
    </cfRule>
    <cfRule type="cellIs" dxfId="676" priority="80" operator="equal">
      <formula>8</formula>
    </cfRule>
    <cfRule type="cellIs" dxfId="675" priority="81" operator="equal">
      <formula>6</formula>
    </cfRule>
    <cfRule type="cellIs" dxfId="674" priority="82" operator="equal">
      <formula>4</formula>
    </cfRule>
    <cfRule type="cellIs" dxfId="673" priority="83" operator="equal">
      <formula>0</formula>
    </cfRule>
    <cfRule type="cellIs" dxfId="672" priority="84" operator="equal">
      <formula>2</formula>
    </cfRule>
  </conditionalFormatting>
  <conditionalFormatting sqref="F30">
    <cfRule type="cellIs" dxfId="671" priority="73" operator="equal">
      <formula>10</formula>
    </cfRule>
    <cfRule type="cellIs" dxfId="670" priority="74" operator="equal">
      <formula>8</formula>
    </cfRule>
    <cfRule type="cellIs" dxfId="669" priority="75" operator="equal">
      <formula>6</formula>
    </cfRule>
    <cfRule type="cellIs" dxfId="668" priority="76" operator="equal">
      <formula>4</formula>
    </cfRule>
    <cfRule type="cellIs" dxfId="667" priority="77" operator="equal">
      <formula>0</formula>
    </cfRule>
    <cfRule type="cellIs" dxfId="666" priority="78" operator="equal">
      <formula>2</formula>
    </cfRule>
  </conditionalFormatting>
  <conditionalFormatting sqref="F32">
    <cfRule type="cellIs" dxfId="665" priority="67" operator="equal">
      <formula>10</formula>
    </cfRule>
    <cfRule type="cellIs" dxfId="664" priority="68" operator="equal">
      <formula>8</formula>
    </cfRule>
    <cfRule type="cellIs" dxfId="663" priority="69" operator="equal">
      <formula>6</formula>
    </cfRule>
    <cfRule type="cellIs" dxfId="662" priority="70" operator="equal">
      <formula>4</formula>
    </cfRule>
    <cfRule type="cellIs" dxfId="661" priority="71" operator="equal">
      <formula>0</formula>
    </cfRule>
    <cfRule type="cellIs" dxfId="660" priority="72" operator="equal">
      <formula>2</formula>
    </cfRule>
  </conditionalFormatting>
  <conditionalFormatting sqref="F34">
    <cfRule type="cellIs" dxfId="659" priority="61" operator="equal">
      <formula>10</formula>
    </cfRule>
    <cfRule type="cellIs" dxfId="658" priority="62" operator="equal">
      <formula>8</formula>
    </cfRule>
    <cfRule type="cellIs" dxfId="657" priority="63" operator="equal">
      <formula>6</formula>
    </cfRule>
    <cfRule type="cellIs" dxfId="656" priority="64" operator="equal">
      <formula>4</formula>
    </cfRule>
    <cfRule type="cellIs" dxfId="655" priority="65" operator="equal">
      <formula>0</formula>
    </cfRule>
    <cfRule type="cellIs" dxfId="654" priority="66" operator="equal">
      <formula>2</formula>
    </cfRule>
  </conditionalFormatting>
  <conditionalFormatting sqref="F38">
    <cfRule type="cellIs" dxfId="653" priority="55" operator="equal">
      <formula>10</formula>
    </cfRule>
    <cfRule type="cellIs" dxfId="652" priority="56" operator="equal">
      <formula>8</formula>
    </cfRule>
    <cfRule type="cellIs" dxfId="651" priority="57" operator="equal">
      <formula>6</formula>
    </cfRule>
    <cfRule type="cellIs" dxfId="650" priority="58" operator="equal">
      <formula>4</formula>
    </cfRule>
    <cfRule type="cellIs" dxfId="649" priority="59" operator="equal">
      <formula>0</formula>
    </cfRule>
    <cfRule type="cellIs" dxfId="648" priority="60" operator="equal">
      <formula>2</formula>
    </cfRule>
  </conditionalFormatting>
  <conditionalFormatting sqref="F40">
    <cfRule type="cellIs" dxfId="647" priority="49" operator="equal">
      <formula>10</formula>
    </cfRule>
    <cfRule type="cellIs" dxfId="646" priority="50" operator="equal">
      <formula>8</formula>
    </cfRule>
    <cfRule type="cellIs" dxfId="645" priority="51" operator="equal">
      <formula>6</formula>
    </cfRule>
    <cfRule type="cellIs" dxfId="644" priority="52" operator="equal">
      <formula>4</formula>
    </cfRule>
    <cfRule type="cellIs" dxfId="643" priority="53" operator="equal">
      <formula>0</formula>
    </cfRule>
    <cfRule type="cellIs" dxfId="642" priority="54" operator="equal">
      <formula>2</formula>
    </cfRule>
  </conditionalFormatting>
  <conditionalFormatting sqref="F42">
    <cfRule type="cellIs" dxfId="641" priority="43" operator="equal">
      <formula>10</formula>
    </cfRule>
    <cfRule type="cellIs" dxfId="640" priority="44" operator="equal">
      <formula>8</formula>
    </cfRule>
    <cfRule type="cellIs" dxfId="639" priority="45" operator="equal">
      <formula>6</formula>
    </cfRule>
    <cfRule type="cellIs" dxfId="638" priority="46" operator="equal">
      <formula>4</formula>
    </cfRule>
    <cfRule type="cellIs" dxfId="637" priority="47" operator="equal">
      <formula>0</formula>
    </cfRule>
    <cfRule type="cellIs" dxfId="636" priority="48" operator="equal">
      <formula>2</formula>
    </cfRule>
  </conditionalFormatting>
  <conditionalFormatting sqref="F46">
    <cfRule type="cellIs" dxfId="635" priority="37" operator="equal">
      <formula>10</formula>
    </cfRule>
    <cfRule type="cellIs" dxfId="634" priority="38" operator="equal">
      <formula>8</formula>
    </cfRule>
    <cfRule type="cellIs" dxfId="633" priority="39" operator="equal">
      <formula>6</formula>
    </cfRule>
    <cfRule type="cellIs" dxfId="632" priority="40" operator="equal">
      <formula>4</formula>
    </cfRule>
    <cfRule type="cellIs" dxfId="631" priority="41" operator="equal">
      <formula>0</formula>
    </cfRule>
    <cfRule type="cellIs" dxfId="630" priority="42" operator="equal">
      <formula>2</formula>
    </cfRule>
  </conditionalFormatting>
  <conditionalFormatting sqref="F48">
    <cfRule type="cellIs" dxfId="629" priority="31" operator="equal">
      <formula>10</formula>
    </cfRule>
    <cfRule type="cellIs" dxfId="628" priority="32" operator="equal">
      <formula>8</formula>
    </cfRule>
    <cfRule type="cellIs" dxfId="627" priority="33" operator="equal">
      <formula>6</formula>
    </cfRule>
    <cfRule type="cellIs" dxfId="626" priority="34" operator="equal">
      <formula>4</formula>
    </cfRule>
    <cfRule type="cellIs" dxfId="625" priority="35" operator="equal">
      <formula>0</formula>
    </cfRule>
    <cfRule type="cellIs" dxfId="624" priority="36" operator="equal">
      <formula>2</formula>
    </cfRule>
  </conditionalFormatting>
  <conditionalFormatting sqref="F50">
    <cfRule type="cellIs" dxfId="623" priority="25" operator="equal">
      <formula>10</formula>
    </cfRule>
    <cfRule type="cellIs" dxfId="622" priority="26" operator="equal">
      <formula>8</formula>
    </cfRule>
    <cfRule type="cellIs" dxfId="621" priority="27" operator="equal">
      <formula>6</formula>
    </cfRule>
    <cfRule type="cellIs" dxfId="620" priority="28" operator="equal">
      <formula>4</formula>
    </cfRule>
    <cfRule type="cellIs" dxfId="619" priority="29" operator="equal">
      <formula>0</formula>
    </cfRule>
    <cfRule type="cellIs" dxfId="618" priority="30" operator="equal">
      <formula>2</formula>
    </cfRule>
  </conditionalFormatting>
  <conditionalFormatting sqref="F52">
    <cfRule type="cellIs" dxfId="617" priority="19" operator="equal">
      <formula>10</formula>
    </cfRule>
    <cfRule type="cellIs" dxfId="616" priority="20" operator="equal">
      <formula>8</formula>
    </cfRule>
    <cfRule type="cellIs" dxfId="615" priority="21" operator="equal">
      <formula>6</formula>
    </cfRule>
    <cfRule type="cellIs" dxfId="614" priority="22" operator="equal">
      <formula>4</formula>
    </cfRule>
    <cfRule type="cellIs" dxfId="613" priority="23" operator="equal">
      <formula>0</formula>
    </cfRule>
    <cfRule type="cellIs" dxfId="612" priority="24" operator="equal">
      <formula>2</formula>
    </cfRule>
  </conditionalFormatting>
  <conditionalFormatting sqref="F54">
    <cfRule type="cellIs" dxfId="611" priority="13" operator="equal">
      <formula>10</formula>
    </cfRule>
    <cfRule type="cellIs" dxfId="610" priority="14" operator="equal">
      <formula>8</formula>
    </cfRule>
    <cfRule type="cellIs" dxfId="609" priority="15" operator="equal">
      <formula>6</formula>
    </cfRule>
    <cfRule type="cellIs" dxfId="608" priority="16" operator="equal">
      <formula>4</formula>
    </cfRule>
    <cfRule type="cellIs" dxfId="607" priority="17" operator="equal">
      <formula>0</formula>
    </cfRule>
    <cfRule type="cellIs" dxfId="606" priority="18" operator="equal">
      <formula>2</formula>
    </cfRule>
  </conditionalFormatting>
  <conditionalFormatting sqref="F58">
    <cfRule type="cellIs" dxfId="605" priority="7" operator="equal">
      <formula>10</formula>
    </cfRule>
    <cfRule type="cellIs" dxfId="604" priority="8" operator="equal">
      <formula>8</formula>
    </cfRule>
    <cfRule type="cellIs" dxfId="603" priority="9" operator="equal">
      <formula>6</formula>
    </cfRule>
    <cfRule type="cellIs" dxfId="602" priority="10" operator="equal">
      <formula>4</formula>
    </cfRule>
    <cfRule type="cellIs" dxfId="601" priority="11" operator="equal">
      <formula>0</formula>
    </cfRule>
    <cfRule type="cellIs" dxfId="600" priority="12" operator="equal">
      <formula>2</formula>
    </cfRule>
  </conditionalFormatting>
  <conditionalFormatting sqref="F60">
    <cfRule type="cellIs" dxfId="599" priority="1" operator="equal">
      <formula>10</formula>
    </cfRule>
    <cfRule type="cellIs" dxfId="598" priority="2" operator="equal">
      <formula>8</formula>
    </cfRule>
    <cfRule type="cellIs" dxfId="597" priority="3" operator="equal">
      <formula>6</formula>
    </cfRule>
    <cfRule type="cellIs" dxfId="596" priority="4" operator="equal">
      <formula>4</formula>
    </cfRule>
    <cfRule type="cellIs" dxfId="595" priority="5" operator="equal">
      <formula>0</formula>
    </cfRule>
    <cfRule type="cellIs" dxfId="594" priority="6" operator="equal">
      <formula>2</formula>
    </cfRule>
  </conditionalFormatting>
  <dataValidations count="1">
    <dataValidation type="list" allowBlank="1" sqref="F8 F12 F14 F16 F18 F20 F22 F24 F28 F30 F32 F34 F38 F40 F42 F46 F48 F50 F52 F54 F58 F60" xr:uid="{00000000-0002-0000-0600-000000000000}">
      <formula1>"n.e.,0,4,6,8,10"</formula1>
    </dataValidation>
  </dataValidations>
  <hyperlinks>
    <hyperlink ref="G8" location="Remarks!H54" display="▶️" xr:uid="{00000000-0004-0000-0600-000000000000}"/>
    <hyperlink ref="G12" location="Remarks!H55" display="▶️" xr:uid="{00000000-0004-0000-0600-000001000000}"/>
    <hyperlink ref="G14" location="Remarks!H56" display="▶️" xr:uid="{00000000-0004-0000-0600-000002000000}"/>
    <hyperlink ref="G16" location="Remarks!H57" display="▶️" xr:uid="{00000000-0004-0000-0600-000003000000}"/>
    <hyperlink ref="G18" location="Remarks!H58" display="▶️" xr:uid="{00000000-0004-0000-0600-000004000000}"/>
    <hyperlink ref="G20" location="Remarks!H59" display="▶️" xr:uid="{00000000-0004-0000-0600-000005000000}"/>
    <hyperlink ref="G22" location="Remarks!H60" display="▶️" xr:uid="{00000000-0004-0000-0600-000006000000}"/>
    <hyperlink ref="G24" location="Remarks!H61" display="▶️" xr:uid="{00000000-0004-0000-0600-000007000000}"/>
    <hyperlink ref="G28" location="Remarks!H62" display="▶️" xr:uid="{00000000-0004-0000-0600-000008000000}"/>
    <hyperlink ref="G30" location="Remarks!H63" display="▶️" xr:uid="{00000000-0004-0000-0600-000009000000}"/>
    <hyperlink ref="G32" location="Remarks!H64" display="▶️" xr:uid="{00000000-0004-0000-0600-00000A000000}"/>
    <hyperlink ref="G34" location="Remarks!H65" display="▶️" xr:uid="{00000000-0004-0000-0600-00000B000000}"/>
    <hyperlink ref="G38" location="Remarks!H66" display="▶️" xr:uid="{00000000-0004-0000-0600-00000C000000}"/>
    <hyperlink ref="G40" location="Remarks!H67" display="▶️" xr:uid="{00000000-0004-0000-0600-00000D000000}"/>
    <hyperlink ref="G42" location="Remarks!H68" display="▶️" xr:uid="{00000000-0004-0000-0600-00000E000000}"/>
    <hyperlink ref="G46" location="Remarks!H69" display="▶️" xr:uid="{00000000-0004-0000-0600-00000F000000}"/>
    <hyperlink ref="G48" location="Remarks!H70" display="▶️" xr:uid="{00000000-0004-0000-0600-000010000000}"/>
    <hyperlink ref="G50" location="Remarks!H71" display="▶️" xr:uid="{00000000-0004-0000-0600-000011000000}"/>
    <hyperlink ref="G52" location="Remarks!H72" display="▶️" xr:uid="{00000000-0004-0000-0600-000012000000}"/>
    <hyperlink ref="G54" location="Remarks!H73" display="▶️" xr:uid="{00000000-0004-0000-0600-000013000000}"/>
    <hyperlink ref="G58" location="Remarks!H74" display="▶️" xr:uid="{00000000-0004-0000-0600-000014000000}"/>
    <hyperlink ref="G60" location="Remarks!H75" display="▶️" xr:uid="{00000000-0004-0000-0600-000015000000}"/>
  </hyperlinks>
  <pageMargins left="0.75" right="0.75" top="1" bottom="1" header="0.5" footer="0.5"/>
  <headerFooter>
    <oddHeader>&amp;L&amp;"Calibri"&amp;1 &amp;K000000 INTERNAL#_x000D_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E4083-F7C1-214F-B3BA-AB9638EDD7A6}">
  <sheetPr codeName="Sheet8"/>
  <dimension ref="A1:G70"/>
  <sheetViews>
    <sheetView topLeftCell="A51" workbookViewId="0">
      <selection activeCell="F64" sqref="F64"/>
    </sheetView>
  </sheetViews>
  <sheetFormatPr baseColWidth="10" defaultColWidth="8.83203125" defaultRowHeight="16"/>
  <cols>
    <col min="1" max="1" width="7" customWidth="1"/>
    <col min="2" max="2" width="4" customWidth="1"/>
    <col min="3" max="3" width="2" customWidth="1"/>
    <col min="4" max="4" width="55" customWidth="1"/>
    <col min="5" max="5" width="40" customWidth="1"/>
    <col min="6" max="7" width="15" customWidth="1"/>
  </cols>
  <sheetData>
    <row r="1" spans="1:7" ht="30" customHeight="1">
      <c r="A1" s="150" t="s">
        <v>184</v>
      </c>
      <c r="B1" s="170"/>
      <c r="C1" s="170"/>
      <c r="D1" s="170"/>
      <c r="E1" s="170"/>
      <c r="F1" s="170"/>
      <c r="G1" s="170"/>
    </row>
    <row r="2" spans="1:7" ht="6" customHeight="1"/>
    <row r="3" spans="1:7" ht="20" customHeight="1">
      <c r="A3" s="74" t="s">
        <v>3</v>
      </c>
      <c r="B3" s="74" t="s">
        <v>59</v>
      </c>
      <c r="D3" s="74" t="s">
        <v>395</v>
      </c>
      <c r="E3" s="74" t="s">
        <v>396</v>
      </c>
      <c r="F3" s="74" t="s">
        <v>55</v>
      </c>
      <c r="G3" s="74" t="s">
        <v>397</v>
      </c>
    </row>
    <row r="4" spans="1:7" ht="6" customHeight="1"/>
    <row r="5" spans="1:7" ht="6" customHeight="1"/>
    <row r="6" spans="1:7" ht="22" customHeight="1">
      <c r="A6" s="173" t="s">
        <v>492</v>
      </c>
      <c r="B6" s="168"/>
      <c r="C6" s="168"/>
      <c r="D6" s="168"/>
      <c r="E6" s="168"/>
      <c r="F6" s="168"/>
      <c r="G6" s="169"/>
    </row>
    <row r="7" spans="1:7" ht="28" customHeight="1">
      <c r="A7" s="87" t="s">
        <v>185</v>
      </c>
      <c r="B7" s="79" t="s">
        <v>59</v>
      </c>
      <c r="D7" s="172" t="s">
        <v>493</v>
      </c>
      <c r="E7" s="169"/>
      <c r="F7" s="88" t="str">
        <f>IF(OR(F8="n.e.",F8=""),"not evaluated","evaluated")</f>
        <v>not evaluated</v>
      </c>
      <c r="G7" s="77"/>
    </row>
    <row r="8" spans="1:7" ht="80" customHeight="1">
      <c r="A8" s="77"/>
      <c r="B8" s="77"/>
      <c r="D8" s="80" t="s">
        <v>791</v>
      </c>
      <c r="E8" s="80" t="s">
        <v>792</v>
      </c>
      <c r="F8" s="89" t="s">
        <v>393</v>
      </c>
      <c r="G8" s="81" t="s">
        <v>400</v>
      </c>
    </row>
    <row r="9" spans="1:7" ht="28" customHeight="1">
      <c r="A9" s="87" t="s">
        <v>187</v>
      </c>
      <c r="B9" s="77"/>
      <c r="D9" s="172" t="s">
        <v>494</v>
      </c>
      <c r="E9" s="169"/>
      <c r="F9" s="88" t="str">
        <f>IF(OR(F10="n.e.",F10=""),"not evaluated","evaluated")</f>
        <v>not evaluated</v>
      </c>
      <c r="G9" s="77"/>
    </row>
    <row r="10" spans="1:7" ht="80" customHeight="1">
      <c r="A10" s="77"/>
      <c r="B10" s="77"/>
      <c r="D10" s="80" t="s">
        <v>793</v>
      </c>
      <c r="E10" s="80" t="s">
        <v>794</v>
      </c>
      <c r="F10" s="89" t="s">
        <v>393</v>
      </c>
      <c r="G10" s="81" t="s">
        <v>400</v>
      </c>
    </row>
    <row r="11" spans="1:7" ht="28" customHeight="1">
      <c r="A11" s="87" t="s">
        <v>189</v>
      </c>
      <c r="B11" s="77"/>
      <c r="D11" s="172" t="s">
        <v>495</v>
      </c>
      <c r="E11" s="169"/>
      <c r="F11" s="88" t="str">
        <f>IF(OR(F12="n.e.",F12=""),"not evaluated","evaluated")</f>
        <v>not evaluated</v>
      </c>
      <c r="G11" s="77"/>
    </row>
    <row r="12" spans="1:7" ht="80" customHeight="1">
      <c r="A12" s="77"/>
      <c r="B12" s="77"/>
      <c r="D12" s="80" t="s">
        <v>795</v>
      </c>
      <c r="E12" s="80" t="s">
        <v>796</v>
      </c>
      <c r="F12" s="89" t="s">
        <v>393</v>
      </c>
      <c r="G12" s="81" t="s">
        <v>400</v>
      </c>
    </row>
    <row r="13" spans="1:7" ht="28" customHeight="1">
      <c r="A13" s="87" t="s">
        <v>191</v>
      </c>
      <c r="B13" s="77"/>
      <c r="D13" s="172" t="s">
        <v>496</v>
      </c>
      <c r="E13" s="169"/>
      <c r="F13" s="88" t="str">
        <f>IF(OR(F14="n.e.",F14=""),"not evaluated","evaluated")</f>
        <v>not evaluated</v>
      </c>
      <c r="G13" s="77"/>
    </row>
    <row r="14" spans="1:7" ht="80" customHeight="1">
      <c r="A14" s="77"/>
      <c r="B14" s="77"/>
      <c r="D14" s="80" t="s">
        <v>797</v>
      </c>
      <c r="E14" s="80" t="s">
        <v>798</v>
      </c>
      <c r="F14" s="89" t="s">
        <v>393</v>
      </c>
      <c r="G14" s="81" t="s">
        <v>400</v>
      </c>
    </row>
    <row r="16" spans="1:7" ht="22" customHeight="1">
      <c r="A16" s="173" t="s">
        <v>497</v>
      </c>
      <c r="B16" s="168"/>
      <c r="C16" s="168"/>
      <c r="D16" s="168"/>
      <c r="E16" s="168"/>
      <c r="F16" s="168"/>
      <c r="G16" s="169"/>
    </row>
    <row r="17" spans="1:7" ht="28" customHeight="1">
      <c r="A17" s="87" t="s">
        <v>193</v>
      </c>
      <c r="B17" s="79" t="s">
        <v>59</v>
      </c>
      <c r="D17" s="172" t="s">
        <v>498</v>
      </c>
      <c r="E17" s="169"/>
      <c r="F17" s="88" t="str">
        <f>IF(OR(F18="n.e.",F18=""),"not evaluated","evaluated")</f>
        <v>not evaluated</v>
      </c>
      <c r="G17" s="77"/>
    </row>
    <row r="18" spans="1:7" ht="80" customHeight="1">
      <c r="A18" s="77"/>
      <c r="B18" s="77"/>
      <c r="D18" s="80" t="s">
        <v>799</v>
      </c>
      <c r="E18" s="80" t="s">
        <v>800</v>
      </c>
      <c r="F18" s="89" t="s">
        <v>393</v>
      </c>
      <c r="G18" s="81" t="s">
        <v>400</v>
      </c>
    </row>
    <row r="19" spans="1:7" ht="28" customHeight="1">
      <c r="A19" s="87" t="s">
        <v>195</v>
      </c>
      <c r="B19" s="77"/>
      <c r="D19" s="172" t="s">
        <v>499</v>
      </c>
      <c r="E19" s="169"/>
      <c r="F19" s="88" t="str">
        <f>IF(OR(F20="n.e.",F20=""),"not evaluated","evaluated")</f>
        <v>not evaluated</v>
      </c>
      <c r="G19" s="77"/>
    </row>
    <row r="20" spans="1:7" ht="80" customHeight="1">
      <c r="A20" s="77"/>
      <c r="B20" s="77"/>
      <c r="D20" s="80" t="s">
        <v>801</v>
      </c>
      <c r="E20" s="80" t="s">
        <v>802</v>
      </c>
      <c r="F20" s="89" t="s">
        <v>393</v>
      </c>
      <c r="G20" s="81" t="s">
        <v>400</v>
      </c>
    </row>
    <row r="21" spans="1:7" ht="28" customHeight="1">
      <c r="A21" s="87" t="s">
        <v>197</v>
      </c>
      <c r="B21" s="79" t="s">
        <v>59</v>
      </c>
      <c r="D21" s="172" t="s">
        <v>500</v>
      </c>
      <c r="E21" s="169"/>
      <c r="F21" s="88" t="str">
        <f>IF(OR(F22="n.e.",F22=""),"not evaluated","evaluated")</f>
        <v>not evaluated</v>
      </c>
      <c r="G21" s="77"/>
    </row>
    <row r="22" spans="1:7" ht="80" customHeight="1">
      <c r="A22" s="77"/>
      <c r="B22" s="77"/>
      <c r="D22" s="80" t="s">
        <v>803</v>
      </c>
      <c r="E22" s="80" t="s">
        <v>804</v>
      </c>
      <c r="F22" s="89" t="s">
        <v>393</v>
      </c>
      <c r="G22" s="81" t="s">
        <v>400</v>
      </c>
    </row>
    <row r="23" spans="1:7" ht="28" customHeight="1">
      <c r="A23" s="87" t="s">
        <v>199</v>
      </c>
      <c r="B23" s="77"/>
      <c r="D23" s="172" t="s">
        <v>501</v>
      </c>
      <c r="E23" s="169"/>
      <c r="F23" s="88" t="str">
        <f>IF(OR(F24="n.e.",F24=""),"not evaluated","evaluated")</f>
        <v>not evaluated</v>
      </c>
      <c r="G23" s="77"/>
    </row>
    <row r="24" spans="1:7" ht="80" customHeight="1">
      <c r="A24" s="77"/>
      <c r="B24" s="77"/>
      <c r="D24" s="80" t="s">
        <v>805</v>
      </c>
      <c r="E24" s="80" t="s">
        <v>806</v>
      </c>
      <c r="F24" s="89" t="s">
        <v>393</v>
      </c>
      <c r="G24" s="81" t="s">
        <v>400</v>
      </c>
    </row>
    <row r="25" spans="1:7" ht="28" customHeight="1">
      <c r="A25" s="87" t="s">
        <v>200</v>
      </c>
      <c r="B25" s="79" t="s">
        <v>59</v>
      </c>
      <c r="D25" s="172" t="s">
        <v>502</v>
      </c>
      <c r="E25" s="169"/>
      <c r="F25" s="88" t="str">
        <f>IF(OR(F26="n.e.",F26=""),"not evaluated","evaluated")</f>
        <v>not evaluated</v>
      </c>
      <c r="G25" s="77"/>
    </row>
    <row r="26" spans="1:7" ht="80" customHeight="1">
      <c r="A26" s="77"/>
      <c r="B26" s="77"/>
      <c r="D26" s="80" t="s">
        <v>807</v>
      </c>
      <c r="E26" s="80" t="s">
        <v>808</v>
      </c>
      <c r="F26" s="89" t="s">
        <v>393</v>
      </c>
      <c r="G26" s="81" t="s">
        <v>400</v>
      </c>
    </row>
    <row r="28" spans="1:7" ht="22" customHeight="1">
      <c r="A28" s="173" t="s">
        <v>503</v>
      </c>
      <c r="B28" s="168"/>
      <c r="C28" s="168"/>
      <c r="D28" s="168"/>
      <c r="E28" s="168"/>
      <c r="F28" s="168"/>
      <c r="G28" s="169"/>
    </row>
    <row r="29" spans="1:7" ht="28" customHeight="1">
      <c r="A29" s="87" t="s">
        <v>202</v>
      </c>
      <c r="B29" s="77"/>
      <c r="D29" s="172" t="s">
        <v>504</v>
      </c>
      <c r="E29" s="169"/>
      <c r="F29" s="88" t="str">
        <f>IF(OR(F30="n.e.",F30=""),"not evaluated","evaluated")</f>
        <v>not evaluated</v>
      </c>
      <c r="G29" s="77"/>
    </row>
    <row r="30" spans="1:7" ht="80" customHeight="1">
      <c r="A30" s="77"/>
      <c r="B30" s="77"/>
      <c r="D30" s="80" t="s">
        <v>765</v>
      </c>
      <c r="E30" s="80" t="s">
        <v>809</v>
      </c>
      <c r="F30" s="89" t="s">
        <v>393</v>
      </c>
      <c r="G30" s="81" t="s">
        <v>400</v>
      </c>
    </row>
    <row r="31" spans="1:7" ht="28" customHeight="1">
      <c r="A31" s="87" t="s">
        <v>203</v>
      </c>
      <c r="B31" s="77"/>
      <c r="D31" s="172" t="s">
        <v>505</v>
      </c>
      <c r="E31" s="169"/>
      <c r="F31" s="88" t="str">
        <f>IF(OR(F32="n.e.",F32=""),"not evaluated","evaluated")</f>
        <v>not evaluated</v>
      </c>
      <c r="G31" s="77"/>
    </row>
    <row r="32" spans="1:7" ht="80" customHeight="1">
      <c r="A32" s="77"/>
      <c r="B32" s="77"/>
      <c r="D32" s="80" t="s">
        <v>810</v>
      </c>
      <c r="E32" s="80" t="s">
        <v>811</v>
      </c>
      <c r="F32" s="89" t="s">
        <v>393</v>
      </c>
      <c r="G32" s="81" t="s">
        <v>400</v>
      </c>
    </row>
    <row r="33" spans="1:7" ht="28" customHeight="1">
      <c r="A33" s="87" t="s">
        <v>204</v>
      </c>
      <c r="B33" s="77"/>
      <c r="D33" s="172" t="s">
        <v>506</v>
      </c>
      <c r="E33" s="169"/>
      <c r="F33" s="88" t="str">
        <f>IF(OR(F34="n.e.",F34=""),"not evaluated","evaluated")</f>
        <v>not evaluated</v>
      </c>
      <c r="G33" s="77"/>
    </row>
    <row r="34" spans="1:7" ht="80" customHeight="1">
      <c r="A34" s="77"/>
      <c r="B34" s="77"/>
      <c r="D34" s="80" t="s">
        <v>812</v>
      </c>
      <c r="E34" s="80" t="s">
        <v>813</v>
      </c>
      <c r="F34" s="89" t="s">
        <v>393</v>
      </c>
      <c r="G34" s="81" t="s">
        <v>400</v>
      </c>
    </row>
    <row r="35" spans="1:7" ht="28" customHeight="1">
      <c r="A35" s="87" t="s">
        <v>206</v>
      </c>
      <c r="B35" s="79" t="s">
        <v>59</v>
      </c>
      <c r="D35" s="172" t="s">
        <v>507</v>
      </c>
      <c r="E35" s="169"/>
      <c r="F35" s="88" t="str">
        <f>IF(OR(F36="n.e.",F36=""),"not evaluated","evaluated")</f>
        <v>not evaluated</v>
      </c>
      <c r="G35" s="77"/>
    </row>
    <row r="36" spans="1:7" ht="80" customHeight="1">
      <c r="A36" s="77"/>
      <c r="B36" s="77"/>
      <c r="D36" s="80" t="s">
        <v>814</v>
      </c>
      <c r="E36" s="80" t="s">
        <v>727</v>
      </c>
      <c r="F36" s="89" t="s">
        <v>393</v>
      </c>
      <c r="G36" s="81" t="s">
        <v>400</v>
      </c>
    </row>
    <row r="38" spans="1:7" ht="22" customHeight="1">
      <c r="A38" s="173" t="s">
        <v>508</v>
      </c>
      <c r="B38" s="168"/>
      <c r="C38" s="168"/>
      <c r="D38" s="168"/>
      <c r="E38" s="168"/>
      <c r="F38" s="168"/>
      <c r="G38" s="169"/>
    </row>
    <row r="39" spans="1:7" ht="28" customHeight="1">
      <c r="A39" s="87" t="s">
        <v>207</v>
      </c>
      <c r="B39" s="77"/>
      <c r="D39" s="172" t="s">
        <v>509</v>
      </c>
      <c r="E39" s="169"/>
      <c r="F39" s="88" t="str">
        <f>IF(OR(F40="n.e.",F40=""),"not evaluated","evaluated")</f>
        <v>not evaluated</v>
      </c>
      <c r="G39" s="77"/>
    </row>
    <row r="40" spans="1:7" ht="80" customHeight="1">
      <c r="A40" s="77"/>
      <c r="B40" s="77"/>
      <c r="D40" s="80" t="s">
        <v>815</v>
      </c>
      <c r="E40" s="80" t="s">
        <v>683</v>
      </c>
      <c r="F40" s="89" t="s">
        <v>393</v>
      </c>
      <c r="G40" s="81" t="s">
        <v>400</v>
      </c>
    </row>
    <row r="41" spans="1:7" ht="28" customHeight="1">
      <c r="A41" s="87" t="s">
        <v>208</v>
      </c>
      <c r="B41" s="79" t="s">
        <v>59</v>
      </c>
      <c r="D41" s="172" t="s">
        <v>510</v>
      </c>
      <c r="E41" s="169"/>
      <c r="F41" s="88" t="str">
        <f>IF(OR(F42="n.e.",F42=""),"not evaluated","evaluated")</f>
        <v>not evaluated</v>
      </c>
      <c r="G41" s="77"/>
    </row>
    <row r="42" spans="1:7" ht="80" customHeight="1">
      <c r="A42" s="77"/>
      <c r="B42" s="77"/>
      <c r="D42" s="80" t="s">
        <v>816</v>
      </c>
      <c r="E42" s="80" t="s">
        <v>817</v>
      </c>
      <c r="F42" s="89" t="s">
        <v>393</v>
      </c>
      <c r="G42" s="81" t="s">
        <v>400</v>
      </c>
    </row>
    <row r="43" spans="1:7" ht="28" customHeight="1">
      <c r="A43" s="87" t="s">
        <v>209</v>
      </c>
      <c r="B43" s="77"/>
      <c r="D43" s="172" t="s">
        <v>511</v>
      </c>
      <c r="E43" s="169"/>
      <c r="F43" s="88" t="str">
        <f>IF(OR(F44="n.e.",F44=""),"not evaluated","evaluated")</f>
        <v>not evaluated</v>
      </c>
      <c r="G43" s="77"/>
    </row>
    <row r="44" spans="1:7" ht="80" customHeight="1">
      <c r="A44" s="77"/>
      <c r="B44" s="77"/>
      <c r="D44" s="80" t="s">
        <v>818</v>
      </c>
      <c r="E44" s="80" t="s">
        <v>687</v>
      </c>
      <c r="F44" s="89" t="s">
        <v>393</v>
      </c>
      <c r="G44" s="81" t="s">
        <v>400</v>
      </c>
    </row>
    <row r="45" spans="1:7" ht="28" customHeight="1">
      <c r="A45" s="87" t="s">
        <v>210</v>
      </c>
      <c r="B45" s="77"/>
      <c r="D45" s="172" t="s">
        <v>512</v>
      </c>
      <c r="E45" s="169"/>
      <c r="F45" s="88" t="str">
        <f>IF(OR(F46="n.e.",F46=""),"not evaluated","evaluated")</f>
        <v>not evaluated</v>
      </c>
      <c r="G45" s="77"/>
    </row>
    <row r="46" spans="1:7" ht="80" customHeight="1">
      <c r="A46" s="77"/>
      <c r="B46" s="77"/>
      <c r="D46" s="80" t="s">
        <v>819</v>
      </c>
      <c r="E46" s="80" t="s">
        <v>820</v>
      </c>
      <c r="F46" s="89" t="s">
        <v>393</v>
      </c>
      <c r="G46" s="81" t="s">
        <v>400</v>
      </c>
    </row>
    <row r="48" spans="1:7" ht="22" customHeight="1">
      <c r="A48" s="173" t="s">
        <v>513</v>
      </c>
      <c r="B48" s="168"/>
      <c r="C48" s="168"/>
      <c r="D48" s="168"/>
      <c r="E48" s="168"/>
      <c r="F48" s="168"/>
      <c r="G48" s="169"/>
    </row>
    <row r="49" spans="1:7" ht="28" customHeight="1">
      <c r="A49" s="87" t="s">
        <v>212</v>
      </c>
      <c r="B49" s="79" t="s">
        <v>59</v>
      </c>
      <c r="D49" s="172" t="s">
        <v>514</v>
      </c>
      <c r="E49" s="169"/>
      <c r="F49" s="88" t="str">
        <f>IF(OR(F50="n.e.",F50=""),"not evaluated","evaluated")</f>
        <v>not evaluated</v>
      </c>
      <c r="G49" s="77"/>
    </row>
    <row r="50" spans="1:7" ht="80" customHeight="1">
      <c r="A50" s="77"/>
      <c r="B50" s="77"/>
      <c r="D50" s="80" t="s">
        <v>821</v>
      </c>
      <c r="E50" s="80" t="s">
        <v>822</v>
      </c>
      <c r="F50" s="89" t="s">
        <v>393</v>
      </c>
      <c r="G50" s="81" t="s">
        <v>400</v>
      </c>
    </row>
    <row r="51" spans="1:7" ht="28" customHeight="1">
      <c r="A51" s="87" t="s">
        <v>214</v>
      </c>
      <c r="B51" s="77"/>
      <c r="D51" s="172" t="s">
        <v>515</v>
      </c>
      <c r="E51" s="169"/>
      <c r="F51" s="88" t="str">
        <f>IF(OR(F52="n.e.",F52=""),"not evaluated","evaluated")</f>
        <v>not evaluated</v>
      </c>
      <c r="G51" s="77"/>
    </row>
    <row r="52" spans="1:7" ht="80" customHeight="1">
      <c r="A52" s="77"/>
      <c r="B52" s="77"/>
      <c r="D52" s="80" t="s">
        <v>823</v>
      </c>
      <c r="E52" s="80" t="s">
        <v>824</v>
      </c>
      <c r="F52" s="89" t="s">
        <v>393</v>
      </c>
      <c r="G52" s="81" t="s">
        <v>400</v>
      </c>
    </row>
    <row r="53" spans="1:7" ht="28" customHeight="1">
      <c r="A53" s="87" t="s">
        <v>215</v>
      </c>
      <c r="B53" s="79" t="s">
        <v>59</v>
      </c>
      <c r="D53" s="172" t="s">
        <v>516</v>
      </c>
      <c r="E53" s="169"/>
      <c r="F53" s="88" t="str">
        <f>IF(OR(F54="n.e.",F54=""),"not evaluated","evaluated")</f>
        <v>not evaluated</v>
      </c>
      <c r="G53" s="77"/>
    </row>
    <row r="54" spans="1:7" ht="80" customHeight="1">
      <c r="A54" s="77"/>
      <c r="B54" s="77"/>
      <c r="D54" s="80" t="s">
        <v>781</v>
      </c>
      <c r="E54" s="80" t="s">
        <v>825</v>
      </c>
      <c r="F54" s="89" t="s">
        <v>393</v>
      </c>
      <c r="G54" s="81" t="s">
        <v>400</v>
      </c>
    </row>
    <row r="55" spans="1:7" ht="28" customHeight="1">
      <c r="A55" s="87" t="s">
        <v>216</v>
      </c>
      <c r="B55" s="77"/>
      <c r="D55" s="172" t="s">
        <v>517</v>
      </c>
      <c r="E55" s="169"/>
      <c r="F55" s="88" t="str">
        <f>IF(OR(F56="n.e.",F56=""),"not evaluated","evaluated")</f>
        <v>not evaluated</v>
      </c>
      <c r="G55" s="77"/>
    </row>
    <row r="56" spans="1:7" ht="80" customHeight="1">
      <c r="A56" s="77"/>
      <c r="B56" s="77"/>
      <c r="D56" s="80" t="s">
        <v>826</v>
      </c>
      <c r="E56" s="80" t="s">
        <v>827</v>
      </c>
      <c r="F56" s="89" t="s">
        <v>393</v>
      </c>
      <c r="G56" s="81" t="s">
        <v>400</v>
      </c>
    </row>
    <row r="57" spans="1:7" ht="28" customHeight="1">
      <c r="A57" s="87" t="s">
        <v>217</v>
      </c>
      <c r="B57" s="77"/>
      <c r="D57" s="172" t="s">
        <v>518</v>
      </c>
      <c r="E57" s="169"/>
      <c r="F57" s="88" t="str">
        <f>IF(OR(F58="n.e.",F58=""),"not evaluated","evaluated")</f>
        <v>not evaluated</v>
      </c>
      <c r="G57" s="77"/>
    </row>
    <row r="58" spans="1:7" ht="80" customHeight="1">
      <c r="A58" s="77"/>
      <c r="B58" s="77"/>
      <c r="D58" s="80" t="s">
        <v>828</v>
      </c>
      <c r="E58" s="80" t="s">
        <v>829</v>
      </c>
      <c r="F58" s="89" t="s">
        <v>393</v>
      </c>
      <c r="G58" s="81" t="s">
        <v>400</v>
      </c>
    </row>
    <row r="60" spans="1:7" ht="22" customHeight="1">
      <c r="A60" s="173" t="s">
        <v>519</v>
      </c>
      <c r="B60" s="168"/>
      <c r="C60" s="168"/>
      <c r="D60" s="168"/>
      <c r="E60" s="168"/>
      <c r="F60" s="168"/>
      <c r="G60" s="169"/>
    </row>
    <row r="61" spans="1:7" ht="28" customHeight="1">
      <c r="A61" s="87" t="s">
        <v>219</v>
      </c>
      <c r="B61" s="79" t="s">
        <v>59</v>
      </c>
      <c r="D61" s="172" t="s">
        <v>520</v>
      </c>
      <c r="E61" s="169"/>
      <c r="F61" s="88" t="str">
        <f>IF(OR(F62="n.e.",F62=""),"not evaluated","evaluated")</f>
        <v>not evaluated</v>
      </c>
      <c r="G61" s="77"/>
    </row>
    <row r="62" spans="1:7" ht="80" customHeight="1">
      <c r="A62" s="77"/>
      <c r="B62" s="77"/>
      <c r="D62" s="80" t="s">
        <v>830</v>
      </c>
      <c r="E62" s="80" t="s">
        <v>831</v>
      </c>
      <c r="F62" s="89" t="s">
        <v>393</v>
      </c>
      <c r="G62" s="81" t="s">
        <v>400</v>
      </c>
    </row>
    <row r="63" spans="1:7" ht="28" customHeight="1">
      <c r="A63" s="87" t="s">
        <v>220</v>
      </c>
      <c r="B63" s="77"/>
      <c r="D63" s="172" t="s">
        <v>521</v>
      </c>
      <c r="E63" s="169"/>
      <c r="F63" s="88" t="str">
        <f>IF(OR(F64="n.e.",F64=""),"not evaluated","evaluated")</f>
        <v>not evaluated</v>
      </c>
      <c r="G63" s="77"/>
    </row>
    <row r="64" spans="1:7" ht="80" customHeight="1">
      <c r="A64" s="77"/>
      <c r="B64" s="77"/>
      <c r="D64" s="80" t="s">
        <v>832</v>
      </c>
      <c r="E64" s="80" t="s">
        <v>833</v>
      </c>
      <c r="F64" s="89" t="s">
        <v>393</v>
      </c>
      <c r="G64" s="81" t="s">
        <v>400</v>
      </c>
    </row>
    <row r="66" spans="4:6">
      <c r="D66" s="90">
        <f>COUNT(F8,F10,F12,F14,F18,F20,F22,F24,F26,F30,F32,F34,F36,F40,F42,F44,F46,F50,F52,F54,F56,F58,F62,F64)</f>
        <v>0</v>
      </c>
      <c r="E66" s="90" t="s">
        <v>522</v>
      </c>
      <c r="F66" s="91" t="str">
        <f>IF(D66=0,"n.e.",SUM(F8,F10,F12,F14,F18,F20,F22,F24,F26,F30,F32,F34,F36,F40,F42,F44,F46,F50,F52,F54,F56,F58,F62,F64)/(D66*10))</f>
        <v>n.e.</v>
      </c>
    </row>
    <row r="68" spans="4:6">
      <c r="D68">
        <f>COUNT(F8,F18,F22,F26,F36,F42,F50,F54,F62)</f>
        <v>0</v>
      </c>
      <c r="E68" s="92" t="s">
        <v>429</v>
      </c>
      <c r="F68" s="83" t="str">
        <f>IF(D68=0,"n.e.",SUM(F8,F18,F22,F26,F36,F42,F50,F54,F62)/(D68*10))</f>
        <v>n.e.</v>
      </c>
    </row>
    <row r="69" spans="4:6">
      <c r="E69" t="s">
        <v>430</v>
      </c>
      <c r="F69" t="str">
        <f>IF(COUNT(F8,F18,F22,F26,F36,F42,F50,F54,F62)=0,"n.e.",MIN(F8,F18,F22,F26,F36,F42,F50,F54,F62))</f>
        <v>n.e.</v>
      </c>
    </row>
    <row r="70" spans="4:6">
      <c r="E70" t="s">
        <v>431</v>
      </c>
      <c r="F70" t="str">
        <f>IF(COUNT(F8,F10,F12,F14,F18,F20,F22,F24,F26,F30,F32,F34,F36,F40,F42,F44,F46,F50,F52,F54,F56,F58,F62,F64)=0,"n.e.",MIN(F8,F10,F12,F14,F18,F20,F22,F24,F26,F30,F32,F34,F36,F40,F42,F44,F46,F50,F52,F54,F56,F58,F62,F64))</f>
        <v>n.e.</v>
      </c>
    </row>
  </sheetData>
  <mergeCells count="31">
    <mergeCell ref="D63:E63"/>
    <mergeCell ref="A38:G38"/>
    <mergeCell ref="D31:E31"/>
    <mergeCell ref="D45:E45"/>
    <mergeCell ref="A28:G28"/>
    <mergeCell ref="D61:E61"/>
    <mergeCell ref="A60:G60"/>
    <mergeCell ref="D49:E49"/>
    <mergeCell ref="D57:E57"/>
    <mergeCell ref="A48:G48"/>
    <mergeCell ref="D41:E41"/>
    <mergeCell ref="D17:E17"/>
    <mergeCell ref="D53:E53"/>
    <mergeCell ref="D55:E55"/>
    <mergeCell ref="D51:E51"/>
    <mergeCell ref="D19:E19"/>
    <mergeCell ref="D21:E21"/>
    <mergeCell ref="A1:G1"/>
    <mergeCell ref="D7:E7"/>
    <mergeCell ref="A6:G6"/>
    <mergeCell ref="D43:E43"/>
    <mergeCell ref="A16:G16"/>
    <mergeCell ref="D9:E9"/>
    <mergeCell ref="D39:E39"/>
    <mergeCell ref="D25:E25"/>
    <mergeCell ref="D33:E33"/>
    <mergeCell ref="D29:E29"/>
    <mergeCell ref="D23:E23"/>
    <mergeCell ref="D35:E35"/>
    <mergeCell ref="D11:E11"/>
    <mergeCell ref="D13:E13"/>
  </mergeCells>
  <phoneticPr fontId="20" type="noConversion"/>
  <conditionalFormatting sqref="F8">
    <cfRule type="cellIs" dxfId="593" priority="139" operator="equal">
      <formula>10</formula>
    </cfRule>
    <cfRule type="cellIs" dxfId="592" priority="140" operator="equal">
      <formula>8</formula>
    </cfRule>
    <cfRule type="cellIs" dxfId="591" priority="141" operator="equal">
      <formula>6</formula>
    </cfRule>
    <cfRule type="cellIs" dxfId="590" priority="142" operator="equal">
      <formula>4</formula>
    </cfRule>
    <cfRule type="cellIs" dxfId="589" priority="143" operator="equal">
      <formula>0</formula>
    </cfRule>
    <cfRule type="cellIs" dxfId="588" priority="144" operator="equal">
      <formula>2</formula>
    </cfRule>
  </conditionalFormatting>
  <conditionalFormatting sqref="F10">
    <cfRule type="cellIs" dxfId="587" priority="133" operator="equal">
      <formula>10</formula>
    </cfRule>
    <cfRule type="cellIs" dxfId="586" priority="134" operator="equal">
      <formula>8</formula>
    </cfRule>
    <cfRule type="cellIs" dxfId="585" priority="135" operator="equal">
      <formula>6</formula>
    </cfRule>
    <cfRule type="cellIs" dxfId="584" priority="136" operator="equal">
      <formula>4</formula>
    </cfRule>
    <cfRule type="cellIs" dxfId="583" priority="137" operator="equal">
      <formula>0</formula>
    </cfRule>
    <cfRule type="cellIs" dxfId="582" priority="138" operator="equal">
      <formula>2</formula>
    </cfRule>
  </conditionalFormatting>
  <conditionalFormatting sqref="F12">
    <cfRule type="cellIs" dxfId="581" priority="127" operator="equal">
      <formula>10</formula>
    </cfRule>
    <cfRule type="cellIs" dxfId="580" priority="128" operator="equal">
      <formula>8</formula>
    </cfRule>
    <cfRule type="cellIs" dxfId="579" priority="129" operator="equal">
      <formula>6</formula>
    </cfRule>
    <cfRule type="cellIs" dxfId="578" priority="130" operator="equal">
      <formula>4</formula>
    </cfRule>
    <cfRule type="cellIs" dxfId="577" priority="131" operator="equal">
      <formula>0</formula>
    </cfRule>
    <cfRule type="cellIs" dxfId="576" priority="132" operator="equal">
      <formula>2</formula>
    </cfRule>
  </conditionalFormatting>
  <conditionalFormatting sqref="F14">
    <cfRule type="cellIs" dxfId="575" priority="121" operator="equal">
      <formula>10</formula>
    </cfRule>
    <cfRule type="cellIs" dxfId="574" priority="122" operator="equal">
      <formula>8</formula>
    </cfRule>
    <cfRule type="cellIs" dxfId="573" priority="123" operator="equal">
      <formula>6</formula>
    </cfRule>
    <cfRule type="cellIs" dxfId="572" priority="124" operator="equal">
      <formula>4</formula>
    </cfRule>
    <cfRule type="cellIs" dxfId="571" priority="125" operator="equal">
      <formula>0</formula>
    </cfRule>
    <cfRule type="cellIs" dxfId="570" priority="126" operator="equal">
      <formula>2</formula>
    </cfRule>
  </conditionalFormatting>
  <conditionalFormatting sqref="F18">
    <cfRule type="cellIs" dxfId="569" priority="115" operator="equal">
      <formula>10</formula>
    </cfRule>
    <cfRule type="cellIs" dxfId="568" priority="116" operator="equal">
      <formula>8</formula>
    </cfRule>
    <cfRule type="cellIs" dxfId="567" priority="117" operator="equal">
      <formula>6</formula>
    </cfRule>
    <cfRule type="cellIs" dxfId="566" priority="118" operator="equal">
      <formula>4</formula>
    </cfRule>
    <cfRule type="cellIs" dxfId="565" priority="119" operator="equal">
      <formula>0</formula>
    </cfRule>
    <cfRule type="cellIs" dxfId="564" priority="120" operator="equal">
      <formula>2</formula>
    </cfRule>
  </conditionalFormatting>
  <conditionalFormatting sqref="F20">
    <cfRule type="cellIs" dxfId="563" priority="109" operator="equal">
      <formula>10</formula>
    </cfRule>
    <cfRule type="cellIs" dxfId="562" priority="110" operator="equal">
      <formula>8</formula>
    </cfRule>
    <cfRule type="cellIs" dxfId="561" priority="111" operator="equal">
      <formula>6</formula>
    </cfRule>
    <cfRule type="cellIs" dxfId="560" priority="112" operator="equal">
      <formula>4</formula>
    </cfRule>
    <cfRule type="cellIs" dxfId="559" priority="113" operator="equal">
      <formula>0</formula>
    </cfRule>
    <cfRule type="cellIs" dxfId="558" priority="114" operator="equal">
      <formula>2</formula>
    </cfRule>
  </conditionalFormatting>
  <conditionalFormatting sqref="F22">
    <cfRule type="cellIs" dxfId="557" priority="103" operator="equal">
      <formula>10</formula>
    </cfRule>
    <cfRule type="cellIs" dxfId="556" priority="104" operator="equal">
      <formula>8</formula>
    </cfRule>
    <cfRule type="cellIs" dxfId="555" priority="105" operator="equal">
      <formula>6</formula>
    </cfRule>
    <cfRule type="cellIs" dxfId="554" priority="106" operator="equal">
      <formula>4</formula>
    </cfRule>
    <cfRule type="cellIs" dxfId="553" priority="107" operator="equal">
      <formula>0</formula>
    </cfRule>
    <cfRule type="cellIs" dxfId="552" priority="108" operator="equal">
      <formula>2</formula>
    </cfRule>
  </conditionalFormatting>
  <conditionalFormatting sqref="F24">
    <cfRule type="cellIs" dxfId="551" priority="97" operator="equal">
      <formula>10</formula>
    </cfRule>
    <cfRule type="cellIs" dxfId="550" priority="98" operator="equal">
      <formula>8</formula>
    </cfRule>
    <cfRule type="cellIs" dxfId="549" priority="99" operator="equal">
      <formula>6</formula>
    </cfRule>
    <cfRule type="cellIs" dxfId="548" priority="100" operator="equal">
      <formula>4</formula>
    </cfRule>
    <cfRule type="cellIs" dxfId="547" priority="101" operator="equal">
      <formula>0</formula>
    </cfRule>
    <cfRule type="cellIs" dxfId="546" priority="102" operator="equal">
      <formula>2</formula>
    </cfRule>
  </conditionalFormatting>
  <conditionalFormatting sqref="F26">
    <cfRule type="cellIs" dxfId="545" priority="91" operator="equal">
      <formula>10</formula>
    </cfRule>
    <cfRule type="cellIs" dxfId="544" priority="92" operator="equal">
      <formula>8</formula>
    </cfRule>
    <cfRule type="cellIs" dxfId="543" priority="93" operator="equal">
      <formula>6</formula>
    </cfRule>
    <cfRule type="cellIs" dxfId="542" priority="94" operator="equal">
      <formula>4</formula>
    </cfRule>
    <cfRule type="cellIs" dxfId="541" priority="95" operator="equal">
      <formula>0</formula>
    </cfRule>
    <cfRule type="cellIs" dxfId="540" priority="96" operator="equal">
      <formula>2</formula>
    </cfRule>
  </conditionalFormatting>
  <conditionalFormatting sqref="F30">
    <cfRule type="cellIs" dxfId="539" priority="85" operator="equal">
      <formula>10</formula>
    </cfRule>
    <cfRule type="cellIs" dxfId="538" priority="86" operator="equal">
      <formula>8</formula>
    </cfRule>
    <cfRule type="cellIs" dxfId="537" priority="87" operator="equal">
      <formula>6</formula>
    </cfRule>
    <cfRule type="cellIs" dxfId="536" priority="88" operator="equal">
      <formula>4</formula>
    </cfRule>
    <cfRule type="cellIs" dxfId="535" priority="89" operator="equal">
      <formula>0</formula>
    </cfRule>
    <cfRule type="cellIs" dxfId="534" priority="90" operator="equal">
      <formula>2</formula>
    </cfRule>
  </conditionalFormatting>
  <conditionalFormatting sqref="F32">
    <cfRule type="cellIs" dxfId="533" priority="79" operator="equal">
      <formula>10</formula>
    </cfRule>
    <cfRule type="cellIs" dxfId="532" priority="80" operator="equal">
      <formula>8</formula>
    </cfRule>
    <cfRule type="cellIs" dxfId="531" priority="81" operator="equal">
      <formula>6</formula>
    </cfRule>
    <cfRule type="cellIs" dxfId="530" priority="82" operator="equal">
      <formula>4</formula>
    </cfRule>
    <cfRule type="cellIs" dxfId="529" priority="83" operator="equal">
      <formula>0</formula>
    </cfRule>
    <cfRule type="cellIs" dxfId="528" priority="84" operator="equal">
      <formula>2</formula>
    </cfRule>
  </conditionalFormatting>
  <conditionalFormatting sqref="F34">
    <cfRule type="cellIs" dxfId="527" priority="73" operator="equal">
      <formula>10</formula>
    </cfRule>
    <cfRule type="cellIs" dxfId="526" priority="74" operator="equal">
      <formula>8</formula>
    </cfRule>
    <cfRule type="cellIs" dxfId="525" priority="75" operator="equal">
      <formula>6</formula>
    </cfRule>
    <cfRule type="cellIs" dxfId="524" priority="76" operator="equal">
      <formula>4</formula>
    </cfRule>
    <cfRule type="cellIs" dxfId="523" priority="77" operator="equal">
      <formula>0</formula>
    </cfRule>
    <cfRule type="cellIs" dxfId="522" priority="78" operator="equal">
      <formula>2</formula>
    </cfRule>
  </conditionalFormatting>
  <conditionalFormatting sqref="F36">
    <cfRule type="cellIs" dxfId="521" priority="67" operator="equal">
      <formula>10</formula>
    </cfRule>
    <cfRule type="cellIs" dxfId="520" priority="68" operator="equal">
      <formula>8</formula>
    </cfRule>
    <cfRule type="cellIs" dxfId="519" priority="69" operator="equal">
      <formula>6</formula>
    </cfRule>
    <cfRule type="cellIs" dxfId="518" priority="70" operator="equal">
      <formula>4</formula>
    </cfRule>
    <cfRule type="cellIs" dxfId="517" priority="71" operator="equal">
      <formula>0</formula>
    </cfRule>
    <cfRule type="cellIs" dxfId="516" priority="72" operator="equal">
      <formula>2</formula>
    </cfRule>
  </conditionalFormatting>
  <conditionalFormatting sqref="F40">
    <cfRule type="cellIs" dxfId="515" priority="61" operator="equal">
      <formula>10</formula>
    </cfRule>
    <cfRule type="cellIs" dxfId="514" priority="62" operator="equal">
      <formula>8</formula>
    </cfRule>
    <cfRule type="cellIs" dxfId="513" priority="63" operator="equal">
      <formula>6</formula>
    </cfRule>
    <cfRule type="cellIs" dxfId="512" priority="64" operator="equal">
      <formula>4</formula>
    </cfRule>
    <cfRule type="cellIs" dxfId="511" priority="65" operator="equal">
      <formula>0</formula>
    </cfRule>
    <cfRule type="cellIs" dxfId="510" priority="66" operator="equal">
      <formula>2</formula>
    </cfRule>
  </conditionalFormatting>
  <conditionalFormatting sqref="F42">
    <cfRule type="cellIs" dxfId="509" priority="55" operator="equal">
      <formula>10</formula>
    </cfRule>
    <cfRule type="cellIs" dxfId="508" priority="56" operator="equal">
      <formula>8</formula>
    </cfRule>
    <cfRule type="cellIs" dxfId="507" priority="57" operator="equal">
      <formula>6</formula>
    </cfRule>
    <cfRule type="cellIs" dxfId="506" priority="58" operator="equal">
      <formula>4</formula>
    </cfRule>
    <cfRule type="cellIs" dxfId="505" priority="59" operator="equal">
      <formula>0</formula>
    </cfRule>
    <cfRule type="cellIs" dxfId="504" priority="60" operator="equal">
      <formula>2</formula>
    </cfRule>
  </conditionalFormatting>
  <conditionalFormatting sqref="F44">
    <cfRule type="cellIs" dxfId="503" priority="49" operator="equal">
      <formula>10</formula>
    </cfRule>
    <cfRule type="cellIs" dxfId="502" priority="50" operator="equal">
      <formula>8</formula>
    </cfRule>
    <cfRule type="cellIs" dxfId="501" priority="51" operator="equal">
      <formula>6</formula>
    </cfRule>
    <cfRule type="cellIs" dxfId="500" priority="52" operator="equal">
      <formula>4</formula>
    </cfRule>
    <cfRule type="cellIs" dxfId="499" priority="53" operator="equal">
      <formula>0</formula>
    </cfRule>
    <cfRule type="cellIs" dxfId="498" priority="54" operator="equal">
      <formula>2</formula>
    </cfRule>
  </conditionalFormatting>
  <conditionalFormatting sqref="F46">
    <cfRule type="cellIs" dxfId="497" priority="43" operator="equal">
      <formula>10</formula>
    </cfRule>
    <cfRule type="cellIs" dxfId="496" priority="44" operator="equal">
      <formula>8</formula>
    </cfRule>
    <cfRule type="cellIs" dxfId="495" priority="45" operator="equal">
      <formula>6</formula>
    </cfRule>
    <cfRule type="cellIs" dxfId="494" priority="46" operator="equal">
      <formula>4</formula>
    </cfRule>
    <cfRule type="cellIs" dxfId="493" priority="47" operator="equal">
      <formula>0</formula>
    </cfRule>
    <cfRule type="cellIs" dxfId="492" priority="48" operator="equal">
      <formula>2</formula>
    </cfRule>
  </conditionalFormatting>
  <conditionalFormatting sqref="F50">
    <cfRule type="cellIs" dxfId="491" priority="37" operator="equal">
      <formula>10</formula>
    </cfRule>
    <cfRule type="cellIs" dxfId="490" priority="38" operator="equal">
      <formula>8</formula>
    </cfRule>
    <cfRule type="cellIs" dxfId="489" priority="39" operator="equal">
      <formula>6</formula>
    </cfRule>
    <cfRule type="cellIs" dxfId="488" priority="40" operator="equal">
      <formula>4</formula>
    </cfRule>
    <cfRule type="cellIs" dxfId="487" priority="41" operator="equal">
      <formula>0</formula>
    </cfRule>
    <cfRule type="cellIs" dxfId="486" priority="42" operator="equal">
      <formula>2</formula>
    </cfRule>
  </conditionalFormatting>
  <conditionalFormatting sqref="F52">
    <cfRule type="cellIs" dxfId="485" priority="31" operator="equal">
      <formula>10</formula>
    </cfRule>
    <cfRule type="cellIs" dxfId="484" priority="32" operator="equal">
      <formula>8</formula>
    </cfRule>
    <cfRule type="cellIs" dxfId="483" priority="33" operator="equal">
      <formula>6</formula>
    </cfRule>
    <cfRule type="cellIs" dxfId="482" priority="34" operator="equal">
      <formula>4</formula>
    </cfRule>
    <cfRule type="cellIs" dxfId="481" priority="35" operator="equal">
      <formula>0</formula>
    </cfRule>
    <cfRule type="cellIs" dxfId="480" priority="36" operator="equal">
      <formula>2</formula>
    </cfRule>
  </conditionalFormatting>
  <conditionalFormatting sqref="F54">
    <cfRule type="cellIs" dxfId="479" priority="25" operator="equal">
      <formula>10</formula>
    </cfRule>
    <cfRule type="cellIs" dxfId="478" priority="26" operator="equal">
      <formula>8</formula>
    </cfRule>
    <cfRule type="cellIs" dxfId="477" priority="27" operator="equal">
      <formula>6</formula>
    </cfRule>
    <cfRule type="cellIs" dxfId="476" priority="28" operator="equal">
      <formula>4</formula>
    </cfRule>
    <cfRule type="cellIs" dxfId="475" priority="29" operator="equal">
      <formula>0</formula>
    </cfRule>
    <cfRule type="cellIs" dxfId="474" priority="30" operator="equal">
      <formula>2</formula>
    </cfRule>
  </conditionalFormatting>
  <conditionalFormatting sqref="F56">
    <cfRule type="cellIs" dxfId="473" priority="19" operator="equal">
      <formula>10</formula>
    </cfRule>
    <cfRule type="cellIs" dxfId="472" priority="20" operator="equal">
      <formula>8</formula>
    </cfRule>
    <cfRule type="cellIs" dxfId="471" priority="21" operator="equal">
      <formula>6</formula>
    </cfRule>
    <cfRule type="cellIs" dxfId="470" priority="22" operator="equal">
      <formula>4</formula>
    </cfRule>
    <cfRule type="cellIs" dxfId="469" priority="23" operator="equal">
      <formula>0</formula>
    </cfRule>
    <cfRule type="cellIs" dxfId="468" priority="24" operator="equal">
      <formula>2</formula>
    </cfRule>
  </conditionalFormatting>
  <conditionalFormatting sqref="F58">
    <cfRule type="cellIs" dxfId="467" priority="13" operator="equal">
      <formula>10</formula>
    </cfRule>
    <cfRule type="cellIs" dxfId="466" priority="14" operator="equal">
      <formula>8</formula>
    </cfRule>
    <cfRule type="cellIs" dxfId="465" priority="15" operator="equal">
      <formula>6</formula>
    </cfRule>
    <cfRule type="cellIs" dxfId="464" priority="16" operator="equal">
      <formula>4</formula>
    </cfRule>
    <cfRule type="cellIs" dxfId="463" priority="17" operator="equal">
      <formula>0</formula>
    </cfRule>
    <cfRule type="cellIs" dxfId="462" priority="18" operator="equal">
      <formula>2</formula>
    </cfRule>
  </conditionalFormatting>
  <conditionalFormatting sqref="F62">
    <cfRule type="cellIs" dxfId="461" priority="7" operator="equal">
      <formula>10</formula>
    </cfRule>
    <cfRule type="cellIs" dxfId="460" priority="8" operator="equal">
      <formula>8</formula>
    </cfRule>
    <cfRule type="cellIs" dxfId="459" priority="9" operator="equal">
      <formula>6</formula>
    </cfRule>
    <cfRule type="cellIs" dxfId="458" priority="10" operator="equal">
      <formula>4</formula>
    </cfRule>
    <cfRule type="cellIs" dxfId="457" priority="11" operator="equal">
      <formula>0</formula>
    </cfRule>
    <cfRule type="cellIs" dxfId="456" priority="12" operator="equal">
      <formula>2</formula>
    </cfRule>
  </conditionalFormatting>
  <conditionalFormatting sqref="F64">
    <cfRule type="cellIs" dxfId="455" priority="1" operator="equal">
      <formula>10</formula>
    </cfRule>
    <cfRule type="cellIs" dxfId="454" priority="2" operator="equal">
      <formula>8</formula>
    </cfRule>
    <cfRule type="cellIs" dxfId="453" priority="3" operator="equal">
      <formula>6</formula>
    </cfRule>
    <cfRule type="cellIs" dxfId="452" priority="4" operator="equal">
      <formula>4</formula>
    </cfRule>
    <cfRule type="cellIs" dxfId="451" priority="5" operator="equal">
      <formula>0</formula>
    </cfRule>
    <cfRule type="cellIs" dxfId="450" priority="6" operator="equal">
      <formula>2</formula>
    </cfRule>
  </conditionalFormatting>
  <dataValidations count="1">
    <dataValidation type="list" allowBlank="1" sqref="F8 F10 F12 F14 F18 F20 F22 F24 F26 F30 F32 F34 F36 F40 F42 F44 F46 F50 F52 F54 F56 F58 F62 F64" xr:uid="{00000000-0002-0000-0700-000000000000}">
      <formula1>"n.e.,0,4,6,8,10"</formula1>
    </dataValidation>
  </dataValidations>
  <hyperlinks>
    <hyperlink ref="G8" location="Remarks!H77" display="▶️" xr:uid="{00000000-0004-0000-0700-000000000000}"/>
    <hyperlink ref="G10" location="Remarks!H78" display="▶️" xr:uid="{00000000-0004-0000-0700-000001000000}"/>
    <hyperlink ref="G12" location="Remarks!H79" display="▶️" xr:uid="{00000000-0004-0000-0700-000002000000}"/>
    <hyperlink ref="G14" location="Remarks!H80" display="▶️" xr:uid="{00000000-0004-0000-0700-000003000000}"/>
    <hyperlink ref="G18" location="Remarks!H81" display="▶️" xr:uid="{00000000-0004-0000-0700-000004000000}"/>
    <hyperlink ref="G20" location="Remarks!H82" display="▶️" xr:uid="{00000000-0004-0000-0700-000005000000}"/>
    <hyperlink ref="G22" location="Remarks!H83" display="▶️" xr:uid="{00000000-0004-0000-0700-000006000000}"/>
    <hyperlink ref="G24" location="Remarks!H84" display="▶️" xr:uid="{00000000-0004-0000-0700-000007000000}"/>
    <hyperlink ref="G26" location="Remarks!H85" display="▶️" xr:uid="{00000000-0004-0000-0700-000008000000}"/>
    <hyperlink ref="G30" location="Remarks!H86" display="▶️" xr:uid="{00000000-0004-0000-0700-000009000000}"/>
    <hyperlink ref="G32" location="Remarks!H87" display="▶️" xr:uid="{00000000-0004-0000-0700-00000A000000}"/>
    <hyperlink ref="G34" location="Remarks!H88" display="▶️" xr:uid="{00000000-0004-0000-0700-00000B000000}"/>
    <hyperlink ref="G36" location="Remarks!H89" display="▶️" xr:uid="{00000000-0004-0000-0700-00000C000000}"/>
    <hyperlink ref="G40" location="Remarks!H90" display="▶️" xr:uid="{00000000-0004-0000-0700-00000D000000}"/>
    <hyperlink ref="G42" location="Remarks!H91" display="▶️" xr:uid="{00000000-0004-0000-0700-00000E000000}"/>
    <hyperlink ref="G44" location="Remarks!H92" display="▶️" xr:uid="{00000000-0004-0000-0700-00000F000000}"/>
    <hyperlink ref="G46" location="Remarks!H93" display="▶️" xr:uid="{00000000-0004-0000-0700-000010000000}"/>
    <hyperlink ref="G50" location="Remarks!H94" display="▶️" xr:uid="{00000000-0004-0000-0700-000011000000}"/>
    <hyperlink ref="G52" location="Remarks!H95" display="▶️" xr:uid="{00000000-0004-0000-0700-000012000000}"/>
    <hyperlink ref="G54" location="Remarks!H96" display="▶️" xr:uid="{00000000-0004-0000-0700-000013000000}"/>
    <hyperlink ref="G56" location="Remarks!H97" display="▶️" xr:uid="{00000000-0004-0000-0700-000014000000}"/>
    <hyperlink ref="G58" location="Remarks!H98" display="▶️" xr:uid="{00000000-0004-0000-0700-000015000000}"/>
    <hyperlink ref="G62" location="Remarks!H99" display="▶️" xr:uid="{00000000-0004-0000-0700-000016000000}"/>
    <hyperlink ref="G64" location="Remarks!H100" display="▶️" xr:uid="{00000000-0004-0000-0700-000017000000}"/>
  </hyperlinks>
  <pageMargins left="0.75" right="0.75" top="1" bottom="1" header="0.5" footer="0.5"/>
  <headerFooter>
    <oddHeader>&amp;L&amp;"Calibri"&amp;1 &amp;K000000 INTERNAL#_x000D_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4BD6B-AA6B-334A-9AAF-FFB0B54094F3}">
  <sheetPr codeName="Sheet9"/>
  <dimension ref="A1:G68"/>
  <sheetViews>
    <sheetView workbookViewId="0">
      <selection activeCell="F62" sqref="F62"/>
    </sheetView>
  </sheetViews>
  <sheetFormatPr baseColWidth="10" defaultColWidth="8.83203125" defaultRowHeight="16"/>
  <cols>
    <col min="1" max="1" width="7" customWidth="1"/>
    <col min="2" max="2" width="4" customWidth="1"/>
    <col min="3" max="3" width="2" customWidth="1"/>
    <col min="4" max="4" width="55" customWidth="1"/>
    <col min="5" max="5" width="40" customWidth="1"/>
    <col min="6" max="7" width="15" customWidth="1"/>
  </cols>
  <sheetData>
    <row r="1" spans="1:7" ht="30" customHeight="1">
      <c r="A1" s="150" t="s">
        <v>221</v>
      </c>
      <c r="B1" s="170"/>
      <c r="C1" s="170"/>
      <c r="D1" s="170"/>
      <c r="E1" s="170"/>
      <c r="F1" s="170"/>
      <c r="G1" s="170"/>
    </row>
    <row r="2" spans="1:7" ht="6" customHeight="1"/>
    <row r="3" spans="1:7" ht="20" customHeight="1">
      <c r="A3" s="74" t="s">
        <v>3</v>
      </c>
      <c r="B3" s="74" t="s">
        <v>59</v>
      </c>
      <c r="D3" s="74" t="s">
        <v>395</v>
      </c>
      <c r="E3" s="74" t="s">
        <v>396</v>
      </c>
      <c r="F3" s="74" t="s">
        <v>55</v>
      </c>
      <c r="G3" s="74" t="s">
        <v>397</v>
      </c>
    </row>
    <row r="4" spans="1:7" ht="6" customHeight="1"/>
    <row r="5" spans="1:7" ht="6" customHeight="1"/>
    <row r="6" spans="1:7" ht="22" customHeight="1">
      <c r="A6" s="173" t="s">
        <v>523</v>
      </c>
      <c r="B6" s="168"/>
      <c r="C6" s="168"/>
      <c r="D6" s="168"/>
      <c r="E6" s="168"/>
      <c r="F6" s="168"/>
      <c r="G6" s="169"/>
    </row>
    <row r="7" spans="1:7" ht="28" customHeight="1">
      <c r="A7" s="87" t="s">
        <v>222</v>
      </c>
      <c r="B7" s="77"/>
      <c r="D7" s="172" t="s">
        <v>524</v>
      </c>
      <c r="E7" s="169"/>
      <c r="F7" s="88" t="str">
        <f>IF(OR(F8="n.e.",F8=""),"not evaluated","evaluated")</f>
        <v>not evaluated</v>
      </c>
      <c r="G7" s="77"/>
    </row>
    <row r="8" spans="1:7" ht="80" customHeight="1">
      <c r="A8" s="77"/>
      <c r="B8" s="77"/>
      <c r="D8" s="80" t="s">
        <v>834</v>
      </c>
      <c r="E8" s="80" t="s">
        <v>835</v>
      </c>
      <c r="F8" s="89" t="s">
        <v>393</v>
      </c>
      <c r="G8" s="81" t="s">
        <v>400</v>
      </c>
    </row>
    <row r="9" spans="1:7" ht="28" customHeight="1">
      <c r="A9" s="87" t="s">
        <v>224</v>
      </c>
      <c r="B9" s="79" t="s">
        <v>59</v>
      </c>
      <c r="D9" s="172" t="s">
        <v>525</v>
      </c>
      <c r="E9" s="169"/>
      <c r="F9" s="88" t="str">
        <f>IF(OR(F10="n.e.",F10=""),"not evaluated","evaluated")</f>
        <v>not evaluated</v>
      </c>
      <c r="G9" s="77"/>
    </row>
    <row r="10" spans="1:7" ht="80" customHeight="1">
      <c r="A10" s="77"/>
      <c r="B10" s="77"/>
      <c r="D10" s="80" t="s">
        <v>836</v>
      </c>
      <c r="E10" s="80" t="s">
        <v>837</v>
      </c>
      <c r="F10" s="89" t="s">
        <v>393</v>
      </c>
      <c r="G10" s="81" t="s">
        <v>400</v>
      </c>
    </row>
    <row r="12" spans="1:7" ht="22" customHeight="1">
      <c r="A12" s="173" t="s">
        <v>526</v>
      </c>
      <c r="B12" s="168"/>
      <c r="C12" s="168"/>
      <c r="D12" s="168"/>
      <c r="E12" s="168"/>
      <c r="F12" s="168"/>
      <c r="G12" s="169"/>
    </row>
    <row r="13" spans="1:7" ht="28" customHeight="1">
      <c r="A13" s="87" t="s">
        <v>226</v>
      </c>
      <c r="B13" s="79" t="s">
        <v>59</v>
      </c>
      <c r="D13" s="172" t="s">
        <v>527</v>
      </c>
      <c r="E13" s="169"/>
      <c r="F13" s="88" t="str">
        <f>IF(OR(F14="n.e.",F14=""),"not evaluated","evaluated")</f>
        <v>not evaluated</v>
      </c>
      <c r="G13" s="77"/>
    </row>
    <row r="14" spans="1:7" ht="80" customHeight="1">
      <c r="A14" s="77"/>
      <c r="B14" s="77"/>
      <c r="D14" s="80" t="s">
        <v>838</v>
      </c>
      <c r="E14" s="80" t="s">
        <v>839</v>
      </c>
      <c r="F14" s="89" t="s">
        <v>393</v>
      </c>
      <c r="G14" s="81" t="s">
        <v>400</v>
      </c>
    </row>
    <row r="15" spans="1:7" ht="28" customHeight="1">
      <c r="A15" s="87" t="s">
        <v>228</v>
      </c>
      <c r="B15" s="77"/>
      <c r="D15" s="172" t="s">
        <v>528</v>
      </c>
      <c r="E15" s="169"/>
      <c r="F15" s="88" t="str">
        <f>IF(OR(F16="n.e.",F16=""),"not evaluated","evaluated")</f>
        <v>not evaluated</v>
      </c>
      <c r="G15" s="77"/>
    </row>
    <row r="16" spans="1:7" ht="80" customHeight="1">
      <c r="A16" s="77"/>
      <c r="B16" s="77"/>
      <c r="D16" s="80" t="s">
        <v>840</v>
      </c>
      <c r="E16" s="80" t="s">
        <v>841</v>
      </c>
      <c r="F16" s="89" t="s">
        <v>393</v>
      </c>
      <c r="G16" s="81" t="s">
        <v>400</v>
      </c>
    </row>
    <row r="17" spans="1:7" ht="28" customHeight="1">
      <c r="A17" s="87" t="s">
        <v>230</v>
      </c>
      <c r="B17" s="77"/>
      <c r="D17" s="172" t="s">
        <v>529</v>
      </c>
      <c r="E17" s="169"/>
      <c r="F17" s="88" t="str">
        <f>IF(OR(F18="n.e.",F18=""),"not evaluated","evaluated")</f>
        <v>not evaluated</v>
      </c>
      <c r="G17" s="77"/>
    </row>
    <row r="18" spans="1:7" ht="80" customHeight="1">
      <c r="A18" s="77"/>
      <c r="B18" s="77"/>
      <c r="D18" s="80" t="s">
        <v>842</v>
      </c>
      <c r="E18" s="80" t="s">
        <v>843</v>
      </c>
      <c r="F18" s="89" t="s">
        <v>393</v>
      </c>
      <c r="G18" s="81" t="s">
        <v>400</v>
      </c>
    </row>
    <row r="19" spans="1:7" ht="28" customHeight="1">
      <c r="A19" s="87" t="s">
        <v>232</v>
      </c>
      <c r="B19" s="79" t="s">
        <v>59</v>
      </c>
      <c r="D19" s="172" t="s">
        <v>530</v>
      </c>
      <c r="E19" s="169"/>
      <c r="F19" s="88" t="str">
        <f>IF(OR(F20="n.e.",F20=""),"not evaluated","evaluated")</f>
        <v>not evaluated</v>
      </c>
      <c r="G19" s="77"/>
    </row>
    <row r="20" spans="1:7" ht="80" customHeight="1">
      <c r="A20" s="77"/>
      <c r="B20" s="77"/>
      <c r="D20" s="80" t="s">
        <v>844</v>
      </c>
      <c r="E20" s="80" t="s">
        <v>845</v>
      </c>
      <c r="F20" s="89" t="s">
        <v>393</v>
      </c>
      <c r="G20" s="81" t="s">
        <v>400</v>
      </c>
    </row>
    <row r="21" spans="1:7" ht="28" customHeight="1">
      <c r="A21" s="87" t="s">
        <v>234</v>
      </c>
      <c r="B21" s="77"/>
      <c r="D21" s="172" t="s">
        <v>531</v>
      </c>
      <c r="E21" s="169"/>
      <c r="F21" s="88" t="str">
        <f>IF(OR(F22="n.e.",F22=""),"not evaluated","evaluated")</f>
        <v>not evaluated</v>
      </c>
      <c r="G21" s="77"/>
    </row>
    <row r="22" spans="1:7" ht="80" customHeight="1">
      <c r="A22" s="77"/>
      <c r="B22" s="77"/>
      <c r="D22" s="80" t="s">
        <v>846</v>
      </c>
      <c r="E22" s="80" t="s">
        <v>847</v>
      </c>
      <c r="F22" s="89" t="s">
        <v>393</v>
      </c>
      <c r="G22" s="81" t="s">
        <v>400</v>
      </c>
    </row>
    <row r="24" spans="1:7" ht="22" customHeight="1">
      <c r="A24" s="173" t="s">
        <v>532</v>
      </c>
      <c r="B24" s="168"/>
      <c r="C24" s="168"/>
      <c r="D24" s="168"/>
      <c r="E24" s="168"/>
      <c r="F24" s="168"/>
      <c r="G24" s="169"/>
    </row>
    <row r="25" spans="1:7" ht="28" customHeight="1">
      <c r="A25" s="87" t="s">
        <v>236</v>
      </c>
      <c r="B25" s="77"/>
      <c r="D25" s="172" t="s">
        <v>533</v>
      </c>
      <c r="E25" s="169"/>
      <c r="F25" s="88" t="str">
        <f>IF(OR(F26="n.e.",F26=""),"not evaluated","evaluated")</f>
        <v>not evaluated</v>
      </c>
      <c r="G25" s="77"/>
    </row>
    <row r="26" spans="1:7" ht="80" customHeight="1">
      <c r="A26" s="77"/>
      <c r="B26" s="77"/>
      <c r="D26" s="80" t="s">
        <v>721</v>
      </c>
      <c r="E26" s="80" t="s">
        <v>848</v>
      </c>
      <c r="F26" s="89" t="s">
        <v>393</v>
      </c>
      <c r="G26" s="81" t="s">
        <v>400</v>
      </c>
    </row>
    <row r="27" spans="1:7" ht="28" customHeight="1">
      <c r="A27" s="87" t="s">
        <v>237</v>
      </c>
      <c r="B27" s="77"/>
      <c r="D27" s="172" t="s">
        <v>534</v>
      </c>
      <c r="E27" s="169"/>
      <c r="F27" s="88" t="str">
        <f>IF(OR(F28="n.e.",F28=""),"not evaluated","evaluated")</f>
        <v>not evaluated</v>
      </c>
      <c r="G27" s="77"/>
    </row>
    <row r="28" spans="1:7" ht="80" customHeight="1">
      <c r="A28" s="77"/>
      <c r="B28" s="77"/>
      <c r="D28" s="80" t="s">
        <v>849</v>
      </c>
      <c r="E28" s="80" t="s">
        <v>850</v>
      </c>
      <c r="F28" s="89" t="s">
        <v>393</v>
      </c>
      <c r="G28" s="81" t="s">
        <v>400</v>
      </c>
    </row>
    <row r="29" spans="1:7" ht="28" customHeight="1">
      <c r="A29" s="87" t="s">
        <v>238</v>
      </c>
      <c r="B29" s="77"/>
      <c r="D29" s="172" t="s">
        <v>535</v>
      </c>
      <c r="E29" s="169"/>
      <c r="F29" s="88" t="str">
        <f>IF(OR(F30="n.e.",F30=""),"not evaluated","evaluated")</f>
        <v>not evaluated</v>
      </c>
      <c r="G29" s="77"/>
    </row>
    <row r="30" spans="1:7" ht="80" customHeight="1">
      <c r="A30" s="77"/>
      <c r="B30" s="77"/>
      <c r="D30" s="80" t="s">
        <v>851</v>
      </c>
      <c r="E30" s="80" t="s">
        <v>852</v>
      </c>
      <c r="F30" s="89" t="s">
        <v>393</v>
      </c>
      <c r="G30" s="81" t="s">
        <v>400</v>
      </c>
    </row>
    <row r="31" spans="1:7" ht="28" customHeight="1">
      <c r="A31" s="87" t="s">
        <v>240</v>
      </c>
      <c r="B31" s="79" t="s">
        <v>59</v>
      </c>
      <c r="D31" s="172" t="s">
        <v>536</v>
      </c>
      <c r="E31" s="169"/>
      <c r="F31" s="88" t="str">
        <f>IF(OR(F32="n.e.",F32=""),"not evaluated","evaluated")</f>
        <v>not evaluated</v>
      </c>
      <c r="G31" s="77"/>
    </row>
    <row r="32" spans="1:7" ht="80" customHeight="1">
      <c r="A32" s="77"/>
      <c r="B32" s="77"/>
      <c r="D32" s="80" t="s">
        <v>853</v>
      </c>
      <c r="E32" s="80" t="s">
        <v>854</v>
      </c>
      <c r="F32" s="89" t="s">
        <v>393</v>
      </c>
      <c r="G32" s="81" t="s">
        <v>400</v>
      </c>
    </row>
    <row r="34" spans="1:7" ht="22" customHeight="1">
      <c r="A34" s="173" t="s">
        <v>537</v>
      </c>
      <c r="B34" s="168"/>
      <c r="C34" s="168"/>
      <c r="D34" s="168"/>
      <c r="E34" s="168"/>
      <c r="F34" s="168"/>
      <c r="G34" s="169"/>
    </row>
    <row r="35" spans="1:7" ht="28" customHeight="1">
      <c r="A35" s="87" t="s">
        <v>241</v>
      </c>
      <c r="B35" s="79" t="s">
        <v>59</v>
      </c>
      <c r="D35" s="172" t="s">
        <v>538</v>
      </c>
      <c r="E35" s="169"/>
      <c r="F35" s="88" t="str">
        <f>IF(OR(F36="n.e.",F36=""),"not evaluated","evaluated")</f>
        <v>not evaluated</v>
      </c>
      <c r="G35" s="77"/>
    </row>
    <row r="36" spans="1:7" ht="80" customHeight="1">
      <c r="A36" s="77"/>
      <c r="B36" s="77"/>
      <c r="D36" s="80" t="s">
        <v>855</v>
      </c>
      <c r="E36" s="80" t="s">
        <v>856</v>
      </c>
      <c r="F36" s="89" t="s">
        <v>393</v>
      </c>
      <c r="G36" s="81" t="s">
        <v>400</v>
      </c>
    </row>
    <row r="37" spans="1:7" ht="28" customHeight="1">
      <c r="A37" s="87" t="s">
        <v>243</v>
      </c>
      <c r="B37" s="77"/>
      <c r="D37" s="172" t="s">
        <v>539</v>
      </c>
      <c r="E37" s="169"/>
      <c r="F37" s="88" t="str">
        <f>IF(OR(F38="n.e.",F38=""),"not evaluated","evaluated")</f>
        <v>not evaluated</v>
      </c>
      <c r="G37" s="77"/>
    </row>
    <row r="38" spans="1:7" ht="80" customHeight="1">
      <c r="A38" s="77"/>
      <c r="B38" s="77"/>
      <c r="D38" s="80" t="s">
        <v>857</v>
      </c>
      <c r="E38" s="80" t="s">
        <v>858</v>
      </c>
      <c r="F38" s="89" t="s">
        <v>393</v>
      </c>
      <c r="G38" s="81" t="s">
        <v>400</v>
      </c>
    </row>
    <row r="39" spans="1:7" ht="28" customHeight="1">
      <c r="A39" s="87" t="s">
        <v>245</v>
      </c>
      <c r="B39" s="79" t="s">
        <v>59</v>
      </c>
      <c r="D39" s="172" t="s">
        <v>540</v>
      </c>
      <c r="E39" s="169"/>
      <c r="F39" s="88" t="str">
        <f>IF(OR(F40="n.e.",F40=""),"not evaluated","evaluated")</f>
        <v>not evaluated</v>
      </c>
      <c r="G39" s="77"/>
    </row>
    <row r="40" spans="1:7" ht="80" customHeight="1">
      <c r="A40" s="77"/>
      <c r="B40" s="77"/>
      <c r="D40" s="80" t="s">
        <v>859</v>
      </c>
      <c r="E40" s="80" t="s">
        <v>860</v>
      </c>
      <c r="F40" s="89" t="s">
        <v>393</v>
      </c>
      <c r="G40" s="81" t="s">
        <v>400</v>
      </c>
    </row>
    <row r="41" spans="1:7" ht="28" customHeight="1">
      <c r="A41" s="87" t="s">
        <v>247</v>
      </c>
      <c r="B41" s="77"/>
      <c r="D41" s="172" t="s">
        <v>541</v>
      </c>
      <c r="E41" s="169"/>
      <c r="F41" s="88" t="str">
        <f>IF(OR(F42="n.e.",F42=""),"not evaluated","evaluated")</f>
        <v>not evaluated</v>
      </c>
      <c r="G41" s="77"/>
    </row>
    <row r="42" spans="1:7" ht="80" customHeight="1">
      <c r="A42" s="77"/>
      <c r="B42" s="77"/>
      <c r="D42" s="80" t="s">
        <v>861</v>
      </c>
      <c r="E42" s="80" t="s">
        <v>862</v>
      </c>
      <c r="F42" s="89" t="s">
        <v>393</v>
      </c>
      <c r="G42" s="81" t="s">
        <v>400</v>
      </c>
    </row>
    <row r="44" spans="1:7" ht="22" customHeight="1">
      <c r="A44" s="173" t="s">
        <v>542</v>
      </c>
      <c r="B44" s="168"/>
      <c r="C44" s="168"/>
      <c r="D44" s="168"/>
      <c r="E44" s="168"/>
      <c r="F44" s="168"/>
      <c r="G44" s="169"/>
    </row>
    <row r="45" spans="1:7" ht="28" customHeight="1">
      <c r="A45" s="87" t="s">
        <v>249</v>
      </c>
      <c r="B45" s="79" t="s">
        <v>59</v>
      </c>
      <c r="D45" s="172" t="s">
        <v>543</v>
      </c>
      <c r="E45" s="169"/>
      <c r="F45" s="88" t="str">
        <f>IF(OR(F46="n.e.",F46=""),"not evaluated","evaluated")</f>
        <v>not evaluated</v>
      </c>
      <c r="G45" s="77"/>
    </row>
    <row r="46" spans="1:7" ht="80" customHeight="1">
      <c r="A46" s="77"/>
      <c r="B46" s="77"/>
      <c r="D46" s="80" t="s">
        <v>863</v>
      </c>
      <c r="E46" s="80" t="s">
        <v>864</v>
      </c>
      <c r="F46" s="89" t="s">
        <v>393</v>
      </c>
      <c r="G46" s="81" t="s">
        <v>400</v>
      </c>
    </row>
    <row r="47" spans="1:7" ht="28" customHeight="1">
      <c r="A47" s="87" t="s">
        <v>251</v>
      </c>
      <c r="B47" s="77"/>
      <c r="D47" s="172" t="s">
        <v>544</v>
      </c>
      <c r="E47" s="169"/>
      <c r="F47" s="88" t="str">
        <f>IF(OR(F48="n.e.",F48=""),"not evaluated","evaluated")</f>
        <v>not evaluated</v>
      </c>
      <c r="G47" s="77"/>
    </row>
    <row r="48" spans="1:7" ht="80" customHeight="1">
      <c r="A48" s="77"/>
      <c r="B48" s="77"/>
      <c r="D48" s="80" t="s">
        <v>865</v>
      </c>
      <c r="E48" s="80" t="s">
        <v>866</v>
      </c>
      <c r="F48" s="89" t="s">
        <v>393</v>
      </c>
      <c r="G48" s="81" t="s">
        <v>400</v>
      </c>
    </row>
    <row r="49" spans="1:7" ht="28" customHeight="1">
      <c r="A49" s="87" t="s">
        <v>252</v>
      </c>
      <c r="B49" s="79" t="s">
        <v>59</v>
      </c>
      <c r="D49" s="172" t="s">
        <v>545</v>
      </c>
      <c r="E49" s="169"/>
      <c r="F49" s="88" t="str">
        <f>IF(OR(F50="n.e.",F50=""),"not evaluated","evaluated")</f>
        <v>not evaluated</v>
      </c>
      <c r="G49" s="77"/>
    </row>
    <row r="50" spans="1:7" ht="80" customHeight="1">
      <c r="A50" s="77"/>
      <c r="B50" s="77"/>
      <c r="D50" s="80" t="s">
        <v>781</v>
      </c>
      <c r="E50" s="80" t="s">
        <v>867</v>
      </c>
      <c r="F50" s="89" t="s">
        <v>393</v>
      </c>
      <c r="G50" s="81" t="s">
        <v>400</v>
      </c>
    </row>
    <row r="51" spans="1:7" ht="28" customHeight="1">
      <c r="A51" s="87" t="s">
        <v>253</v>
      </c>
      <c r="B51" s="77"/>
      <c r="D51" s="172" t="s">
        <v>546</v>
      </c>
      <c r="E51" s="169"/>
      <c r="F51" s="88" t="str">
        <f>IF(OR(F52="n.e.",F52=""),"not evaluated","evaluated")</f>
        <v>not evaluated</v>
      </c>
      <c r="G51" s="77"/>
    </row>
    <row r="52" spans="1:7" ht="80" customHeight="1">
      <c r="A52" s="77"/>
      <c r="B52" s="77"/>
      <c r="D52" s="80" t="s">
        <v>868</v>
      </c>
      <c r="E52" s="80" t="s">
        <v>869</v>
      </c>
      <c r="F52" s="89" t="s">
        <v>393</v>
      </c>
      <c r="G52" s="81" t="s">
        <v>400</v>
      </c>
    </row>
    <row r="53" spans="1:7" ht="28" customHeight="1">
      <c r="A53" s="87" t="s">
        <v>254</v>
      </c>
      <c r="B53" s="77"/>
      <c r="D53" s="172" t="s">
        <v>547</v>
      </c>
      <c r="E53" s="169"/>
      <c r="F53" s="88" t="str">
        <f>IF(OR(F54="n.e.",F54=""),"not evaluated","evaluated")</f>
        <v>not evaluated</v>
      </c>
      <c r="G53" s="77"/>
    </row>
    <row r="54" spans="1:7" ht="80" customHeight="1">
      <c r="A54" s="77"/>
      <c r="B54" s="77"/>
      <c r="D54" s="80" t="s">
        <v>870</v>
      </c>
      <c r="E54" s="80" t="s">
        <v>871</v>
      </c>
      <c r="F54" s="89" t="s">
        <v>393</v>
      </c>
      <c r="G54" s="81" t="s">
        <v>400</v>
      </c>
    </row>
    <row r="55" spans="1:7" ht="28" customHeight="1">
      <c r="A55" s="87" t="s">
        <v>256</v>
      </c>
      <c r="B55" s="77"/>
      <c r="D55" s="172" t="s">
        <v>548</v>
      </c>
      <c r="E55" s="169"/>
      <c r="F55" s="88" t="str">
        <f>IF(OR(F56="n.e.",F56=""),"not evaluated","evaluated")</f>
        <v>not evaluated</v>
      </c>
      <c r="G55" s="77"/>
    </row>
    <row r="56" spans="1:7" ht="80" customHeight="1">
      <c r="A56" s="77"/>
      <c r="B56" s="77"/>
      <c r="D56" s="80" t="s">
        <v>872</v>
      </c>
      <c r="E56" s="80" t="s">
        <v>873</v>
      </c>
      <c r="F56" s="89" t="s">
        <v>393</v>
      </c>
      <c r="G56" s="81" t="s">
        <v>400</v>
      </c>
    </row>
    <row r="58" spans="1:7" ht="22" customHeight="1">
      <c r="A58" s="173" t="s">
        <v>549</v>
      </c>
      <c r="B58" s="168"/>
      <c r="C58" s="168"/>
      <c r="D58" s="168"/>
      <c r="E58" s="168"/>
      <c r="F58" s="168"/>
      <c r="G58" s="169"/>
    </row>
    <row r="59" spans="1:7" ht="28" customHeight="1">
      <c r="A59" s="87" t="s">
        <v>258</v>
      </c>
      <c r="B59" s="79" t="s">
        <v>59</v>
      </c>
      <c r="D59" s="172" t="s">
        <v>550</v>
      </c>
      <c r="E59" s="169"/>
      <c r="F59" s="88" t="str">
        <f>IF(OR(F60="n.e.",F60=""),"not evaluated","evaluated")</f>
        <v>not evaluated</v>
      </c>
      <c r="G59" s="77"/>
    </row>
    <row r="60" spans="1:7" ht="80" customHeight="1">
      <c r="A60" s="77"/>
      <c r="B60" s="77"/>
      <c r="D60" s="80" t="s">
        <v>874</v>
      </c>
      <c r="E60" s="80" t="s">
        <v>875</v>
      </c>
      <c r="F60" s="89" t="s">
        <v>393</v>
      </c>
      <c r="G60" s="81" t="s">
        <v>400</v>
      </c>
    </row>
    <row r="61" spans="1:7" ht="28" customHeight="1">
      <c r="A61" s="87" t="s">
        <v>259</v>
      </c>
      <c r="B61" s="77"/>
      <c r="D61" s="172" t="s">
        <v>551</v>
      </c>
      <c r="E61" s="169"/>
      <c r="F61" s="88" t="str">
        <f>IF(OR(F62="n.e.",F62=""),"not evaluated","evaluated")</f>
        <v>not evaluated</v>
      </c>
      <c r="G61" s="77"/>
    </row>
    <row r="62" spans="1:7" ht="80" customHeight="1">
      <c r="A62" s="77"/>
      <c r="B62" s="77"/>
      <c r="D62" s="80" t="s">
        <v>876</v>
      </c>
      <c r="E62" s="80" t="s">
        <v>833</v>
      </c>
      <c r="F62" s="89" t="s">
        <v>393</v>
      </c>
      <c r="G62" s="81" t="s">
        <v>400</v>
      </c>
    </row>
    <row r="64" spans="1:7">
      <c r="D64" s="90">
        <f>COUNT(F8,F10,F14,F16,F18,F20,F22,F26,F28,F30,F32,F36,F38,F40,F42,F46,F48,F50,F52,F54,F56,F60,F62)</f>
        <v>0</v>
      </c>
      <c r="E64" s="90" t="s">
        <v>552</v>
      </c>
      <c r="F64" s="91" t="str">
        <f>IF(D64=0,"n.e.",SUM(F8,F10,F14,F16,F18,F20,F22,F26,F28,F30,F32,F36,F38,F40,F42,F46,F48,F50,F52,F54,F56,F60,F62)/(D64*10))</f>
        <v>n.e.</v>
      </c>
    </row>
    <row r="66" spans="4:6">
      <c r="D66">
        <f>COUNT(F10,F14,F20,F32,F36,F40,F46,F50,F60)</f>
        <v>0</v>
      </c>
      <c r="E66" s="92" t="s">
        <v>429</v>
      </c>
      <c r="F66" s="83" t="str">
        <f>IF(D66=0,"n.e.",SUM(F10,F14,F20,F32,F36,F40,F46,F50,F60)/(D66*10))</f>
        <v>n.e.</v>
      </c>
    </row>
    <row r="67" spans="4:6">
      <c r="E67" t="s">
        <v>430</v>
      </c>
      <c r="F67" t="str">
        <f>IF(COUNT(F10,F14,F20,F32,F36,F40,F46,F50,F60)=0,"n.e.",MIN(F10,F14,F20,F32,F36,F40,F46,F50,F60))</f>
        <v>n.e.</v>
      </c>
    </row>
    <row r="68" spans="4:6">
      <c r="E68" t="s">
        <v>431</v>
      </c>
      <c r="F68" t="str">
        <f>IF(COUNT(F8,F10,F14,F16,F18,F20,F22,F26,F28,F30,F32,F36,F38,F40,F42,F46,F48,F50,F52,F54,F56,F60,F62)=0,"n.e.",MIN(F8,F10,F14,F16,F18,F20,F22,F26,F28,F30,F32,F36,F38,F40,F42,F46,F48,F50,F52,F54,F56,F60,F62))</f>
        <v>n.e.</v>
      </c>
    </row>
  </sheetData>
  <mergeCells count="30">
    <mergeCell ref="D45:E45"/>
    <mergeCell ref="D21:E21"/>
    <mergeCell ref="A44:G44"/>
    <mergeCell ref="D61:E61"/>
    <mergeCell ref="D41:E41"/>
    <mergeCell ref="D17:E17"/>
    <mergeCell ref="D53:E53"/>
    <mergeCell ref="D47:E47"/>
    <mergeCell ref="D39:E39"/>
    <mergeCell ref="D55:E55"/>
    <mergeCell ref="D51:E51"/>
    <mergeCell ref="D59:E59"/>
    <mergeCell ref="A58:G58"/>
    <mergeCell ref="D49:E49"/>
    <mergeCell ref="D27:E27"/>
    <mergeCell ref="A34:G34"/>
    <mergeCell ref="A24:G24"/>
    <mergeCell ref="D19:E19"/>
    <mergeCell ref="D31:E31"/>
    <mergeCell ref="A1:G1"/>
    <mergeCell ref="D7:E7"/>
    <mergeCell ref="A6:G6"/>
    <mergeCell ref="D37:E37"/>
    <mergeCell ref="D9:E9"/>
    <mergeCell ref="D25:E25"/>
    <mergeCell ref="D15:E15"/>
    <mergeCell ref="D29:E29"/>
    <mergeCell ref="A12:G12"/>
    <mergeCell ref="D35:E35"/>
    <mergeCell ref="D13:E13"/>
  </mergeCells>
  <phoneticPr fontId="20" type="noConversion"/>
  <conditionalFormatting sqref="F8">
    <cfRule type="cellIs" dxfId="449" priority="133" operator="equal">
      <formula>10</formula>
    </cfRule>
    <cfRule type="cellIs" dxfId="448" priority="134" operator="equal">
      <formula>8</formula>
    </cfRule>
    <cfRule type="cellIs" dxfId="447" priority="135" operator="equal">
      <formula>6</formula>
    </cfRule>
    <cfRule type="cellIs" dxfId="446" priority="136" operator="equal">
      <formula>4</formula>
    </cfRule>
    <cfRule type="cellIs" dxfId="445" priority="137" operator="equal">
      <formula>0</formula>
    </cfRule>
    <cfRule type="cellIs" dxfId="444" priority="138" operator="equal">
      <formula>2</formula>
    </cfRule>
  </conditionalFormatting>
  <conditionalFormatting sqref="F10">
    <cfRule type="cellIs" dxfId="443" priority="127" operator="equal">
      <formula>10</formula>
    </cfRule>
    <cfRule type="cellIs" dxfId="442" priority="128" operator="equal">
      <formula>8</formula>
    </cfRule>
    <cfRule type="cellIs" dxfId="441" priority="129" operator="equal">
      <formula>6</formula>
    </cfRule>
    <cfRule type="cellIs" dxfId="440" priority="130" operator="equal">
      <formula>4</formula>
    </cfRule>
    <cfRule type="cellIs" dxfId="439" priority="131" operator="equal">
      <formula>0</formula>
    </cfRule>
    <cfRule type="cellIs" dxfId="438" priority="132" operator="equal">
      <formula>2</formula>
    </cfRule>
  </conditionalFormatting>
  <conditionalFormatting sqref="F14">
    <cfRule type="cellIs" dxfId="437" priority="121" operator="equal">
      <formula>10</formula>
    </cfRule>
    <cfRule type="cellIs" dxfId="436" priority="122" operator="equal">
      <formula>8</formula>
    </cfRule>
    <cfRule type="cellIs" dxfId="435" priority="123" operator="equal">
      <formula>6</formula>
    </cfRule>
    <cfRule type="cellIs" dxfId="434" priority="124" operator="equal">
      <formula>4</formula>
    </cfRule>
    <cfRule type="cellIs" dxfId="433" priority="125" operator="equal">
      <formula>0</formula>
    </cfRule>
    <cfRule type="cellIs" dxfId="432" priority="126" operator="equal">
      <formula>2</formula>
    </cfRule>
  </conditionalFormatting>
  <conditionalFormatting sqref="F16">
    <cfRule type="cellIs" dxfId="431" priority="115" operator="equal">
      <formula>10</formula>
    </cfRule>
    <cfRule type="cellIs" dxfId="430" priority="116" operator="equal">
      <formula>8</formula>
    </cfRule>
    <cfRule type="cellIs" dxfId="429" priority="117" operator="equal">
      <formula>6</formula>
    </cfRule>
    <cfRule type="cellIs" dxfId="428" priority="118" operator="equal">
      <formula>4</formula>
    </cfRule>
    <cfRule type="cellIs" dxfId="427" priority="119" operator="equal">
      <formula>0</formula>
    </cfRule>
    <cfRule type="cellIs" dxfId="426" priority="120" operator="equal">
      <formula>2</formula>
    </cfRule>
  </conditionalFormatting>
  <conditionalFormatting sqref="F18">
    <cfRule type="cellIs" dxfId="425" priority="109" operator="equal">
      <formula>10</formula>
    </cfRule>
    <cfRule type="cellIs" dxfId="424" priority="110" operator="equal">
      <formula>8</formula>
    </cfRule>
    <cfRule type="cellIs" dxfId="423" priority="111" operator="equal">
      <formula>6</formula>
    </cfRule>
    <cfRule type="cellIs" dxfId="422" priority="112" operator="equal">
      <formula>4</formula>
    </cfRule>
    <cfRule type="cellIs" dxfId="421" priority="113" operator="equal">
      <formula>0</formula>
    </cfRule>
    <cfRule type="cellIs" dxfId="420" priority="114" operator="equal">
      <formula>2</formula>
    </cfRule>
  </conditionalFormatting>
  <conditionalFormatting sqref="F20">
    <cfRule type="cellIs" dxfId="419" priority="103" operator="equal">
      <formula>10</formula>
    </cfRule>
    <cfRule type="cellIs" dxfId="418" priority="104" operator="equal">
      <formula>8</formula>
    </cfRule>
    <cfRule type="cellIs" dxfId="417" priority="105" operator="equal">
      <formula>6</formula>
    </cfRule>
    <cfRule type="cellIs" dxfId="416" priority="106" operator="equal">
      <formula>4</formula>
    </cfRule>
    <cfRule type="cellIs" dxfId="415" priority="107" operator="equal">
      <formula>0</formula>
    </cfRule>
    <cfRule type="cellIs" dxfId="414" priority="108" operator="equal">
      <formula>2</formula>
    </cfRule>
  </conditionalFormatting>
  <conditionalFormatting sqref="F22">
    <cfRule type="cellIs" dxfId="413" priority="97" operator="equal">
      <formula>10</formula>
    </cfRule>
    <cfRule type="cellIs" dxfId="412" priority="98" operator="equal">
      <formula>8</formula>
    </cfRule>
    <cfRule type="cellIs" dxfId="411" priority="99" operator="equal">
      <formula>6</formula>
    </cfRule>
    <cfRule type="cellIs" dxfId="410" priority="100" operator="equal">
      <formula>4</formula>
    </cfRule>
    <cfRule type="cellIs" dxfId="409" priority="101" operator="equal">
      <formula>0</formula>
    </cfRule>
    <cfRule type="cellIs" dxfId="408" priority="102" operator="equal">
      <formula>2</formula>
    </cfRule>
  </conditionalFormatting>
  <conditionalFormatting sqref="F26">
    <cfRule type="cellIs" dxfId="407" priority="91" operator="equal">
      <formula>10</formula>
    </cfRule>
    <cfRule type="cellIs" dxfId="406" priority="92" operator="equal">
      <formula>8</formula>
    </cfRule>
    <cfRule type="cellIs" dxfId="405" priority="93" operator="equal">
      <formula>6</formula>
    </cfRule>
    <cfRule type="cellIs" dxfId="404" priority="94" operator="equal">
      <formula>4</formula>
    </cfRule>
    <cfRule type="cellIs" dxfId="403" priority="95" operator="equal">
      <formula>0</formula>
    </cfRule>
    <cfRule type="cellIs" dxfId="402" priority="96" operator="equal">
      <formula>2</formula>
    </cfRule>
  </conditionalFormatting>
  <conditionalFormatting sqref="F28">
    <cfRule type="cellIs" dxfId="401" priority="85" operator="equal">
      <formula>10</formula>
    </cfRule>
    <cfRule type="cellIs" dxfId="400" priority="86" operator="equal">
      <formula>8</formula>
    </cfRule>
    <cfRule type="cellIs" dxfId="399" priority="87" operator="equal">
      <formula>6</formula>
    </cfRule>
    <cfRule type="cellIs" dxfId="398" priority="88" operator="equal">
      <formula>4</formula>
    </cfRule>
    <cfRule type="cellIs" dxfId="397" priority="89" operator="equal">
      <formula>0</formula>
    </cfRule>
    <cfRule type="cellIs" dxfId="396" priority="90" operator="equal">
      <formula>2</formula>
    </cfRule>
  </conditionalFormatting>
  <conditionalFormatting sqref="F30">
    <cfRule type="cellIs" dxfId="395" priority="79" operator="equal">
      <formula>10</formula>
    </cfRule>
    <cfRule type="cellIs" dxfId="394" priority="80" operator="equal">
      <formula>8</formula>
    </cfRule>
    <cfRule type="cellIs" dxfId="393" priority="81" operator="equal">
      <formula>6</formula>
    </cfRule>
    <cfRule type="cellIs" dxfId="392" priority="82" operator="equal">
      <formula>4</formula>
    </cfRule>
    <cfRule type="cellIs" dxfId="391" priority="83" operator="equal">
      <formula>0</formula>
    </cfRule>
    <cfRule type="cellIs" dxfId="390" priority="84" operator="equal">
      <formula>2</formula>
    </cfRule>
  </conditionalFormatting>
  <conditionalFormatting sqref="F32">
    <cfRule type="cellIs" dxfId="389" priority="73" operator="equal">
      <formula>10</formula>
    </cfRule>
    <cfRule type="cellIs" dxfId="388" priority="74" operator="equal">
      <formula>8</formula>
    </cfRule>
    <cfRule type="cellIs" dxfId="387" priority="75" operator="equal">
      <formula>6</formula>
    </cfRule>
    <cfRule type="cellIs" dxfId="386" priority="76" operator="equal">
      <formula>4</formula>
    </cfRule>
    <cfRule type="cellIs" dxfId="385" priority="77" operator="equal">
      <formula>0</formula>
    </cfRule>
    <cfRule type="cellIs" dxfId="384" priority="78" operator="equal">
      <formula>2</formula>
    </cfRule>
  </conditionalFormatting>
  <conditionalFormatting sqref="F36">
    <cfRule type="cellIs" dxfId="383" priority="67" operator="equal">
      <formula>10</formula>
    </cfRule>
    <cfRule type="cellIs" dxfId="382" priority="68" operator="equal">
      <formula>8</formula>
    </cfRule>
    <cfRule type="cellIs" dxfId="381" priority="69" operator="equal">
      <formula>6</formula>
    </cfRule>
    <cfRule type="cellIs" dxfId="380" priority="70" operator="equal">
      <formula>4</formula>
    </cfRule>
    <cfRule type="cellIs" dxfId="379" priority="71" operator="equal">
      <formula>0</formula>
    </cfRule>
    <cfRule type="cellIs" dxfId="378" priority="72" operator="equal">
      <formula>2</formula>
    </cfRule>
  </conditionalFormatting>
  <conditionalFormatting sqref="F38">
    <cfRule type="cellIs" dxfId="377" priority="61" operator="equal">
      <formula>10</formula>
    </cfRule>
    <cfRule type="cellIs" dxfId="376" priority="62" operator="equal">
      <formula>8</formula>
    </cfRule>
    <cfRule type="cellIs" dxfId="375" priority="63" operator="equal">
      <formula>6</formula>
    </cfRule>
    <cfRule type="cellIs" dxfId="374" priority="64" operator="equal">
      <formula>4</formula>
    </cfRule>
    <cfRule type="cellIs" dxfId="373" priority="65" operator="equal">
      <formula>0</formula>
    </cfRule>
    <cfRule type="cellIs" dxfId="372" priority="66" operator="equal">
      <formula>2</formula>
    </cfRule>
  </conditionalFormatting>
  <conditionalFormatting sqref="F40">
    <cfRule type="cellIs" dxfId="371" priority="55" operator="equal">
      <formula>10</formula>
    </cfRule>
    <cfRule type="cellIs" dxfId="370" priority="56" operator="equal">
      <formula>8</formula>
    </cfRule>
    <cfRule type="cellIs" dxfId="369" priority="57" operator="equal">
      <formula>6</formula>
    </cfRule>
    <cfRule type="cellIs" dxfId="368" priority="58" operator="equal">
      <formula>4</formula>
    </cfRule>
    <cfRule type="cellIs" dxfId="367" priority="59" operator="equal">
      <formula>0</formula>
    </cfRule>
    <cfRule type="cellIs" dxfId="366" priority="60" operator="equal">
      <formula>2</formula>
    </cfRule>
  </conditionalFormatting>
  <conditionalFormatting sqref="F42">
    <cfRule type="cellIs" dxfId="365" priority="49" operator="equal">
      <formula>10</formula>
    </cfRule>
    <cfRule type="cellIs" dxfId="364" priority="50" operator="equal">
      <formula>8</formula>
    </cfRule>
    <cfRule type="cellIs" dxfId="363" priority="51" operator="equal">
      <formula>6</formula>
    </cfRule>
    <cfRule type="cellIs" dxfId="362" priority="52" operator="equal">
      <formula>4</formula>
    </cfRule>
    <cfRule type="cellIs" dxfId="361" priority="53" operator="equal">
      <formula>0</formula>
    </cfRule>
    <cfRule type="cellIs" dxfId="360" priority="54" operator="equal">
      <formula>2</formula>
    </cfRule>
  </conditionalFormatting>
  <conditionalFormatting sqref="F46">
    <cfRule type="cellIs" dxfId="359" priority="43" operator="equal">
      <formula>10</formula>
    </cfRule>
    <cfRule type="cellIs" dxfId="358" priority="44" operator="equal">
      <formula>8</formula>
    </cfRule>
    <cfRule type="cellIs" dxfId="357" priority="45" operator="equal">
      <formula>6</formula>
    </cfRule>
    <cfRule type="cellIs" dxfId="356" priority="46" operator="equal">
      <formula>4</formula>
    </cfRule>
    <cfRule type="cellIs" dxfId="355" priority="47" operator="equal">
      <formula>0</formula>
    </cfRule>
    <cfRule type="cellIs" dxfId="354" priority="48" operator="equal">
      <formula>2</formula>
    </cfRule>
  </conditionalFormatting>
  <conditionalFormatting sqref="F48">
    <cfRule type="cellIs" dxfId="353" priority="37" operator="equal">
      <formula>10</formula>
    </cfRule>
    <cfRule type="cellIs" dxfId="352" priority="38" operator="equal">
      <formula>8</formula>
    </cfRule>
    <cfRule type="cellIs" dxfId="351" priority="39" operator="equal">
      <formula>6</formula>
    </cfRule>
    <cfRule type="cellIs" dxfId="350" priority="40" operator="equal">
      <formula>4</formula>
    </cfRule>
    <cfRule type="cellIs" dxfId="349" priority="41" operator="equal">
      <formula>0</formula>
    </cfRule>
    <cfRule type="cellIs" dxfId="348" priority="42" operator="equal">
      <formula>2</formula>
    </cfRule>
  </conditionalFormatting>
  <conditionalFormatting sqref="F50">
    <cfRule type="cellIs" dxfId="347" priority="31" operator="equal">
      <formula>10</formula>
    </cfRule>
    <cfRule type="cellIs" dxfId="346" priority="32" operator="equal">
      <formula>8</formula>
    </cfRule>
    <cfRule type="cellIs" dxfId="345" priority="33" operator="equal">
      <formula>6</formula>
    </cfRule>
    <cfRule type="cellIs" dxfId="344" priority="34" operator="equal">
      <formula>4</formula>
    </cfRule>
    <cfRule type="cellIs" dxfId="343" priority="35" operator="equal">
      <formula>0</formula>
    </cfRule>
    <cfRule type="cellIs" dxfId="342" priority="36" operator="equal">
      <formula>2</formula>
    </cfRule>
  </conditionalFormatting>
  <conditionalFormatting sqref="F52">
    <cfRule type="cellIs" dxfId="341" priority="25" operator="equal">
      <formula>10</formula>
    </cfRule>
    <cfRule type="cellIs" dxfId="340" priority="26" operator="equal">
      <formula>8</formula>
    </cfRule>
    <cfRule type="cellIs" dxfId="339" priority="27" operator="equal">
      <formula>6</formula>
    </cfRule>
    <cfRule type="cellIs" dxfId="338" priority="28" operator="equal">
      <formula>4</formula>
    </cfRule>
    <cfRule type="cellIs" dxfId="337" priority="29" operator="equal">
      <formula>0</formula>
    </cfRule>
    <cfRule type="cellIs" dxfId="336" priority="30" operator="equal">
      <formula>2</formula>
    </cfRule>
  </conditionalFormatting>
  <conditionalFormatting sqref="F54">
    <cfRule type="cellIs" dxfId="335" priority="19" operator="equal">
      <formula>10</formula>
    </cfRule>
    <cfRule type="cellIs" dxfId="334" priority="20" operator="equal">
      <formula>8</formula>
    </cfRule>
    <cfRule type="cellIs" dxfId="333" priority="21" operator="equal">
      <formula>6</formula>
    </cfRule>
    <cfRule type="cellIs" dxfId="332" priority="22" operator="equal">
      <formula>4</formula>
    </cfRule>
    <cfRule type="cellIs" dxfId="331" priority="23" operator="equal">
      <formula>0</formula>
    </cfRule>
    <cfRule type="cellIs" dxfId="330" priority="24" operator="equal">
      <formula>2</formula>
    </cfRule>
  </conditionalFormatting>
  <conditionalFormatting sqref="F56">
    <cfRule type="cellIs" dxfId="329" priority="13" operator="equal">
      <formula>10</formula>
    </cfRule>
    <cfRule type="cellIs" dxfId="328" priority="14" operator="equal">
      <formula>8</formula>
    </cfRule>
    <cfRule type="cellIs" dxfId="327" priority="15" operator="equal">
      <formula>6</formula>
    </cfRule>
    <cfRule type="cellIs" dxfId="326" priority="16" operator="equal">
      <formula>4</formula>
    </cfRule>
    <cfRule type="cellIs" dxfId="325" priority="17" operator="equal">
      <formula>0</formula>
    </cfRule>
    <cfRule type="cellIs" dxfId="324" priority="18" operator="equal">
      <formula>2</formula>
    </cfRule>
  </conditionalFormatting>
  <conditionalFormatting sqref="F60">
    <cfRule type="cellIs" dxfId="323" priority="7" operator="equal">
      <formula>10</formula>
    </cfRule>
    <cfRule type="cellIs" dxfId="322" priority="8" operator="equal">
      <formula>8</formula>
    </cfRule>
    <cfRule type="cellIs" dxfId="321" priority="9" operator="equal">
      <formula>6</formula>
    </cfRule>
    <cfRule type="cellIs" dxfId="320" priority="10" operator="equal">
      <formula>4</formula>
    </cfRule>
    <cfRule type="cellIs" dxfId="319" priority="11" operator="equal">
      <formula>0</formula>
    </cfRule>
    <cfRule type="cellIs" dxfId="318" priority="12" operator="equal">
      <formula>2</formula>
    </cfRule>
  </conditionalFormatting>
  <conditionalFormatting sqref="F62">
    <cfRule type="cellIs" dxfId="317" priority="1" operator="equal">
      <formula>10</formula>
    </cfRule>
    <cfRule type="cellIs" dxfId="316" priority="2" operator="equal">
      <formula>8</formula>
    </cfRule>
    <cfRule type="cellIs" dxfId="315" priority="3" operator="equal">
      <formula>6</formula>
    </cfRule>
    <cfRule type="cellIs" dxfId="314" priority="4" operator="equal">
      <formula>4</formula>
    </cfRule>
    <cfRule type="cellIs" dxfId="313" priority="5" operator="equal">
      <formula>0</formula>
    </cfRule>
    <cfRule type="cellIs" dxfId="312" priority="6" operator="equal">
      <formula>2</formula>
    </cfRule>
  </conditionalFormatting>
  <dataValidations count="1">
    <dataValidation type="list" allowBlank="1" sqref="F8 F10 F14 F16 F18 F20 F22 F26 F28 F30 F32 F36 F38 F40 F42 F46 F48 F50 F52 F54 F56 F60 F62" xr:uid="{00000000-0002-0000-0800-000000000000}">
      <formula1>"n.e.,0,4,6,8,10"</formula1>
    </dataValidation>
  </dataValidations>
  <hyperlinks>
    <hyperlink ref="G8" location="Remarks!H102" display="▶️" xr:uid="{00000000-0004-0000-0800-000000000000}"/>
    <hyperlink ref="G10" location="Remarks!H103" display="▶️" xr:uid="{00000000-0004-0000-0800-000001000000}"/>
    <hyperlink ref="G14" location="Remarks!H104" display="▶️" xr:uid="{00000000-0004-0000-0800-000002000000}"/>
    <hyperlink ref="G16" location="Remarks!H105" display="▶️" xr:uid="{00000000-0004-0000-0800-000003000000}"/>
    <hyperlink ref="G18" location="Remarks!H106" display="▶️" xr:uid="{00000000-0004-0000-0800-000004000000}"/>
    <hyperlink ref="G20" location="Remarks!H107" display="▶️" xr:uid="{00000000-0004-0000-0800-000005000000}"/>
    <hyperlink ref="G22" location="Remarks!H108" display="▶️" xr:uid="{00000000-0004-0000-0800-000006000000}"/>
    <hyperlink ref="G26" location="Remarks!H109" display="▶️" xr:uid="{00000000-0004-0000-0800-000007000000}"/>
    <hyperlink ref="G28" location="Remarks!H110" display="▶️" xr:uid="{00000000-0004-0000-0800-000008000000}"/>
    <hyperlink ref="G30" location="Remarks!H111" display="▶️" xr:uid="{00000000-0004-0000-0800-000009000000}"/>
    <hyperlink ref="G32" location="Remarks!H112" display="▶️" xr:uid="{00000000-0004-0000-0800-00000A000000}"/>
    <hyperlink ref="G36" location="Remarks!H113" display="▶️" xr:uid="{00000000-0004-0000-0800-00000B000000}"/>
    <hyperlink ref="G38" location="Remarks!H114" display="▶️" xr:uid="{00000000-0004-0000-0800-00000C000000}"/>
    <hyperlink ref="G40" location="Remarks!H115" display="▶️" xr:uid="{00000000-0004-0000-0800-00000D000000}"/>
    <hyperlink ref="G42" location="Remarks!H116" display="▶️" xr:uid="{00000000-0004-0000-0800-00000E000000}"/>
    <hyperlink ref="G46" location="Remarks!H117" display="▶️" xr:uid="{00000000-0004-0000-0800-00000F000000}"/>
    <hyperlink ref="G48" location="Remarks!H118" display="▶️" xr:uid="{00000000-0004-0000-0800-000010000000}"/>
    <hyperlink ref="G50" location="Remarks!H119" display="▶️" xr:uid="{00000000-0004-0000-0800-000011000000}"/>
    <hyperlink ref="G52" location="Remarks!H120" display="▶️" xr:uid="{00000000-0004-0000-0800-000012000000}"/>
    <hyperlink ref="G54" location="Remarks!H121" display="▶️" xr:uid="{00000000-0004-0000-0800-000013000000}"/>
    <hyperlink ref="G56" location="Remarks!H122" display="▶️" xr:uid="{00000000-0004-0000-0800-000014000000}"/>
    <hyperlink ref="G60" location="Remarks!H123" display="▶️" xr:uid="{00000000-0004-0000-0800-000015000000}"/>
    <hyperlink ref="G62" location="Remarks!H124" display="▶️" xr:uid="{00000000-0004-0000-0800-000016000000}"/>
  </hyperlinks>
  <pageMargins left="0.75" right="0.75" top="1" bottom="1" header="0.5" footer="0.5"/>
  <headerFooter>
    <oddHeader>&amp;L&amp;"Calibri"&amp;1 &amp;K000000 INTERNAL#_x000D_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568AD-18FD-0B4E-9013-D45C1AFF93D4}">
  <sheetPr codeName="Sheet10"/>
  <dimension ref="A1:G86"/>
  <sheetViews>
    <sheetView topLeftCell="A64" workbookViewId="0">
      <selection activeCell="Q72" sqref="Q72"/>
    </sheetView>
  </sheetViews>
  <sheetFormatPr baseColWidth="10" defaultColWidth="8.83203125" defaultRowHeight="16"/>
  <cols>
    <col min="1" max="1" width="7" customWidth="1"/>
    <col min="2" max="2" width="4" customWidth="1"/>
    <col min="3" max="3" width="2" customWidth="1"/>
    <col min="4" max="4" width="55" customWidth="1"/>
    <col min="5" max="5" width="40" customWidth="1"/>
    <col min="6" max="7" width="15" customWidth="1"/>
  </cols>
  <sheetData>
    <row r="1" spans="1:7" ht="30" customHeight="1">
      <c r="A1" s="150" t="s">
        <v>260</v>
      </c>
      <c r="B1" s="170"/>
      <c r="C1" s="170"/>
      <c r="D1" s="170"/>
      <c r="E1" s="170"/>
      <c r="F1" s="170"/>
      <c r="G1" s="170"/>
    </row>
    <row r="2" spans="1:7" ht="6" customHeight="1"/>
    <row r="3" spans="1:7" ht="20" customHeight="1">
      <c r="A3" s="74" t="s">
        <v>3</v>
      </c>
      <c r="B3" s="74" t="s">
        <v>59</v>
      </c>
      <c r="D3" s="74" t="s">
        <v>395</v>
      </c>
      <c r="E3" s="74" t="s">
        <v>396</v>
      </c>
      <c r="F3" s="74" t="s">
        <v>55</v>
      </c>
      <c r="G3" s="74" t="s">
        <v>397</v>
      </c>
    </row>
    <row r="4" spans="1:7" ht="6" customHeight="1"/>
    <row r="5" spans="1:7" ht="6" customHeight="1"/>
    <row r="6" spans="1:7" ht="22" customHeight="1">
      <c r="A6" s="173" t="s">
        <v>553</v>
      </c>
      <c r="B6" s="168"/>
      <c r="C6" s="168"/>
      <c r="D6" s="168"/>
      <c r="E6" s="168"/>
      <c r="F6" s="168"/>
      <c r="G6" s="169"/>
    </row>
    <row r="7" spans="1:7" ht="28" customHeight="1">
      <c r="A7" s="87" t="s">
        <v>261</v>
      </c>
      <c r="B7" s="77"/>
      <c r="D7" s="172" t="s">
        <v>554</v>
      </c>
      <c r="E7" s="169"/>
      <c r="F7" s="88" t="str">
        <f>IF(OR(F8="n.e.",F8=""),"not evaluated","evaluated")</f>
        <v>not evaluated</v>
      </c>
      <c r="G7" s="77"/>
    </row>
    <row r="8" spans="1:7" ht="80" customHeight="1">
      <c r="A8" s="77"/>
      <c r="B8" s="77"/>
      <c r="D8" s="80" t="s">
        <v>877</v>
      </c>
      <c r="E8" s="80" t="s">
        <v>878</v>
      </c>
      <c r="F8" s="89" t="s">
        <v>393</v>
      </c>
      <c r="G8" s="81" t="s">
        <v>400</v>
      </c>
    </row>
    <row r="9" spans="1:7" ht="28" customHeight="1">
      <c r="A9" s="87" t="s">
        <v>263</v>
      </c>
      <c r="B9" s="79" t="s">
        <v>59</v>
      </c>
      <c r="D9" s="172" t="s">
        <v>555</v>
      </c>
      <c r="E9" s="169"/>
      <c r="F9" s="88" t="str">
        <f>IF(OR(F10="n.e.",F10=""),"not evaluated","evaluated")</f>
        <v>not evaluated</v>
      </c>
      <c r="G9" s="77"/>
    </row>
    <row r="10" spans="1:7" ht="80" customHeight="1">
      <c r="A10" s="77"/>
      <c r="B10" s="77"/>
      <c r="D10" s="80" t="s">
        <v>879</v>
      </c>
      <c r="E10" s="80" t="s">
        <v>880</v>
      </c>
      <c r="F10" s="89" t="s">
        <v>393</v>
      </c>
      <c r="G10" s="81" t="s">
        <v>400</v>
      </c>
    </row>
    <row r="11" spans="1:7" ht="28" customHeight="1">
      <c r="A11" s="87" t="s">
        <v>265</v>
      </c>
      <c r="B11" s="79" t="s">
        <v>59</v>
      </c>
      <c r="D11" s="172" t="s">
        <v>556</v>
      </c>
      <c r="E11" s="169"/>
      <c r="F11" s="88" t="str">
        <f>IF(OR(F12="n.e.",F12=""),"not evaluated","evaluated")</f>
        <v>not evaluated</v>
      </c>
      <c r="G11" s="77"/>
    </row>
    <row r="12" spans="1:7" ht="80" customHeight="1">
      <c r="A12" s="77"/>
      <c r="B12" s="77"/>
      <c r="D12" s="80" t="s">
        <v>881</v>
      </c>
      <c r="E12" s="80" t="s">
        <v>882</v>
      </c>
      <c r="F12" s="89" t="s">
        <v>393</v>
      </c>
      <c r="G12" s="81" t="s">
        <v>400</v>
      </c>
    </row>
    <row r="14" spans="1:7" ht="22" customHeight="1">
      <c r="A14" s="173" t="s">
        <v>557</v>
      </c>
      <c r="B14" s="168"/>
      <c r="C14" s="168"/>
      <c r="D14" s="168"/>
      <c r="E14" s="168"/>
      <c r="F14" s="168"/>
      <c r="G14" s="169"/>
    </row>
    <row r="15" spans="1:7" ht="28" customHeight="1">
      <c r="A15" s="87" t="s">
        <v>267</v>
      </c>
      <c r="B15" s="79" t="s">
        <v>59</v>
      </c>
      <c r="D15" s="172" t="s">
        <v>558</v>
      </c>
      <c r="E15" s="169"/>
      <c r="F15" s="88" t="str">
        <f>IF(OR(F16="n.e.",F16=""),"not evaluated","evaluated")</f>
        <v>not evaluated</v>
      </c>
      <c r="G15" s="77"/>
    </row>
    <row r="16" spans="1:7" ht="80" customHeight="1">
      <c r="A16" s="77"/>
      <c r="B16" s="77"/>
      <c r="D16" s="80" t="s">
        <v>883</v>
      </c>
      <c r="E16" s="80" t="s">
        <v>884</v>
      </c>
      <c r="F16" s="89" t="s">
        <v>393</v>
      </c>
      <c r="G16" s="81" t="s">
        <v>400</v>
      </c>
    </row>
    <row r="17" spans="1:7" ht="28" customHeight="1">
      <c r="A17" s="87" t="s">
        <v>269</v>
      </c>
      <c r="B17" s="77"/>
      <c r="D17" s="172" t="s">
        <v>559</v>
      </c>
      <c r="E17" s="169"/>
      <c r="F17" s="88" t="str">
        <f>IF(OR(F18="n.e.",F18=""),"not evaluated","evaluated")</f>
        <v>not evaluated</v>
      </c>
      <c r="G17" s="77"/>
    </row>
    <row r="18" spans="1:7" ht="80" customHeight="1">
      <c r="A18" s="77"/>
      <c r="B18" s="77"/>
      <c r="D18" s="80" t="s">
        <v>885</v>
      </c>
      <c r="E18" s="80" t="s">
        <v>886</v>
      </c>
      <c r="F18" s="89" t="s">
        <v>393</v>
      </c>
      <c r="G18" s="81" t="s">
        <v>400</v>
      </c>
    </row>
    <row r="19" spans="1:7" ht="28" customHeight="1">
      <c r="A19" s="87" t="s">
        <v>270</v>
      </c>
      <c r="B19" s="79" t="s">
        <v>59</v>
      </c>
      <c r="D19" s="172" t="s">
        <v>560</v>
      </c>
      <c r="E19" s="169"/>
      <c r="F19" s="88" t="str">
        <f>IF(OR(F20="n.e.",F20=""),"not evaluated","evaluated")</f>
        <v>not evaluated</v>
      </c>
      <c r="G19" s="77"/>
    </row>
    <row r="20" spans="1:7" ht="80" customHeight="1">
      <c r="A20" s="77"/>
      <c r="B20" s="77"/>
      <c r="D20" s="80" t="s">
        <v>887</v>
      </c>
      <c r="E20" s="80" t="s">
        <v>888</v>
      </c>
      <c r="F20" s="89" t="s">
        <v>393</v>
      </c>
      <c r="G20" s="81" t="s">
        <v>400</v>
      </c>
    </row>
    <row r="21" spans="1:7" ht="28" customHeight="1">
      <c r="A21" s="87" t="s">
        <v>272</v>
      </c>
      <c r="B21" s="79" t="s">
        <v>59</v>
      </c>
      <c r="D21" s="172" t="s">
        <v>561</v>
      </c>
      <c r="E21" s="169"/>
      <c r="F21" s="88" t="str">
        <f>IF(OR(F22="n.e.",F22=""),"not evaluated","evaluated")</f>
        <v>not evaluated</v>
      </c>
      <c r="G21" s="77"/>
    </row>
    <row r="22" spans="1:7" ht="80" customHeight="1">
      <c r="A22" s="77"/>
      <c r="B22" s="77"/>
      <c r="D22" s="80" t="s">
        <v>889</v>
      </c>
      <c r="E22" s="80" t="s">
        <v>890</v>
      </c>
      <c r="F22" s="89" t="s">
        <v>393</v>
      </c>
      <c r="G22" s="81" t="s">
        <v>400</v>
      </c>
    </row>
    <row r="23" spans="1:7" ht="28" customHeight="1">
      <c r="A23" s="87" t="s">
        <v>274</v>
      </c>
      <c r="B23" s="77"/>
      <c r="D23" s="172" t="s">
        <v>562</v>
      </c>
      <c r="E23" s="169"/>
      <c r="F23" s="88" t="str">
        <f>IF(OR(F24="n.e.",F24=""),"not evaluated","evaluated")</f>
        <v>not evaluated</v>
      </c>
      <c r="G23" s="77"/>
    </row>
    <row r="24" spans="1:7" ht="80" customHeight="1">
      <c r="A24" s="77"/>
      <c r="B24" s="77"/>
      <c r="D24" s="80" t="s">
        <v>891</v>
      </c>
      <c r="E24" s="80" t="s">
        <v>892</v>
      </c>
      <c r="F24" s="89" t="s">
        <v>393</v>
      </c>
      <c r="G24" s="81" t="s">
        <v>400</v>
      </c>
    </row>
    <row r="25" spans="1:7" ht="28" customHeight="1">
      <c r="A25" s="87" t="s">
        <v>276</v>
      </c>
      <c r="B25" s="79" t="s">
        <v>59</v>
      </c>
      <c r="D25" s="172" t="s">
        <v>563</v>
      </c>
      <c r="E25" s="169"/>
      <c r="F25" s="88" t="str">
        <f>IF(OR(F26="n.e.",F26=""),"not evaluated","evaluated")</f>
        <v>not evaluated</v>
      </c>
      <c r="G25" s="77"/>
    </row>
    <row r="26" spans="1:7" ht="80" customHeight="1">
      <c r="A26" s="77"/>
      <c r="B26" s="77"/>
      <c r="D26" s="80" t="s">
        <v>893</v>
      </c>
      <c r="E26" s="80" t="s">
        <v>894</v>
      </c>
      <c r="F26" s="89" t="s">
        <v>393</v>
      </c>
      <c r="G26" s="81" t="s">
        <v>400</v>
      </c>
    </row>
    <row r="27" spans="1:7" ht="28" customHeight="1">
      <c r="A27" s="87" t="s">
        <v>278</v>
      </c>
      <c r="B27" s="77"/>
      <c r="D27" s="172" t="s">
        <v>564</v>
      </c>
      <c r="E27" s="169"/>
      <c r="F27" s="88" t="str">
        <f>IF(OR(F28="n.e.",F28=""),"not evaluated","evaluated")</f>
        <v>not evaluated</v>
      </c>
      <c r="G27" s="77"/>
    </row>
    <row r="28" spans="1:7" ht="80" customHeight="1">
      <c r="A28" s="77"/>
      <c r="B28" s="77"/>
      <c r="D28" s="80" t="s">
        <v>895</v>
      </c>
      <c r="E28" s="80" t="s">
        <v>896</v>
      </c>
      <c r="F28" s="89" t="s">
        <v>393</v>
      </c>
      <c r="G28" s="81" t="s">
        <v>400</v>
      </c>
    </row>
    <row r="29" spans="1:7" ht="28" customHeight="1">
      <c r="A29" s="87" t="s">
        <v>280</v>
      </c>
      <c r="B29" s="77"/>
      <c r="D29" s="172" t="s">
        <v>565</v>
      </c>
      <c r="E29" s="169"/>
      <c r="F29" s="88" t="str">
        <f>IF(OR(F30="n.e.",F30=""),"not evaluated","evaluated")</f>
        <v>not evaluated</v>
      </c>
      <c r="G29" s="77"/>
    </row>
    <row r="30" spans="1:7" ht="80" customHeight="1">
      <c r="A30" s="77"/>
      <c r="B30" s="77"/>
      <c r="D30" s="80" t="s">
        <v>897</v>
      </c>
      <c r="E30" s="80" t="s">
        <v>898</v>
      </c>
      <c r="F30" s="89" t="s">
        <v>393</v>
      </c>
      <c r="G30" s="81" t="s">
        <v>400</v>
      </c>
    </row>
    <row r="31" spans="1:7" ht="28" customHeight="1">
      <c r="A31" s="87" t="s">
        <v>282</v>
      </c>
      <c r="B31" s="79" t="s">
        <v>59</v>
      </c>
      <c r="D31" s="172" t="s">
        <v>566</v>
      </c>
      <c r="E31" s="169"/>
      <c r="F31" s="88" t="str">
        <f>IF(OR(F32="n.e.",F32=""),"not evaluated","evaluated")</f>
        <v>not evaluated</v>
      </c>
      <c r="G31" s="77"/>
    </row>
    <row r="32" spans="1:7" ht="80" customHeight="1">
      <c r="A32" s="77"/>
      <c r="B32" s="77"/>
      <c r="D32" s="80" t="s">
        <v>899</v>
      </c>
      <c r="E32" s="80" t="s">
        <v>900</v>
      </c>
      <c r="F32" s="89" t="s">
        <v>393</v>
      </c>
      <c r="G32" s="81" t="s">
        <v>400</v>
      </c>
    </row>
    <row r="33" spans="1:7" ht="28" customHeight="1">
      <c r="A33" s="87" t="s">
        <v>284</v>
      </c>
      <c r="B33" s="79" t="s">
        <v>59</v>
      </c>
      <c r="D33" s="172" t="s">
        <v>567</v>
      </c>
      <c r="E33" s="169"/>
      <c r="F33" s="88" t="str">
        <f>IF(OR(F34="n.e.",F34=""),"not evaluated","evaluated")</f>
        <v>not evaluated</v>
      </c>
      <c r="G33" s="77"/>
    </row>
    <row r="34" spans="1:7" ht="80" customHeight="1">
      <c r="A34" s="77"/>
      <c r="B34" s="77"/>
      <c r="D34" s="80" t="s">
        <v>901</v>
      </c>
      <c r="E34" s="80" t="s">
        <v>902</v>
      </c>
      <c r="F34" s="89" t="s">
        <v>393</v>
      </c>
      <c r="G34" s="81" t="s">
        <v>400</v>
      </c>
    </row>
    <row r="36" spans="1:7" ht="22" customHeight="1">
      <c r="A36" s="173" t="s">
        <v>568</v>
      </c>
      <c r="B36" s="168"/>
      <c r="C36" s="168"/>
      <c r="D36" s="168"/>
      <c r="E36" s="168"/>
      <c r="F36" s="168"/>
      <c r="G36" s="169"/>
    </row>
    <row r="37" spans="1:7" ht="28" customHeight="1">
      <c r="A37" s="87" t="s">
        <v>286</v>
      </c>
      <c r="B37" s="77"/>
      <c r="D37" s="172" t="s">
        <v>569</v>
      </c>
      <c r="E37" s="169"/>
      <c r="F37" s="88" t="str">
        <f>IF(OR(F38="n.e.",F38=""),"not evaluated","evaluated")</f>
        <v>not evaluated</v>
      </c>
      <c r="G37" s="77"/>
    </row>
    <row r="38" spans="1:7" ht="80" customHeight="1">
      <c r="A38" s="77"/>
      <c r="B38" s="77"/>
      <c r="D38" s="80" t="s">
        <v>721</v>
      </c>
      <c r="E38" s="80" t="s">
        <v>903</v>
      </c>
      <c r="F38" s="89" t="s">
        <v>393</v>
      </c>
      <c r="G38" s="81" t="s">
        <v>400</v>
      </c>
    </row>
    <row r="39" spans="1:7" ht="28" customHeight="1">
      <c r="A39" s="87" t="s">
        <v>287</v>
      </c>
      <c r="B39" s="77"/>
      <c r="D39" s="172" t="s">
        <v>570</v>
      </c>
      <c r="E39" s="169"/>
      <c r="F39" s="88" t="str">
        <f>IF(OR(F40="n.e.",F40=""),"not evaluated","evaluated")</f>
        <v>not evaluated</v>
      </c>
      <c r="G39" s="77"/>
    </row>
    <row r="40" spans="1:7" ht="80" customHeight="1">
      <c r="A40" s="77"/>
      <c r="B40" s="77"/>
      <c r="D40" s="80" t="s">
        <v>904</v>
      </c>
      <c r="E40" s="80" t="s">
        <v>905</v>
      </c>
      <c r="F40" s="89" t="s">
        <v>393</v>
      </c>
      <c r="G40" s="81" t="s">
        <v>400</v>
      </c>
    </row>
    <row r="41" spans="1:7" ht="28" customHeight="1">
      <c r="A41" s="87" t="s">
        <v>288</v>
      </c>
      <c r="B41" s="79" t="s">
        <v>59</v>
      </c>
      <c r="D41" s="172" t="s">
        <v>571</v>
      </c>
      <c r="E41" s="169"/>
      <c r="F41" s="88" t="str">
        <f>IF(OR(F42="n.e.",F42=""),"not evaluated","evaluated")</f>
        <v>not evaluated</v>
      </c>
      <c r="G41" s="77"/>
    </row>
    <row r="42" spans="1:7" ht="80" customHeight="1">
      <c r="A42" s="77"/>
      <c r="B42" s="77"/>
      <c r="D42" s="80" t="s">
        <v>906</v>
      </c>
      <c r="E42" s="80" t="s">
        <v>852</v>
      </c>
      <c r="F42" s="89" t="s">
        <v>393</v>
      </c>
      <c r="G42" s="81" t="s">
        <v>400</v>
      </c>
    </row>
    <row r="43" spans="1:7" ht="28" customHeight="1">
      <c r="A43" s="87" t="s">
        <v>289</v>
      </c>
      <c r="B43" s="79" t="s">
        <v>59</v>
      </c>
      <c r="D43" s="172" t="s">
        <v>572</v>
      </c>
      <c r="E43" s="169"/>
      <c r="F43" s="88" t="str">
        <f>IF(OR(F44="n.e.",F44=""),"not evaluated","evaluated")</f>
        <v>not evaluated</v>
      </c>
      <c r="G43" s="77"/>
    </row>
    <row r="44" spans="1:7" ht="80" customHeight="1">
      <c r="A44" s="77"/>
      <c r="B44" s="77"/>
      <c r="D44" s="80" t="s">
        <v>907</v>
      </c>
      <c r="E44" s="80" t="s">
        <v>908</v>
      </c>
      <c r="F44" s="89" t="s">
        <v>393</v>
      </c>
      <c r="G44" s="81" t="s">
        <v>400</v>
      </c>
    </row>
    <row r="46" spans="1:7" ht="22" customHeight="1">
      <c r="A46" s="173" t="s">
        <v>573</v>
      </c>
      <c r="B46" s="168"/>
      <c r="C46" s="168"/>
      <c r="D46" s="168"/>
      <c r="E46" s="168"/>
      <c r="F46" s="168"/>
      <c r="G46" s="169"/>
    </row>
    <row r="47" spans="1:7" ht="28" customHeight="1">
      <c r="A47" s="87" t="s">
        <v>290</v>
      </c>
      <c r="B47" s="79" t="s">
        <v>59</v>
      </c>
      <c r="D47" s="172" t="s">
        <v>574</v>
      </c>
      <c r="E47" s="169"/>
      <c r="F47" s="88" t="str">
        <f>IF(OR(F48="n.e.",F48=""),"not evaluated","evaluated")</f>
        <v>not evaluated</v>
      </c>
      <c r="G47" s="77"/>
    </row>
    <row r="48" spans="1:7" ht="80" customHeight="1">
      <c r="A48" s="77"/>
      <c r="B48" s="77"/>
      <c r="D48" s="80" t="s">
        <v>909</v>
      </c>
      <c r="E48" s="80" t="s">
        <v>910</v>
      </c>
      <c r="F48" s="89" t="s">
        <v>393</v>
      </c>
      <c r="G48" s="81" t="s">
        <v>400</v>
      </c>
    </row>
    <row r="49" spans="1:7" ht="28" customHeight="1">
      <c r="A49" s="87" t="s">
        <v>291</v>
      </c>
      <c r="B49" s="79" t="s">
        <v>59</v>
      </c>
      <c r="D49" s="172" t="s">
        <v>575</v>
      </c>
      <c r="E49" s="169"/>
      <c r="F49" s="88" t="str">
        <f>IF(OR(F50="n.e.",F50=""),"not evaluated","evaluated")</f>
        <v>not evaluated</v>
      </c>
      <c r="G49" s="77"/>
    </row>
    <row r="50" spans="1:7" ht="80" customHeight="1">
      <c r="A50" s="77"/>
      <c r="B50" s="77"/>
      <c r="D50" s="80" t="s">
        <v>911</v>
      </c>
      <c r="E50" s="80" t="s">
        <v>912</v>
      </c>
      <c r="F50" s="89" t="s">
        <v>393</v>
      </c>
      <c r="G50" s="81" t="s">
        <v>400</v>
      </c>
    </row>
    <row r="51" spans="1:7" ht="28" customHeight="1">
      <c r="A51" s="87" t="s">
        <v>292</v>
      </c>
      <c r="B51" s="77"/>
      <c r="D51" s="172" t="s">
        <v>576</v>
      </c>
      <c r="E51" s="169"/>
      <c r="F51" s="88" t="str">
        <f>IF(OR(F52="n.e.",F52=""),"not evaluated","evaluated")</f>
        <v>not evaluated</v>
      </c>
      <c r="G51" s="77"/>
    </row>
    <row r="52" spans="1:7" ht="80" customHeight="1">
      <c r="A52" s="77"/>
      <c r="B52" s="77"/>
      <c r="D52" s="80" t="s">
        <v>913</v>
      </c>
      <c r="E52" s="80" t="s">
        <v>914</v>
      </c>
      <c r="F52" s="89" t="s">
        <v>393</v>
      </c>
      <c r="G52" s="81" t="s">
        <v>400</v>
      </c>
    </row>
    <row r="53" spans="1:7" ht="28" customHeight="1">
      <c r="A53" s="87" t="s">
        <v>293</v>
      </c>
      <c r="B53" s="79" t="s">
        <v>59</v>
      </c>
      <c r="D53" s="172" t="s">
        <v>577</v>
      </c>
      <c r="E53" s="169"/>
      <c r="F53" s="88" t="str">
        <f>IF(OR(F54="n.e.",F54=""),"not evaluated","evaluated")</f>
        <v>not evaluated</v>
      </c>
      <c r="G53" s="77"/>
    </row>
    <row r="54" spans="1:7" ht="80" customHeight="1">
      <c r="A54" s="77"/>
      <c r="B54" s="77"/>
      <c r="D54" s="80" t="s">
        <v>915</v>
      </c>
      <c r="E54" s="80" t="s">
        <v>916</v>
      </c>
      <c r="F54" s="89" t="s">
        <v>393</v>
      </c>
      <c r="G54" s="81" t="s">
        <v>400</v>
      </c>
    </row>
    <row r="55" spans="1:7" ht="28" customHeight="1">
      <c r="A55" s="87" t="s">
        <v>295</v>
      </c>
      <c r="B55" s="77"/>
      <c r="D55" s="172" t="s">
        <v>578</v>
      </c>
      <c r="E55" s="169"/>
      <c r="F55" s="88" t="str">
        <f>IF(OR(F56="n.e.",F56=""),"not evaluated","evaluated")</f>
        <v>not evaluated</v>
      </c>
      <c r="G55" s="77"/>
    </row>
    <row r="56" spans="1:7" ht="80" customHeight="1">
      <c r="A56" s="77"/>
      <c r="B56" s="77"/>
      <c r="D56" s="80" t="s">
        <v>917</v>
      </c>
      <c r="E56" s="80" t="s">
        <v>918</v>
      </c>
      <c r="F56" s="89" t="s">
        <v>393</v>
      </c>
      <c r="G56" s="81" t="s">
        <v>400</v>
      </c>
    </row>
    <row r="57" spans="1:7" ht="28" customHeight="1">
      <c r="A57" s="87" t="s">
        <v>297</v>
      </c>
      <c r="B57" s="77"/>
      <c r="D57" s="172" t="s">
        <v>579</v>
      </c>
      <c r="E57" s="169"/>
      <c r="F57" s="88" t="str">
        <f>IF(OR(F58="n.e.",F58=""),"not evaluated","evaluated")</f>
        <v>not evaluated</v>
      </c>
      <c r="G57" s="77"/>
    </row>
    <row r="58" spans="1:7" ht="80" customHeight="1">
      <c r="A58" s="77"/>
      <c r="B58" s="77"/>
      <c r="D58" s="80" t="s">
        <v>919</v>
      </c>
      <c r="E58" s="80" t="s">
        <v>920</v>
      </c>
      <c r="F58" s="89" t="s">
        <v>393</v>
      </c>
      <c r="G58" s="81" t="s">
        <v>400</v>
      </c>
    </row>
    <row r="59" spans="1:7" ht="28" customHeight="1">
      <c r="A59" s="87" t="s">
        <v>299</v>
      </c>
      <c r="B59" s="77"/>
      <c r="D59" s="172" t="s">
        <v>580</v>
      </c>
      <c r="E59" s="169"/>
      <c r="F59" s="88" t="str">
        <f>IF(OR(F60="n.e.",F60=""),"not evaluated","evaluated")</f>
        <v>not evaluated</v>
      </c>
      <c r="G59" s="77"/>
    </row>
    <row r="60" spans="1:7" ht="80" customHeight="1">
      <c r="A60" s="77"/>
      <c r="B60" s="77"/>
      <c r="D60" s="80" t="s">
        <v>921</v>
      </c>
      <c r="E60" s="80" t="s">
        <v>922</v>
      </c>
      <c r="F60" s="89" t="s">
        <v>393</v>
      </c>
      <c r="G60" s="81" t="s">
        <v>400</v>
      </c>
    </row>
    <row r="62" spans="1:7" ht="22" customHeight="1">
      <c r="A62" s="173" t="s">
        <v>581</v>
      </c>
      <c r="B62" s="168"/>
      <c r="C62" s="168"/>
      <c r="D62" s="168"/>
      <c r="E62" s="168"/>
      <c r="F62" s="168"/>
      <c r="G62" s="169"/>
    </row>
    <row r="63" spans="1:7" ht="28" customHeight="1">
      <c r="A63" s="87" t="s">
        <v>301</v>
      </c>
      <c r="B63" s="79" t="s">
        <v>59</v>
      </c>
      <c r="D63" s="172" t="s">
        <v>582</v>
      </c>
      <c r="E63" s="169"/>
      <c r="F63" s="88" t="str">
        <f>IF(OR(F64="n.e.",F64=""),"not evaluated","evaluated")</f>
        <v>not evaluated</v>
      </c>
      <c r="G63" s="77"/>
    </row>
    <row r="64" spans="1:7" ht="80" customHeight="1">
      <c r="A64" s="77"/>
      <c r="B64" s="77"/>
      <c r="D64" s="80" t="s">
        <v>923</v>
      </c>
      <c r="E64" s="80" t="s">
        <v>924</v>
      </c>
      <c r="F64" s="89" t="s">
        <v>393</v>
      </c>
      <c r="G64" s="81" t="s">
        <v>400</v>
      </c>
    </row>
    <row r="65" spans="1:7" ht="28" customHeight="1">
      <c r="A65" s="87" t="s">
        <v>303</v>
      </c>
      <c r="B65" s="77"/>
      <c r="D65" s="172" t="s">
        <v>583</v>
      </c>
      <c r="E65" s="169"/>
      <c r="F65" s="88" t="str">
        <f>IF(OR(F66="n.e.",F66=""),"not evaluated","evaluated")</f>
        <v>not evaluated</v>
      </c>
      <c r="G65" s="77"/>
    </row>
    <row r="66" spans="1:7" ht="80" customHeight="1">
      <c r="A66" s="77"/>
      <c r="B66" s="77"/>
      <c r="D66" s="80" t="s">
        <v>925</v>
      </c>
      <c r="E66" s="80" t="s">
        <v>926</v>
      </c>
      <c r="F66" s="89" t="s">
        <v>393</v>
      </c>
      <c r="G66" s="81" t="s">
        <v>400</v>
      </c>
    </row>
    <row r="67" spans="1:7" ht="28" customHeight="1">
      <c r="A67" s="87" t="s">
        <v>304</v>
      </c>
      <c r="B67" s="79" t="s">
        <v>59</v>
      </c>
      <c r="D67" s="172" t="s">
        <v>584</v>
      </c>
      <c r="E67" s="169"/>
      <c r="F67" s="88" t="str">
        <f>IF(OR(F68="n.e.",F68=""),"not evaluated","evaluated")</f>
        <v>not evaluated</v>
      </c>
      <c r="G67" s="77"/>
    </row>
    <row r="68" spans="1:7" ht="80" customHeight="1">
      <c r="A68" s="77"/>
      <c r="B68" s="77"/>
      <c r="D68" s="80" t="s">
        <v>927</v>
      </c>
      <c r="E68" s="80" t="s">
        <v>928</v>
      </c>
      <c r="F68" s="89" t="s">
        <v>393</v>
      </c>
      <c r="G68" s="81" t="s">
        <v>400</v>
      </c>
    </row>
    <row r="69" spans="1:7" ht="28" customHeight="1">
      <c r="A69" s="87" t="s">
        <v>305</v>
      </c>
      <c r="B69" s="77"/>
      <c r="D69" s="172" t="s">
        <v>585</v>
      </c>
      <c r="E69" s="169"/>
      <c r="F69" s="88" t="str">
        <f>IF(OR(F70="n.e.",F70=""),"not evaluated","evaluated")</f>
        <v>not evaluated</v>
      </c>
      <c r="G69" s="77"/>
    </row>
    <row r="70" spans="1:7" ht="80" customHeight="1">
      <c r="A70" s="77"/>
      <c r="B70" s="77"/>
      <c r="D70" s="80" t="s">
        <v>969</v>
      </c>
      <c r="E70" s="80" t="s">
        <v>929</v>
      </c>
      <c r="F70" s="89" t="s">
        <v>393</v>
      </c>
      <c r="G70" s="81" t="s">
        <v>400</v>
      </c>
    </row>
    <row r="71" spans="1:7" ht="28" customHeight="1">
      <c r="A71" s="87" t="s">
        <v>306</v>
      </c>
      <c r="B71" s="77"/>
      <c r="D71" s="172" t="s">
        <v>586</v>
      </c>
      <c r="E71" s="169"/>
      <c r="F71" s="88" t="str">
        <f>IF(OR(F72="n.e.",F72=""),"not evaluated","evaluated")</f>
        <v>not evaluated</v>
      </c>
      <c r="G71" s="77"/>
    </row>
    <row r="72" spans="1:7" ht="80" customHeight="1">
      <c r="A72" s="77"/>
      <c r="B72" s="77"/>
      <c r="D72" s="80" t="s">
        <v>930</v>
      </c>
      <c r="E72" s="80" t="s">
        <v>931</v>
      </c>
      <c r="F72" s="89" t="s">
        <v>393</v>
      </c>
      <c r="G72" s="81" t="s">
        <v>400</v>
      </c>
    </row>
    <row r="73" spans="1:7" ht="28" customHeight="1">
      <c r="A73" s="87" t="s">
        <v>308</v>
      </c>
      <c r="B73" s="77"/>
      <c r="D73" s="172" t="s">
        <v>587</v>
      </c>
      <c r="E73" s="169"/>
      <c r="F73" s="88" t="str">
        <f>IF(OR(F74="n.e.",F74=""),"not evaluated","evaluated")</f>
        <v>not evaluated</v>
      </c>
      <c r="G73" s="77"/>
    </row>
    <row r="74" spans="1:7" ht="80" customHeight="1">
      <c r="A74" s="77"/>
      <c r="B74" s="77"/>
      <c r="D74" s="80" t="s">
        <v>872</v>
      </c>
      <c r="E74" s="80" t="s">
        <v>932</v>
      </c>
      <c r="F74" s="89" t="s">
        <v>393</v>
      </c>
      <c r="G74" s="81" t="s">
        <v>400</v>
      </c>
    </row>
    <row r="76" spans="1:7" ht="22" customHeight="1">
      <c r="A76" s="173" t="s">
        <v>588</v>
      </c>
      <c r="B76" s="168"/>
      <c r="C76" s="168"/>
      <c r="D76" s="168"/>
      <c r="E76" s="168"/>
      <c r="F76" s="168"/>
      <c r="G76" s="169"/>
    </row>
    <row r="77" spans="1:7" ht="28" customHeight="1">
      <c r="A77" s="87" t="s">
        <v>310</v>
      </c>
      <c r="B77" s="79" t="s">
        <v>59</v>
      </c>
      <c r="D77" s="172" t="s">
        <v>589</v>
      </c>
      <c r="E77" s="169"/>
      <c r="F77" s="88" t="str">
        <f>IF(OR(F78="n.e.",F78=""),"not evaluated","evaluated")</f>
        <v>not evaluated</v>
      </c>
      <c r="G77" s="77"/>
    </row>
    <row r="78" spans="1:7" ht="80" customHeight="1">
      <c r="A78" s="77"/>
      <c r="B78" s="77"/>
      <c r="D78" s="80" t="s">
        <v>933</v>
      </c>
      <c r="E78" s="80" t="s">
        <v>934</v>
      </c>
      <c r="F78" s="89" t="s">
        <v>393</v>
      </c>
      <c r="G78" s="81" t="s">
        <v>400</v>
      </c>
    </row>
    <row r="79" spans="1:7" ht="28" customHeight="1">
      <c r="A79" s="87" t="s">
        <v>311</v>
      </c>
      <c r="B79" s="77"/>
      <c r="D79" s="172" t="s">
        <v>590</v>
      </c>
      <c r="E79" s="169"/>
      <c r="F79" s="88" t="str">
        <f>IF(OR(F80="n.e.",F80=""),"not evaluated","evaluated")</f>
        <v>not evaluated</v>
      </c>
      <c r="G79" s="77"/>
    </row>
    <row r="80" spans="1:7" ht="80" customHeight="1">
      <c r="A80" s="77"/>
      <c r="B80" s="77"/>
      <c r="D80" s="80" t="s">
        <v>876</v>
      </c>
      <c r="E80" s="80" t="s">
        <v>833</v>
      </c>
      <c r="F80" s="89" t="s">
        <v>393</v>
      </c>
      <c r="G80" s="81" t="s">
        <v>400</v>
      </c>
    </row>
    <row r="82" spans="4:6">
      <c r="D82" s="90">
        <f>COUNT(F8,F10,F12,F16,F18,F20,F22,F24,F26,F28,F30,F32,F34,F38,F40,F42,F44,F48,F50,F52,F54,F56,F58,F60,F64,F66,F68,F70,F72,F74,F78,F80)</f>
        <v>0</v>
      </c>
      <c r="E82" s="90" t="s">
        <v>591</v>
      </c>
      <c r="F82" s="91" t="str">
        <f>IF(D82=0,"n.e.",SUM(F8,F10,F12,F16,F18,F20,F22,F24,F26,F28,F30,F32,F34,F38,F40,F42,F44,F48,F50,F52,F54,F56,F58,F60,F64,F66,F68,F70,F72,F74,F78,F80)/(D82*10))</f>
        <v>n.e.</v>
      </c>
    </row>
    <row r="84" spans="4:6">
      <c r="D84">
        <f>COUNT(F10,F12,F16,F20,F22,F26,F32,F34,F42,F44,F48,F50,F54,F64,F68,F78)</f>
        <v>0</v>
      </c>
      <c r="E84" s="92" t="s">
        <v>429</v>
      </c>
      <c r="F84" s="83" t="str">
        <f>IF(D84=0,"n.e.",SUM(F10,F12,F16,F20,F22,F26,F32,F34,F42,F44,F48,F50,F54,F64,F68,F78)/(D84*10))</f>
        <v>n.e.</v>
      </c>
    </row>
    <row r="85" spans="4:6">
      <c r="E85" t="s">
        <v>430</v>
      </c>
      <c r="F85" t="str">
        <f>IF(COUNT(F10,F12,F16,F20,F22,F26,F32,F34,F42,F44,F48,F50,F54,F64,F68,F78)=0,"n.e.",MIN(F10,F12,F16,F20,F22,F26,F32,F34,F42,F44,F48,F50,F54,F64,F68,F78))</f>
        <v>n.e.</v>
      </c>
    </row>
    <row r="86" spans="4:6">
      <c r="E86" t="s">
        <v>431</v>
      </c>
      <c r="F86" t="str">
        <f>IF(COUNT(F8,F10,F12,F16,F18,F20,F22,F24,F26,F28,F30,F32,F34,F38,F40,F42,F44,F48,F50,F52,F54,F56,F58,F60,F64,F66,F68,F70,F72,F74,F78,F80)=0,"n.e.",MIN(F8,F10,F12,F16,F18,F20,F22,F24,F26,F28,F30,F32,F34,F38,F40,F42,F44,F48,F50,F52,F54,F56,F58,F60,F64,F66,F68,F70,F72,F74,F78,F80))</f>
        <v>n.e.</v>
      </c>
    </row>
  </sheetData>
  <mergeCells count="39">
    <mergeCell ref="D71:E71"/>
    <mergeCell ref="A46:G46"/>
    <mergeCell ref="D55:E55"/>
    <mergeCell ref="D73:E73"/>
    <mergeCell ref="D67:E67"/>
    <mergeCell ref="D51:E51"/>
    <mergeCell ref="D69:E69"/>
    <mergeCell ref="D63:E63"/>
    <mergeCell ref="A62:G62"/>
    <mergeCell ref="D65:E65"/>
    <mergeCell ref="D11:E11"/>
    <mergeCell ref="D49:E49"/>
    <mergeCell ref="D27:E27"/>
    <mergeCell ref="D57:E57"/>
    <mergeCell ref="D41:E41"/>
    <mergeCell ref="D17:E17"/>
    <mergeCell ref="D53:E53"/>
    <mergeCell ref="A36:G36"/>
    <mergeCell ref="D47:E47"/>
    <mergeCell ref="A14:G14"/>
    <mergeCell ref="D19:E19"/>
    <mergeCell ref="D31:E31"/>
    <mergeCell ref="D21:E21"/>
    <mergeCell ref="A76:G76"/>
    <mergeCell ref="D79:E79"/>
    <mergeCell ref="D59:E59"/>
    <mergeCell ref="A1:G1"/>
    <mergeCell ref="D7:E7"/>
    <mergeCell ref="A6:G6"/>
    <mergeCell ref="D43:E43"/>
    <mergeCell ref="D37:E37"/>
    <mergeCell ref="D9:E9"/>
    <mergeCell ref="D39:E39"/>
    <mergeCell ref="D25:E25"/>
    <mergeCell ref="D15:E15"/>
    <mergeCell ref="D33:E33"/>
    <mergeCell ref="D29:E29"/>
    <mergeCell ref="D23:E23"/>
    <mergeCell ref="D77:E77"/>
  </mergeCells>
  <phoneticPr fontId="20" type="noConversion"/>
  <conditionalFormatting sqref="F8">
    <cfRule type="cellIs" dxfId="311" priority="187" operator="equal">
      <formula>10</formula>
    </cfRule>
    <cfRule type="cellIs" dxfId="310" priority="188" operator="equal">
      <formula>8</formula>
    </cfRule>
    <cfRule type="cellIs" dxfId="309" priority="189" operator="equal">
      <formula>6</formula>
    </cfRule>
    <cfRule type="cellIs" dxfId="308" priority="190" operator="equal">
      <formula>4</formula>
    </cfRule>
    <cfRule type="cellIs" dxfId="307" priority="191" operator="equal">
      <formula>0</formula>
    </cfRule>
    <cfRule type="cellIs" dxfId="306" priority="192" operator="equal">
      <formula>2</formula>
    </cfRule>
  </conditionalFormatting>
  <conditionalFormatting sqref="F10">
    <cfRule type="cellIs" dxfId="305" priority="181" operator="equal">
      <formula>10</formula>
    </cfRule>
    <cfRule type="cellIs" dxfId="304" priority="182" operator="equal">
      <formula>8</formula>
    </cfRule>
    <cfRule type="cellIs" dxfId="303" priority="183" operator="equal">
      <formula>6</formula>
    </cfRule>
    <cfRule type="cellIs" dxfId="302" priority="184" operator="equal">
      <formula>4</formula>
    </cfRule>
    <cfRule type="cellIs" dxfId="301" priority="185" operator="equal">
      <formula>0</formula>
    </cfRule>
    <cfRule type="cellIs" dxfId="300" priority="186" operator="equal">
      <formula>2</formula>
    </cfRule>
  </conditionalFormatting>
  <conditionalFormatting sqref="F12">
    <cfRule type="cellIs" dxfId="299" priority="175" operator="equal">
      <formula>10</formula>
    </cfRule>
    <cfRule type="cellIs" dxfId="298" priority="176" operator="equal">
      <formula>8</formula>
    </cfRule>
    <cfRule type="cellIs" dxfId="297" priority="177" operator="equal">
      <formula>6</formula>
    </cfRule>
    <cfRule type="cellIs" dxfId="296" priority="178" operator="equal">
      <formula>4</formula>
    </cfRule>
    <cfRule type="cellIs" dxfId="295" priority="179" operator="equal">
      <formula>0</formula>
    </cfRule>
    <cfRule type="cellIs" dxfId="294" priority="180" operator="equal">
      <formula>2</formula>
    </cfRule>
  </conditionalFormatting>
  <conditionalFormatting sqref="F16">
    <cfRule type="cellIs" dxfId="293" priority="169" operator="equal">
      <formula>10</formula>
    </cfRule>
    <cfRule type="cellIs" dxfId="292" priority="170" operator="equal">
      <formula>8</formula>
    </cfRule>
    <cfRule type="cellIs" dxfId="291" priority="171" operator="equal">
      <formula>6</formula>
    </cfRule>
    <cfRule type="cellIs" dxfId="290" priority="172" operator="equal">
      <formula>4</formula>
    </cfRule>
    <cfRule type="cellIs" dxfId="289" priority="173" operator="equal">
      <formula>0</formula>
    </cfRule>
    <cfRule type="cellIs" dxfId="288" priority="174" operator="equal">
      <formula>2</formula>
    </cfRule>
  </conditionalFormatting>
  <conditionalFormatting sqref="F18">
    <cfRule type="cellIs" dxfId="287" priority="163" operator="equal">
      <formula>10</formula>
    </cfRule>
    <cfRule type="cellIs" dxfId="286" priority="164" operator="equal">
      <formula>8</formula>
    </cfRule>
    <cfRule type="cellIs" dxfId="285" priority="165" operator="equal">
      <formula>6</formula>
    </cfRule>
    <cfRule type="cellIs" dxfId="284" priority="166" operator="equal">
      <formula>4</formula>
    </cfRule>
    <cfRule type="cellIs" dxfId="283" priority="167" operator="equal">
      <formula>0</formula>
    </cfRule>
    <cfRule type="cellIs" dxfId="282" priority="168" operator="equal">
      <formula>2</formula>
    </cfRule>
  </conditionalFormatting>
  <conditionalFormatting sqref="F20">
    <cfRule type="cellIs" dxfId="281" priority="157" operator="equal">
      <formula>10</formula>
    </cfRule>
    <cfRule type="cellIs" dxfId="280" priority="158" operator="equal">
      <formula>8</formula>
    </cfRule>
    <cfRule type="cellIs" dxfId="279" priority="159" operator="equal">
      <formula>6</formula>
    </cfRule>
    <cfRule type="cellIs" dxfId="278" priority="160" operator="equal">
      <formula>4</formula>
    </cfRule>
    <cfRule type="cellIs" dxfId="277" priority="161" operator="equal">
      <formula>0</formula>
    </cfRule>
    <cfRule type="cellIs" dxfId="276" priority="162" operator="equal">
      <formula>2</formula>
    </cfRule>
  </conditionalFormatting>
  <conditionalFormatting sqref="F22">
    <cfRule type="cellIs" dxfId="275" priority="151" operator="equal">
      <formula>10</formula>
    </cfRule>
    <cfRule type="cellIs" dxfId="274" priority="152" operator="equal">
      <formula>8</formula>
    </cfRule>
    <cfRule type="cellIs" dxfId="273" priority="153" operator="equal">
      <formula>6</formula>
    </cfRule>
    <cfRule type="cellIs" dxfId="272" priority="154" operator="equal">
      <formula>4</formula>
    </cfRule>
    <cfRule type="cellIs" dxfId="271" priority="155" operator="equal">
      <formula>0</formula>
    </cfRule>
    <cfRule type="cellIs" dxfId="270" priority="156" operator="equal">
      <formula>2</formula>
    </cfRule>
  </conditionalFormatting>
  <conditionalFormatting sqref="F24">
    <cfRule type="cellIs" dxfId="269" priority="145" operator="equal">
      <formula>10</formula>
    </cfRule>
    <cfRule type="cellIs" dxfId="268" priority="146" operator="equal">
      <formula>8</formula>
    </cfRule>
    <cfRule type="cellIs" dxfId="267" priority="147" operator="equal">
      <formula>6</formula>
    </cfRule>
    <cfRule type="cellIs" dxfId="266" priority="148" operator="equal">
      <formula>4</formula>
    </cfRule>
    <cfRule type="cellIs" dxfId="265" priority="149" operator="equal">
      <formula>0</formula>
    </cfRule>
    <cfRule type="cellIs" dxfId="264" priority="150" operator="equal">
      <formula>2</formula>
    </cfRule>
  </conditionalFormatting>
  <conditionalFormatting sqref="F26">
    <cfRule type="cellIs" dxfId="263" priority="139" operator="equal">
      <formula>10</formula>
    </cfRule>
    <cfRule type="cellIs" dxfId="262" priority="140" operator="equal">
      <formula>8</formula>
    </cfRule>
    <cfRule type="cellIs" dxfId="261" priority="141" operator="equal">
      <formula>6</formula>
    </cfRule>
    <cfRule type="cellIs" dxfId="260" priority="142" operator="equal">
      <formula>4</formula>
    </cfRule>
    <cfRule type="cellIs" dxfId="259" priority="143" operator="equal">
      <formula>0</formula>
    </cfRule>
    <cfRule type="cellIs" dxfId="258" priority="144" operator="equal">
      <formula>2</formula>
    </cfRule>
  </conditionalFormatting>
  <conditionalFormatting sqref="F28">
    <cfRule type="cellIs" dxfId="257" priority="133" operator="equal">
      <formula>10</formula>
    </cfRule>
    <cfRule type="cellIs" dxfId="256" priority="134" operator="equal">
      <formula>8</formula>
    </cfRule>
    <cfRule type="cellIs" dxfId="255" priority="135" operator="equal">
      <formula>6</formula>
    </cfRule>
    <cfRule type="cellIs" dxfId="254" priority="136" operator="equal">
      <formula>4</formula>
    </cfRule>
    <cfRule type="cellIs" dxfId="253" priority="137" operator="equal">
      <formula>0</formula>
    </cfRule>
    <cfRule type="cellIs" dxfId="252" priority="138" operator="equal">
      <formula>2</formula>
    </cfRule>
  </conditionalFormatting>
  <conditionalFormatting sqref="F30">
    <cfRule type="cellIs" dxfId="251" priority="127" operator="equal">
      <formula>10</formula>
    </cfRule>
    <cfRule type="cellIs" dxfId="250" priority="128" operator="equal">
      <formula>8</formula>
    </cfRule>
    <cfRule type="cellIs" dxfId="249" priority="129" operator="equal">
      <formula>6</formula>
    </cfRule>
    <cfRule type="cellIs" dxfId="248" priority="130" operator="equal">
      <formula>4</formula>
    </cfRule>
    <cfRule type="cellIs" dxfId="247" priority="131" operator="equal">
      <formula>0</formula>
    </cfRule>
    <cfRule type="cellIs" dxfId="246" priority="132" operator="equal">
      <formula>2</formula>
    </cfRule>
  </conditionalFormatting>
  <conditionalFormatting sqref="F32">
    <cfRule type="cellIs" dxfId="245" priority="121" operator="equal">
      <formula>10</formula>
    </cfRule>
    <cfRule type="cellIs" dxfId="244" priority="122" operator="equal">
      <formula>8</formula>
    </cfRule>
    <cfRule type="cellIs" dxfId="243" priority="123" operator="equal">
      <formula>6</formula>
    </cfRule>
    <cfRule type="cellIs" dxfId="242" priority="124" operator="equal">
      <formula>4</formula>
    </cfRule>
    <cfRule type="cellIs" dxfId="241" priority="125" operator="equal">
      <formula>0</formula>
    </cfRule>
    <cfRule type="cellIs" dxfId="240" priority="126" operator="equal">
      <formula>2</formula>
    </cfRule>
  </conditionalFormatting>
  <conditionalFormatting sqref="F34">
    <cfRule type="cellIs" dxfId="239" priority="115" operator="equal">
      <formula>10</formula>
    </cfRule>
    <cfRule type="cellIs" dxfId="238" priority="116" operator="equal">
      <formula>8</formula>
    </cfRule>
    <cfRule type="cellIs" dxfId="237" priority="117" operator="equal">
      <formula>6</formula>
    </cfRule>
    <cfRule type="cellIs" dxfId="236" priority="118" operator="equal">
      <formula>4</formula>
    </cfRule>
    <cfRule type="cellIs" dxfId="235" priority="119" operator="equal">
      <formula>0</formula>
    </cfRule>
    <cfRule type="cellIs" dxfId="234" priority="120" operator="equal">
      <formula>2</formula>
    </cfRule>
  </conditionalFormatting>
  <conditionalFormatting sqref="F38">
    <cfRule type="cellIs" dxfId="233" priority="109" operator="equal">
      <formula>10</formula>
    </cfRule>
    <cfRule type="cellIs" dxfId="232" priority="110" operator="equal">
      <formula>8</formula>
    </cfRule>
    <cfRule type="cellIs" dxfId="231" priority="111" operator="equal">
      <formula>6</formula>
    </cfRule>
    <cfRule type="cellIs" dxfId="230" priority="112" operator="equal">
      <formula>4</formula>
    </cfRule>
    <cfRule type="cellIs" dxfId="229" priority="113" operator="equal">
      <formula>0</formula>
    </cfRule>
    <cfRule type="cellIs" dxfId="228" priority="114" operator="equal">
      <formula>2</formula>
    </cfRule>
  </conditionalFormatting>
  <conditionalFormatting sqref="F40">
    <cfRule type="cellIs" dxfId="227" priority="103" operator="equal">
      <formula>10</formula>
    </cfRule>
    <cfRule type="cellIs" dxfId="226" priority="104" operator="equal">
      <formula>8</formula>
    </cfRule>
    <cfRule type="cellIs" dxfId="225" priority="105" operator="equal">
      <formula>6</formula>
    </cfRule>
    <cfRule type="cellIs" dxfId="224" priority="106" operator="equal">
      <formula>4</formula>
    </cfRule>
    <cfRule type="cellIs" dxfId="223" priority="107" operator="equal">
      <formula>0</formula>
    </cfRule>
    <cfRule type="cellIs" dxfId="222" priority="108" operator="equal">
      <formula>2</formula>
    </cfRule>
  </conditionalFormatting>
  <conditionalFormatting sqref="F42">
    <cfRule type="cellIs" dxfId="221" priority="97" operator="equal">
      <formula>10</formula>
    </cfRule>
    <cfRule type="cellIs" dxfId="220" priority="98" operator="equal">
      <formula>8</formula>
    </cfRule>
    <cfRule type="cellIs" dxfId="219" priority="99" operator="equal">
      <formula>6</formula>
    </cfRule>
    <cfRule type="cellIs" dxfId="218" priority="100" operator="equal">
      <formula>4</formula>
    </cfRule>
    <cfRule type="cellIs" dxfId="217" priority="101" operator="equal">
      <formula>0</formula>
    </cfRule>
    <cfRule type="cellIs" dxfId="216" priority="102" operator="equal">
      <formula>2</formula>
    </cfRule>
  </conditionalFormatting>
  <conditionalFormatting sqref="F44">
    <cfRule type="cellIs" dxfId="215" priority="91" operator="equal">
      <formula>10</formula>
    </cfRule>
    <cfRule type="cellIs" dxfId="214" priority="92" operator="equal">
      <formula>8</formula>
    </cfRule>
    <cfRule type="cellIs" dxfId="213" priority="93" operator="equal">
      <formula>6</formula>
    </cfRule>
    <cfRule type="cellIs" dxfId="212" priority="94" operator="equal">
      <formula>4</formula>
    </cfRule>
    <cfRule type="cellIs" dxfId="211" priority="95" operator="equal">
      <formula>0</formula>
    </cfRule>
    <cfRule type="cellIs" dxfId="210" priority="96" operator="equal">
      <formula>2</formula>
    </cfRule>
  </conditionalFormatting>
  <conditionalFormatting sqref="F48">
    <cfRule type="cellIs" dxfId="209" priority="85" operator="equal">
      <formula>10</formula>
    </cfRule>
    <cfRule type="cellIs" dxfId="208" priority="86" operator="equal">
      <formula>8</formula>
    </cfRule>
    <cfRule type="cellIs" dxfId="207" priority="87" operator="equal">
      <formula>6</formula>
    </cfRule>
    <cfRule type="cellIs" dxfId="206" priority="88" operator="equal">
      <formula>4</formula>
    </cfRule>
    <cfRule type="cellIs" dxfId="205" priority="89" operator="equal">
      <formula>0</formula>
    </cfRule>
    <cfRule type="cellIs" dxfId="204" priority="90" operator="equal">
      <formula>2</formula>
    </cfRule>
  </conditionalFormatting>
  <conditionalFormatting sqref="F50">
    <cfRule type="cellIs" dxfId="203" priority="79" operator="equal">
      <formula>10</formula>
    </cfRule>
    <cfRule type="cellIs" dxfId="202" priority="80" operator="equal">
      <formula>8</formula>
    </cfRule>
    <cfRule type="cellIs" dxfId="201" priority="81" operator="equal">
      <formula>6</formula>
    </cfRule>
    <cfRule type="cellIs" dxfId="200" priority="82" operator="equal">
      <formula>4</formula>
    </cfRule>
    <cfRule type="cellIs" dxfId="199" priority="83" operator="equal">
      <formula>0</formula>
    </cfRule>
    <cfRule type="cellIs" dxfId="198" priority="84" operator="equal">
      <formula>2</formula>
    </cfRule>
  </conditionalFormatting>
  <conditionalFormatting sqref="F52">
    <cfRule type="cellIs" dxfId="197" priority="73" operator="equal">
      <formula>10</formula>
    </cfRule>
    <cfRule type="cellIs" dxfId="196" priority="74" operator="equal">
      <formula>8</formula>
    </cfRule>
    <cfRule type="cellIs" dxfId="195" priority="75" operator="equal">
      <formula>6</formula>
    </cfRule>
    <cfRule type="cellIs" dxfId="194" priority="76" operator="equal">
      <formula>4</formula>
    </cfRule>
    <cfRule type="cellIs" dxfId="193" priority="77" operator="equal">
      <formula>0</formula>
    </cfRule>
    <cfRule type="cellIs" dxfId="192" priority="78" operator="equal">
      <formula>2</formula>
    </cfRule>
  </conditionalFormatting>
  <conditionalFormatting sqref="F54">
    <cfRule type="cellIs" dxfId="191" priority="67" operator="equal">
      <formula>10</formula>
    </cfRule>
    <cfRule type="cellIs" dxfId="190" priority="68" operator="equal">
      <formula>8</formula>
    </cfRule>
    <cfRule type="cellIs" dxfId="189" priority="69" operator="equal">
      <formula>6</formula>
    </cfRule>
    <cfRule type="cellIs" dxfId="188" priority="70" operator="equal">
      <formula>4</formula>
    </cfRule>
    <cfRule type="cellIs" dxfId="187" priority="71" operator="equal">
      <formula>0</formula>
    </cfRule>
    <cfRule type="cellIs" dxfId="186" priority="72" operator="equal">
      <formula>2</formula>
    </cfRule>
  </conditionalFormatting>
  <conditionalFormatting sqref="F56">
    <cfRule type="cellIs" dxfId="185" priority="61" operator="equal">
      <formula>10</formula>
    </cfRule>
    <cfRule type="cellIs" dxfId="184" priority="62" operator="equal">
      <formula>8</formula>
    </cfRule>
    <cfRule type="cellIs" dxfId="183" priority="63" operator="equal">
      <formula>6</formula>
    </cfRule>
    <cfRule type="cellIs" dxfId="182" priority="64" operator="equal">
      <formula>4</formula>
    </cfRule>
    <cfRule type="cellIs" dxfId="181" priority="65" operator="equal">
      <formula>0</formula>
    </cfRule>
    <cfRule type="cellIs" dxfId="180" priority="66" operator="equal">
      <formula>2</formula>
    </cfRule>
  </conditionalFormatting>
  <conditionalFormatting sqref="F58">
    <cfRule type="cellIs" dxfId="179" priority="55" operator="equal">
      <formula>10</formula>
    </cfRule>
    <cfRule type="cellIs" dxfId="178" priority="56" operator="equal">
      <formula>8</formula>
    </cfRule>
    <cfRule type="cellIs" dxfId="177" priority="57" operator="equal">
      <formula>6</formula>
    </cfRule>
    <cfRule type="cellIs" dxfId="176" priority="58" operator="equal">
      <formula>4</formula>
    </cfRule>
    <cfRule type="cellIs" dxfId="175" priority="59" operator="equal">
      <formula>0</formula>
    </cfRule>
    <cfRule type="cellIs" dxfId="174" priority="60" operator="equal">
      <formula>2</formula>
    </cfRule>
  </conditionalFormatting>
  <conditionalFormatting sqref="F60">
    <cfRule type="cellIs" dxfId="173" priority="49" operator="equal">
      <formula>10</formula>
    </cfRule>
    <cfRule type="cellIs" dxfId="172" priority="50" operator="equal">
      <formula>8</formula>
    </cfRule>
    <cfRule type="cellIs" dxfId="171" priority="51" operator="equal">
      <formula>6</formula>
    </cfRule>
    <cfRule type="cellIs" dxfId="170" priority="52" operator="equal">
      <formula>4</formula>
    </cfRule>
    <cfRule type="cellIs" dxfId="169" priority="53" operator="equal">
      <formula>0</formula>
    </cfRule>
    <cfRule type="cellIs" dxfId="168" priority="54" operator="equal">
      <formula>2</formula>
    </cfRule>
  </conditionalFormatting>
  <conditionalFormatting sqref="F64">
    <cfRule type="cellIs" dxfId="167" priority="43" operator="equal">
      <formula>10</formula>
    </cfRule>
    <cfRule type="cellIs" dxfId="166" priority="44" operator="equal">
      <formula>8</formula>
    </cfRule>
    <cfRule type="cellIs" dxfId="165" priority="45" operator="equal">
      <formula>6</formula>
    </cfRule>
    <cfRule type="cellIs" dxfId="164" priority="46" operator="equal">
      <formula>4</formula>
    </cfRule>
    <cfRule type="cellIs" dxfId="163" priority="47" operator="equal">
      <formula>0</formula>
    </cfRule>
    <cfRule type="cellIs" dxfId="162" priority="48" operator="equal">
      <formula>2</formula>
    </cfRule>
  </conditionalFormatting>
  <conditionalFormatting sqref="F66">
    <cfRule type="cellIs" dxfId="161" priority="37" operator="equal">
      <formula>10</formula>
    </cfRule>
    <cfRule type="cellIs" dxfId="160" priority="38" operator="equal">
      <formula>8</formula>
    </cfRule>
    <cfRule type="cellIs" dxfId="159" priority="39" operator="equal">
      <formula>6</formula>
    </cfRule>
    <cfRule type="cellIs" dxfId="158" priority="40" operator="equal">
      <formula>4</formula>
    </cfRule>
    <cfRule type="cellIs" dxfId="157" priority="41" operator="equal">
      <formula>0</formula>
    </cfRule>
    <cfRule type="cellIs" dxfId="156" priority="42" operator="equal">
      <formula>2</formula>
    </cfRule>
  </conditionalFormatting>
  <conditionalFormatting sqref="F68">
    <cfRule type="cellIs" dxfId="155" priority="31" operator="equal">
      <formula>10</formula>
    </cfRule>
    <cfRule type="cellIs" dxfId="154" priority="32" operator="equal">
      <formula>8</formula>
    </cfRule>
    <cfRule type="cellIs" dxfId="153" priority="33" operator="equal">
      <formula>6</formula>
    </cfRule>
    <cfRule type="cellIs" dxfId="152" priority="34" operator="equal">
      <formula>4</formula>
    </cfRule>
    <cfRule type="cellIs" dxfId="151" priority="35" operator="equal">
      <formula>0</formula>
    </cfRule>
    <cfRule type="cellIs" dxfId="150" priority="36" operator="equal">
      <formula>2</formula>
    </cfRule>
  </conditionalFormatting>
  <conditionalFormatting sqref="F70">
    <cfRule type="cellIs" dxfId="149" priority="25" operator="equal">
      <formula>10</formula>
    </cfRule>
    <cfRule type="cellIs" dxfId="148" priority="26" operator="equal">
      <formula>8</formula>
    </cfRule>
    <cfRule type="cellIs" dxfId="147" priority="27" operator="equal">
      <formula>6</formula>
    </cfRule>
    <cfRule type="cellIs" dxfId="146" priority="28" operator="equal">
      <formula>4</formula>
    </cfRule>
    <cfRule type="cellIs" dxfId="145" priority="29" operator="equal">
      <formula>0</formula>
    </cfRule>
    <cfRule type="cellIs" dxfId="144" priority="30" operator="equal">
      <formula>2</formula>
    </cfRule>
  </conditionalFormatting>
  <conditionalFormatting sqref="F72">
    <cfRule type="cellIs" dxfId="143" priority="19" operator="equal">
      <formula>10</formula>
    </cfRule>
    <cfRule type="cellIs" dxfId="142" priority="20" operator="equal">
      <formula>8</formula>
    </cfRule>
    <cfRule type="cellIs" dxfId="141" priority="21" operator="equal">
      <formula>6</formula>
    </cfRule>
    <cfRule type="cellIs" dxfId="140" priority="22" operator="equal">
      <formula>4</formula>
    </cfRule>
    <cfRule type="cellIs" dxfId="139" priority="23" operator="equal">
      <formula>0</formula>
    </cfRule>
    <cfRule type="cellIs" dxfId="138" priority="24" operator="equal">
      <formula>2</formula>
    </cfRule>
  </conditionalFormatting>
  <conditionalFormatting sqref="F74">
    <cfRule type="cellIs" dxfId="137" priority="13" operator="equal">
      <formula>10</formula>
    </cfRule>
    <cfRule type="cellIs" dxfId="136" priority="14" operator="equal">
      <formula>8</formula>
    </cfRule>
    <cfRule type="cellIs" dxfId="135" priority="15" operator="equal">
      <formula>6</formula>
    </cfRule>
    <cfRule type="cellIs" dxfId="134" priority="16" operator="equal">
      <formula>4</formula>
    </cfRule>
    <cfRule type="cellIs" dxfId="133" priority="17" operator="equal">
      <formula>0</formula>
    </cfRule>
    <cfRule type="cellIs" dxfId="132" priority="18" operator="equal">
      <formula>2</formula>
    </cfRule>
  </conditionalFormatting>
  <conditionalFormatting sqref="F78">
    <cfRule type="cellIs" dxfId="131" priority="7" operator="equal">
      <formula>10</formula>
    </cfRule>
    <cfRule type="cellIs" dxfId="130" priority="8" operator="equal">
      <formula>8</formula>
    </cfRule>
    <cfRule type="cellIs" dxfId="129" priority="9" operator="equal">
      <formula>6</formula>
    </cfRule>
    <cfRule type="cellIs" dxfId="128" priority="10" operator="equal">
      <formula>4</formula>
    </cfRule>
    <cfRule type="cellIs" dxfId="127" priority="11" operator="equal">
      <formula>0</formula>
    </cfRule>
    <cfRule type="cellIs" dxfId="126" priority="12" operator="equal">
      <formula>2</formula>
    </cfRule>
  </conditionalFormatting>
  <conditionalFormatting sqref="F80">
    <cfRule type="cellIs" dxfId="125" priority="1" operator="equal">
      <formula>10</formula>
    </cfRule>
    <cfRule type="cellIs" dxfId="124" priority="2" operator="equal">
      <formula>8</formula>
    </cfRule>
    <cfRule type="cellIs" dxfId="123" priority="3" operator="equal">
      <formula>6</formula>
    </cfRule>
    <cfRule type="cellIs" dxfId="122" priority="4" operator="equal">
      <formula>4</formula>
    </cfRule>
    <cfRule type="cellIs" dxfId="121" priority="5" operator="equal">
      <formula>0</formula>
    </cfRule>
    <cfRule type="cellIs" dxfId="120" priority="6" operator="equal">
      <formula>2</formula>
    </cfRule>
  </conditionalFormatting>
  <dataValidations count="1">
    <dataValidation type="list" allowBlank="1" sqref="F8 F10 F12 F16 F18 F20 F22 F24 F26 F28 F30 F32 F34 F38 F40 F42 F44 F48 F50 F52 F54 F56 F58 F60 F64 F66 F68 F70 F72 F74 F78 F80" xr:uid="{00000000-0002-0000-0900-000000000000}">
      <formula1>"n.e.,0,4,6,8,10"</formula1>
    </dataValidation>
  </dataValidations>
  <hyperlinks>
    <hyperlink ref="G8" location="Remarks!H126" display="▶️" xr:uid="{00000000-0004-0000-0900-000000000000}"/>
    <hyperlink ref="G10" location="Remarks!H127" display="▶️" xr:uid="{00000000-0004-0000-0900-000001000000}"/>
    <hyperlink ref="G12" location="Remarks!H128" display="▶️" xr:uid="{00000000-0004-0000-0900-000002000000}"/>
    <hyperlink ref="G16" location="Remarks!H129" display="▶️" xr:uid="{00000000-0004-0000-0900-000003000000}"/>
    <hyperlink ref="G18" location="Remarks!H130" display="▶️" xr:uid="{00000000-0004-0000-0900-000004000000}"/>
    <hyperlink ref="G20" location="Remarks!H131" display="▶️" xr:uid="{00000000-0004-0000-0900-000005000000}"/>
    <hyperlink ref="G22" location="Remarks!H132" display="▶️" xr:uid="{00000000-0004-0000-0900-000006000000}"/>
    <hyperlink ref="G24" location="Remarks!H133" display="▶️" xr:uid="{00000000-0004-0000-0900-000007000000}"/>
    <hyperlink ref="G26" location="Remarks!H134" display="▶️" xr:uid="{00000000-0004-0000-0900-000008000000}"/>
    <hyperlink ref="G28" location="Remarks!H135" display="▶️" xr:uid="{00000000-0004-0000-0900-000009000000}"/>
    <hyperlink ref="G30" location="Remarks!H136" display="▶️" xr:uid="{00000000-0004-0000-0900-00000A000000}"/>
    <hyperlink ref="G32" location="Remarks!H137" display="▶️" xr:uid="{00000000-0004-0000-0900-00000B000000}"/>
    <hyperlink ref="G34" location="Remarks!H138" display="▶️" xr:uid="{00000000-0004-0000-0900-00000C000000}"/>
    <hyperlink ref="G38" location="Remarks!H139" display="▶️" xr:uid="{00000000-0004-0000-0900-00000D000000}"/>
    <hyperlink ref="G40" location="Remarks!H140" display="▶️" xr:uid="{00000000-0004-0000-0900-00000E000000}"/>
    <hyperlink ref="G42" location="Remarks!H141" display="▶️" xr:uid="{00000000-0004-0000-0900-00000F000000}"/>
    <hyperlink ref="G44" location="Remarks!H142" display="▶️" xr:uid="{00000000-0004-0000-0900-000010000000}"/>
    <hyperlink ref="G48" location="Remarks!H143" display="▶️" xr:uid="{00000000-0004-0000-0900-000011000000}"/>
    <hyperlink ref="G50" location="Remarks!H144" display="▶️" xr:uid="{00000000-0004-0000-0900-000012000000}"/>
    <hyperlink ref="G52" location="Remarks!H145" display="▶️" xr:uid="{00000000-0004-0000-0900-000013000000}"/>
    <hyperlink ref="G54" location="Remarks!H146" display="▶️" xr:uid="{00000000-0004-0000-0900-000014000000}"/>
    <hyperlink ref="G56" location="Remarks!H147" display="▶️" xr:uid="{00000000-0004-0000-0900-000015000000}"/>
    <hyperlink ref="G58" location="Remarks!H148" display="▶️" xr:uid="{00000000-0004-0000-0900-000016000000}"/>
    <hyperlink ref="G60" location="Remarks!H149" display="▶️" xr:uid="{00000000-0004-0000-0900-000017000000}"/>
    <hyperlink ref="G64" location="Remarks!H150" display="▶️" xr:uid="{00000000-0004-0000-0900-000018000000}"/>
    <hyperlink ref="G66" location="Remarks!H151" display="▶️" xr:uid="{00000000-0004-0000-0900-000019000000}"/>
    <hyperlink ref="G68" location="Remarks!H152" display="▶️" xr:uid="{00000000-0004-0000-0900-00001A000000}"/>
    <hyperlink ref="G70" location="Remarks!H153" display="▶️" xr:uid="{00000000-0004-0000-0900-00001B000000}"/>
    <hyperlink ref="G72" location="Remarks!H154" display="▶️" xr:uid="{00000000-0004-0000-0900-00001C000000}"/>
    <hyperlink ref="G74" location="Remarks!H155" display="▶️" xr:uid="{00000000-0004-0000-0900-00001D000000}"/>
    <hyperlink ref="G78" location="Remarks!H156" display="▶️" xr:uid="{00000000-0004-0000-0900-00001E000000}"/>
    <hyperlink ref="G80" location="Remarks!H157" display="▶️" xr:uid="{00000000-0004-0000-0900-00001F000000}"/>
  </hyperlinks>
  <pageMargins left="0.75" right="0.75" top="1" bottom="1" header="0.5" footer="0.5"/>
  <headerFooter>
    <oddHeader>&amp;L&amp;"Calibri"&amp;1 &amp;K000000 INTERNAL#_x000D_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2F743-A83F-C14E-B9A9-C789632CB756}">
  <sheetPr codeName="Sheet11"/>
  <dimension ref="A1:G62"/>
  <sheetViews>
    <sheetView topLeftCell="A12" workbookViewId="0">
      <selection activeCell="U29" sqref="U29"/>
    </sheetView>
  </sheetViews>
  <sheetFormatPr baseColWidth="10" defaultColWidth="8.83203125" defaultRowHeight="16"/>
  <cols>
    <col min="1" max="1" width="7" customWidth="1"/>
    <col min="2" max="2" width="4" customWidth="1"/>
    <col min="3" max="3" width="2" customWidth="1"/>
    <col min="4" max="4" width="55" customWidth="1"/>
    <col min="5" max="5" width="40" customWidth="1"/>
    <col min="6" max="7" width="15" customWidth="1"/>
  </cols>
  <sheetData>
    <row r="1" spans="1:7" ht="30" customHeight="1">
      <c r="A1" s="150" t="s">
        <v>312</v>
      </c>
      <c r="B1" s="170"/>
      <c r="C1" s="170"/>
      <c r="D1" s="170"/>
      <c r="E1" s="170"/>
      <c r="F1" s="170"/>
      <c r="G1" s="170"/>
    </row>
    <row r="2" spans="1:7" ht="6" customHeight="1"/>
    <row r="3" spans="1:7" ht="20" customHeight="1">
      <c r="A3" s="74" t="s">
        <v>3</v>
      </c>
      <c r="B3" s="74" t="s">
        <v>59</v>
      </c>
      <c r="D3" s="74" t="s">
        <v>395</v>
      </c>
      <c r="E3" s="74" t="s">
        <v>396</v>
      </c>
      <c r="F3" s="74" t="s">
        <v>55</v>
      </c>
      <c r="G3" s="74" t="s">
        <v>397</v>
      </c>
    </row>
    <row r="4" spans="1:7" ht="6" customHeight="1"/>
    <row r="5" spans="1:7" ht="6" customHeight="1"/>
    <row r="6" spans="1:7" ht="22" customHeight="1">
      <c r="A6" s="173" t="s">
        <v>592</v>
      </c>
      <c r="B6" s="168"/>
      <c r="C6" s="168"/>
      <c r="D6" s="168"/>
      <c r="E6" s="168"/>
      <c r="F6" s="168"/>
      <c r="G6" s="169"/>
    </row>
    <row r="7" spans="1:7" ht="28" customHeight="1">
      <c r="A7" s="87" t="s">
        <v>313</v>
      </c>
      <c r="B7" s="77"/>
      <c r="D7" s="172" t="s">
        <v>593</v>
      </c>
      <c r="E7" s="169"/>
      <c r="F7" s="88" t="str">
        <f>IF(OR(F8="n.e.",F8=""),"not evaluated","evaluated")</f>
        <v>not evaluated</v>
      </c>
      <c r="G7" s="77"/>
    </row>
    <row r="8" spans="1:7" ht="80" customHeight="1">
      <c r="A8" s="77"/>
      <c r="B8" s="77"/>
      <c r="D8" s="80" t="s">
        <v>935</v>
      </c>
      <c r="E8" s="80" t="s">
        <v>936</v>
      </c>
      <c r="F8" s="89" t="s">
        <v>393</v>
      </c>
      <c r="G8" s="81" t="s">
        <v>400</v>
      </c>
    </row>
    <row r="9" spans="1:7" ht="28" customHeight="1">
      <c r="A9" s="87" t="s">
        <v>315</v>
      </c>
      <c r="B9" s="79" t="s">
        <v>59</v>
      </c>
      <c r="D9" s="172" t="s">
        <v>594</v>
      </c>
      <c r="E9" s="169"/>
      <c r="F9" s="88" t="str">
        <f>IF(OR(F10="n.e.",F10=""),"not evaluated","evaluated")</f>
        <v>not evaluated</v>
      </c>
      <c r="G9" s="77"/>
    </row>
    <row r="10" spans="1:7" ht="80" customHeight="1">
      <c r="A10" s="77"/>
      <c r="B10" s="77"/>
      <c r="D10" s="80" t="s">
        <v>937</v>
      </c>
      <c r="E10" s="80" t="s">
        <v>938</v>
      </c>
      <c r="F10" s="89" t="s">
        <v>393</v>
      </c>
      <c r="G10" s="81" t="s">
        <v>400</v>
      </c>
    </row>
    <row r="11" spans="1:7" ht="28" customHeight="1">
      <c r="A11" s="87" t="s">
        <v>317</v>
      </c>
      <c r="B11" s="77"/>
      <c r="D11" s="172" t="s">
        <v>595</v>
      </c>
      <c r="E11" s="169"/>
      <c r="F11" s="88" t="str">
        <f>IF(OR(F12="n.e.",F12=""),"not evaluated","evaluated")</f>
        <v>not evaluated</v>
      </c>
      <c r="G11" s="77"/>
    </row>
    <row r="12" spans="1:7" ht="80" customHeight="1">
      <c r="A12" s="77"/>
      <c r="B12" s="77"/>
      <c r="D12" s="80" t="s">
        <v>939</v>
      </c>
      <c r="E12" s="80" t="s">
        <v>940</v>
      </c>
      <c r="F12" s="89" t="s">
        <v>393</v>
      </c>
      <c r="G12" s="81" t="s">
        <v>400</v>
      </c>
    </row>
    <row r="14" spans="1:7" ht="22" customHeight="1">
      <c r="A14" s="173" t="s">
        <v>596</v>
      </c>
      <c r="B14" s="168"/>
      <c r="C14" s="168"/>
      <c r="D14" s="168"/>
      <c r="E14" s="168"/>
      <c r="F14" s="168"/>
      <c r="G14" s="169"/>
    </row>
    <row r="15" spans="1:7" ht="28" customHeight="1">
      <c r="A15" s="87" t="s">
        <v>319</v>
      </c>
      <c r="B15" s="79" t="s">
        <v>59</v>
      </c>
      <c r="D15" s="172" t="s">
        <v>597</v>
      </c>
      <c r="E15" s="169"/>
      <c r="F15" s="88" t="str">
        <f>IF(OR(F16="n.e.",F16=""),"not evaluated","evaluated")</f>
        <v>not evaluated</v>
      </c>
      <c r="G15" s="77"/>
    </row>
    <row r="16" spans="1:7" ht="80" customHeight="1">
      <c r="A16" s="77"/>
      <c r="B16" s="77"/>
      <c r="D16" s="80" t="s">
        <v>941</v>
      </c>
      <c r="E16" s="80" t="s">
        <v>942</v>
      </c>
      <c r="F16" s="89" t="s">
        <v>393</v>
      </c>
      <c r="G16" s="81" t="s">
        <v>400</v>
      </c>
    </row>
    <row r="17" spans="1:7" ht="28" customHeight="1">
      <c r="A17" s="87" t="s">
        <v>321</v>
      </c>
      <c r="B17" s="79" t="s">
        <v>59</v>
      </c>
      <c r="D17" s="172" t="s">
        <v>598</v>
      </c>
      <c r="E17" s="169"/>
      <c r="F17" s="88" t="str">
        <f>IF(OR(F18="n.e.",F18=""),"not evaluated","evaluated")</f>
        <v>not evaluated</v>
      </c>
      <c r="G17" s="77"/>
    </row>
    <row r="18" spans="1:7" ht="80" customHeight="1">
      <c r="A18" s="77"/>
      <c r="B18" s="77"/>
      <c r="D18" s="80" t="s">
        <v>943</v>
      </c>
      <c r="E18" s="80" t="s">
        <v>944</v>
      </c>
      <c r="F18" s="89" t="s">
        <v>393</v>
      </c>
      <c r="G18" s="81" t="s">
        <v>400</v>
      </c>
    </row>
    <row r="19" spans="1:7" ht="28" customHeight="1">
      <c r="A19" s="87" t="s">
        <v>323</v>
      </c>
      <c r="B19" s="77"/>
      <c r="D19" s="172" t="s">
        <v>599</v>
      </c>
      <c r="E19" s="169"/>
      <c r="F19" s="88" t="str">
        <f>IF(OR(F20="n.e.",F20=""),"not evaluated","evaluated")</f>
        <v>not evaluated</v>
      </c>
      <c r="G19" s="77"/>
    </row>
    <row r="20" spans="1:7" ht="80" customHeight="1">
      <c r="A20" s="77"/>
      <c r="B20" s="77"/>
      <c r="D20" s="80" t="s">
        <v>945</v>
      </c>
      <c r="E20" s="80" t="s">
        <v>946</v>
      </c>
      <c r="F20" s="89" t="s">
        <v>393</v>
      </c>
      <c r="G20" s="81" t="s">
        <v>400</v>
      </c>
    </row>
    <row r="22" spans="1:7" ht="22" customHeight="1">
      <c r="A22" s="173" t="s">
        <v>600</v>
      </c>
      <c r="B22" s="168"/>
      <c r="C22" s="168"/>
      <c r="D22" s="168"/>
      <c r="E22" s="168"/>
      <c r="F22" s="168"/>
      <c r="G22" s="169"/>
    </row>
    <row r="23" spans="1:7" ht="28" customHeight="1">
      <c r="A23" s="87" t="s">
        <v>324</v>
      </c>
      <c r="B23" s="77"/>
      <c r="D23" s="172" t="s">
        <v>601</v>
      </c>
      <c r="E23" s="169"/>
      <c r="F23" s="88" t="str">
        <f>IF(OR(F24="n.e.",F24=""),"not evaluated","evaluated")</f>
        <v>not evaluated</v>
      </c>
      <c r="G23" s="77"/>
    </row>
    <row r="24" spans="1:7" ht="80" customHeight="1">
      <c r="A24" s="77"/>
      <c r="B24" s="77"/>
      <c r="D24" s="80" t="s">
        <v>947</v>
      </c>
      <c r="E24" s="80" t="s">
        <v>948</v>
      </c>
      <c r="F24" s="89" t="s">
        <v>393</v>
      </c>
      <c r="G24" s="81" t="s">
        <v>400</v>
      </c>
    </row>
    <row r="25" spans="1:7" ht="28" customHeight="1">
      <c r="A25" s="87" t="s">
        <v>325</v>
      </c>
      <c r="B25" s="77"/>
      <c r="D25" s="172" t="s">
        <v>602</v>
      </c>
      <c r="E25" s="169"/>
      <c r="F25" s="88" t="str">
        <f>IF(OR(F26="n.e.",F26=""),"not evaluated","evaluated")</f>
        <v>not evaluated</v>
      </c>
      <c r="G25" s="77"/>
    </row>
    <row r="26" spans="1:7" ht="80" customHeight="1">
      <c r="A26" s="77"/>
      <c r="B26" s="77"/>
      <c r="D26" s="80" t="s">
        <v>949</v>
      </c>
      <c r="E26" s="80" t="s">
        <v>950</v>
      </c>
      <c r="F26" s="89" t="s">
        <v>393</v>
      </c>
      <c r="G26" s="81" t="s">
        <v>400</v>
      </c>
    </row>
    <row r="27" spans="1:7" ht="28" customHeight="1">
      <c r="A27" s="87" t="s">
        <v>326</v>
      </c>
      <c r="B27" s="77"/>
      <c r="D27" s="172" t="s">
        <v>603</v>
      </c>
      <c r="E27" s="169"/>
      <c r="F27" s="88" t="str">
        <f>IF(OR(F28="n.e.",F28=""),"not evaluated","evaluated")</f>
        <v>not evaluated</v>
      </c>
      <c r="G27" s="77"/>
    </row>
    <row r="28" spans="1:7" ht="80" customHeight="1">
      <c r="A28" s="77"/>
      <c r="B28" s="77"/>
      <c r="D28" s="80" t="s">
        <v>951</v>
      </c>
      <c r="E28" s="80" t="s">
        <v>952</v>
      </c>
      <c r="F28" s="89" t="s">
        <v>393</v>
      </c>
      <c r="G28" s="81" t="s">
        <v>400</v>
      </c>
    </row>
    <row r="29" spans="1:7" ht="28" customHeight="1">
      <c r="A29" s="87" t="s">
        <v>328</v>
      </c>
      <c r="B29" s="79" t="s">
        <v>59</v>
      </c>
      <c r="D29" s="172" t="s">
        <v>604</v>
      </c>
      <c r="E29" s="169"/>
      <c r="F29" s="88" t="str">
        <f>IF(OR(F30="n.e.",F30=""),"not evaluated","evaluated")</f>
        <v>not evaluated</v>
      </c>
      <c r="G29" s="77"/>
    </row>
    <row r="30" spans="1:7" ht="80" customHeight="1">
      <c r="A30" s="77"/>
      <c r="B30" s="77"/>
      <c r="D30" s="80" t="s">
        <v>953</v>
      </c>
      <c r="E30" s="80" t="s">
        <v>727</v>
      </c>
      <c r="F30" s="89" t="s">
        <v>393</v>
      </c>
      <c r="G30" s="81" t="s">
        <v>400</v>
      </c>
    </row>
    <row r="32" spans="1:7" ht="22" customHeight="1">
      <c r="A32" s="173" t="s">
        <v>605</v>
      </c>
      <c r="B32" s="168"/>
      <c r="C32" s="168"/>
      <c r="D32" s="168"/>
      <c r="E32" s="168"/>
      <c r="F32" s="168"/>
      <c r="G32" s="169"/>
    </row>
    <row r="33" spans="1:7" ht="28" customHeight="1">
      <c r="A33" s="87" t="s">
        <v>329</v>
      </c>
      <c r="B33" s="77"/>
      <c r="D33" s="172" t="s">
        <v>606</v>
      </c>
      <c r="E33" s="169"/>
      <c r="F33" s="88" t="str">
        <f>IF(OR(F34="n.e.",F34=""),"not evaluated","evaluated")</f>
        <v>not evaluated</v>
      </c>
      <c r="G33" s="77"/>
    </row>
    <row r="34" spans="1:7" ht="80" customHeight="1">
      <c r="A34" s="77"/>
      <c r="B34" s="77"/>
      <c r="D34" s="80" t="s">
        <v>954</v>
      </c>
      <c r="E34" s="80" t="s">
        <v>683</v>
      </c>
      <c r="F34" s="89" t="s">
        <v>393</v>
      </c>
      <c r="G34" s="81" t="s">
        <v>400</v>
      </c>
    </row>
    <row r="35" spans="1:7" ht="28" customHeight="1">
      <c r="A35" s="87" t="s">
        <v>330</v>
      </c>
      <c r="B35" s="77"/>
      <c r="D35" s="172" t="s">
        <v>607</v>
      </c>
      <c r="E35" s="169"/>
      <c r="F35" s="88" t="str">
        <f>IF(OR(F36="n.e.",F36=""),"not evaluated","evaluated")</f>
        <v>not evaluated</v>
      </c>
      <c r="G35" s="77"/>
    </row>
    <row r="36" spans="1:7" ht="80" customHeight="1">
      <c r="A36" s="77"/>
      <c r="B36" s="77"/>
      <c r="D36" s="80" t="s">
        <v>955</v>
      </c>
      <c r="E36" s="80" t="s">
        <v>956</v>
      </c>
      <c r="F36" s="89" t="s">
        <v>393</v>
      </c>
      <c r="G36" s="81" t="s">
        <v>400</v>
      </c>
    </row>
    <row r="37" spans="1:7" ht="28" customHeight="1">
      <c r="A37" s="87" t="s">
        <v>331</v>
      </c>
      <c r="B37" s="77"/>
      <c r="D37" s="172" t="s">
        <v>608</v>
      </c>
      <c r="E37" s="169"/>
      <c r="F37" s="88" t="str">
        <f>IF(OR(F38="n.e.",F38=""),"not evaluated","evaluated")</f>
        <v>not evaluated</v>
      </c>
      <c r="G37" s="77"/>
    </row>
    <row r="38" spans="1:7" ht="80" customHeight="1">
      <c r="A38" s="77"/>
      <c r="B38" s="77"/>
      <c r="D38" s="80" t="s">
        <v>776</v>
      </c>
      <c r="E38" s="80" t="s">
        <v>687</v>
      </c>
      <c r="F38" s="89" t="s">
        <v>393</v>
      </c>
      <c r="G38" s="81" t="s">
        <v>400</v>
      </c>
    </row>
    <row r="40" spans="1:7" ht="22" customHeight="1">
      <c r="A40" s="173" t="s">
        <v>609</v>
      </c>
      <c r="B40" s="168"/>
      <c r="C40" s="168"/>
      <c r="D40" s="168"/>
      <c r="E40" s="168"/>
      <c r="F40" s="168"/>
      <c r="G40" s="169"/>
    </row>
    <row r="41" spans="1:7" ht="28" customHeight="1">
      <c r="A41" s="87" t="s">
        <v>332</v>
      </c>
      <c r="B41" s="79" t="s">
        <v>59</v>
      </c>
      <c r="D41" s="172" t="s">
        <v>610</v>
      </c>
      <c r="E41" s="169"/>
      <c r="F41" s="88" t="str">
        <f>IF(OR(F42="n.e.",F42=""),"not evaluated","evaluated")</f>
        <v>not evaluated</v>
      </c>
      <c r="G41" s="77"/>
    </row>
    <row r="42" spans="1:7" ht="80" customHeight="1">
      <c r="A42" s="77"/>
      <c r="B42" s="77"/>
      <c r="D42" s="80" t="s">
        <v>957</v>
      </c>
      <c r="E42" s="80" t="s">
        <v>958</v>
      </c>
      <c r="F42" s="89" t="s">
        <v>393</v>
      </c>
      <c r="G42" s="81" t="s">
        <v>400</v>
      </c>
    </row>
    <row r="43" spans="1:7" ht="28" customHeight="1">
      <c r="A43" s="87" t="s">
        <v>334</v>
      </c>
      <c r="B43" s="77"/>
      <c r="D43" s="172" t="s">
        <v>611</v>
      </c>
      <c r="E43" s="169"/>
      <c r="F43" s="88" t="str">
        <f>IF(OR(F44="n.e.",F44=""),"not evaluated","evaluated")</f>
        <v>not evaluated</v>
      </c>
      <c r="G43" s="77"/>
    </row>
    <row r="44" spans="1:7" ht="80" customHeight="1">
      <c r="A44" s="77"/>
      <c r="B44" s="77"/>
      <c r="D44" s="80" t="s">
        <v>959</v>
      </c>
      <c r="E44" s="80" t="s">
        <v>960</v>
      </c>
      <c r="F44" s="89" t="s">
        <v>393</v>
      </c>
      <c r="G44" s="81" t="s">
        <v>400</v>
      </c>
    </row>
    <row r="45" spans="1:7" ht="28" customHeight="1">
      <c r="A45" s="87" t="s">
        <v>336</v>
      </c>
      <c r="B45" s="79" t="s">
        <v>59</v>
      </c>
      <c r="D45" s="172" t="s">
        <v>612</v>
      </c>
      <c r="E45" s="169"/>
      <c r="F45" s="88" t="str">
        <f>IF(OR(F46="n.e.",F46=""),"not evaluated","evaluated")</f>
        <v>not evaluated</v>
      </c>
      <c r="G45" s="77"/>
    </row>
    <row r="46" spans="1:7" ht="80" customHeight="1">
      <c r="A46" s="77"/>
      <c r="B46" s="77"/>
      <c r="D46" s="80" t="s">
        <v>961</v>
      </c>
      <c r="E46" s="80" t="s">
        <v>962</v>
      </c>
      <c r="F46" s="89" t="s">
        <v>393</v>
      </c>
      <c r="G46" s="81" t="s">
        <v>400</v>
      </c>
    </row>
    <row r="47" spans="1:7" ht="28" customHeight="1">
      <c r="A47" s="87" t="s">
        <v>337</v>
      </c>
      <c r="B47" s="77"/>
      <c r="D47" s="172" t="s">
        <v>613</v>
      </c>
      <c r="E47" s="169"/>
      <c r="F47" s="88" t="str">
        <f>IF(OR(F48="n.e.",F48=""),"not evaluated","evaluated")</f>
        <v>not evaluated</v>
      </c>
      <c r="G47" s="77"/>
    </row>
    <row r="48" spans="1:7" ht="80" customHeight="1">
      <c r="A48" s="77"/>
      <c r="B48" s="77"/>
      <c r="D48" s="80" t="s">
        <v>868</v>
      </c>
      <c r="E48" s="80" t="s">
        <v>963</v>
      </c>
      <c r="F48" s="89" t="s">
        <v>393</v>
      </c>
      <c r="G48" s="81" t="s">
        <v>400</v>
      </c>
    </row>
    <row r="49" spans="1:7" ht="28" customHeight="1">
      <c r="A49" s="87" t="s">
        <v>338</v>
      </c>
      <c r="B49" s="77"/>
      <c r="D49" s="172" t="s">
        <v>614</v>
      </c>
      <c r="E49" s="169"/>
      <c r="F49" s="88" t="str">
        <f>IF(OR(F50="n.e.",F50=""),"not evaluated","evaluated")</f>
        <v>not evaluated</v>
      </c>
      <c r="G49" s="77"/>
    </row>
    <row r="50" spans="1:7" ht="80" customHeight="1">
      <c r="A50" s="77"/>
      <c r="B50" s="77"/>
      <c r="D50" s="80" t="s">
        <v>930</v>
      </c>
      <c r="E50" s="80" t="s">
        <v>964</v>
      </c>
      <c r="F50" s="89" t="s">
        <v>393</v>
      </c>
      <c r="G50" s="81" t="s">
        <v>400</v>
      </c>
    </row>
    <row r="52" spans="1:7" ht="22" customHeight="1">
      <c r="A52" s="173" t="s">
        <v>615</v>
      </c>
      <c r="B52" s="168"/>
      <c r="C52" s="168"/>
      <c r="D52" s="168"/>
      <c r="E52" s="168"/>
      <c r="F52" s="168"/>
      <c r="G52" s="169"/>
    </row>
    <row r="53" spans="1:7" ht="28" customHeight="1">
      <c r="A53" s="87" t="s">
        <v>340</v>
      </c>
      <c r="B53" s="79" t="s">
        <v>59</v>
      </c>
      <c r="D53" s="172" t="s">
        <v>616</v>
      </c>
      <c r="E53" s="169"/>
      <c r="F53" s="88" t="str">
        <f>IF(OR(F54="n.e.",F54=""),"not evaluated","evaluated")</f>
        <v>not evaluated</v>
      </c>
      <c r="G53" s="77"/>
    </row>
    <row r="54" spans="1:7" ht="80" customHeight="1">
      <c r="A54" s="77"/>
      <c r="B54" s="77"/>
      <c r="D54" s="80" t="s">
        <v>965</v>
      </c>
      <c r="E54" s="80" t="s">
        <v>966</v>
      </c>
      <c r="F54" s="89" t="s">
        <v>393</v>
      </c>
      <c r="G54" s="81" t="s">
        <v>400</v>
      </c>
    </row>
    <row r="55" spans="1:7" ht="28" customHeight="1">
      <c r="A55" s="87" t="s">
        <v>341</v>
      </c>
      <c r="B55" s="77"/>
      <c r="D55" s="172" t="s">
        <v>617</v>
      </c>
      <c r="E55" s="169"/>
      <c r="F55" s="88" t="str">
        <f>IF(OR(F56="n.e.",F56=""),"not evaluated","evaluated")</f>
        <v>not evaluated</v>
      </c>
      <c r="G55" s="77"/>
    </row>
    <row r="56" spans="1:7" ht="80" customHeight="1">
      <c r="A56" s="77"/>
      <c r="B56" s="77"/>
      <c r="D56" s="80" t="s">
        <v>967</v>
      </c>
      <c r="E56" s="80" t="s">
        <v>968</v>
      </c>
      <c r="F56" s="89" t="s">
        <v>393</v>
      </c>
      <c r="G56" s="81" t="s">
        <v>400</v>
      </c>
    </row>
    <row r="58" spans="1:7">
      <c r="D58" s="90">
        <f>COUNT(F8,F10,F12,F16,F18,F20,F24,F26,F28,F30,F34,F36,F38,F42,F44,F46,F48,F50,F54,F56)</f>
        <v>0</v>
      </c>
      <c r="E58" s="90" t="s">
        <v>618</v>
      </c>
      <c r="F58" s="91" t="str">
        <f>IF(D58=0,"n.e.",SUM(F8,F10,F12,F16,F18,F20,F24,F26,F28,F30,F34,F36,F38,F42,F44,F46,F48,F50,F54,F56)/(D58*10))</f>
        <v>n.e.</v>
      </c>
    </row>
    <row r="60" spans="1:7">
      <c r="D60">
        <f>COUNT(F10,F16,F18,F30,F42,F46,F54)</f>
        <v>0</v>
      </c>
      <c r="E60" s="92" t="s">
        <v>429</v>
      </c>
      <c r="F60" s="83" t="str">
        <f>IF(D60=0,"n.e.",SUM(F10,F16,F18,F30,F42,F46,F54)/(D60*10))</f>
        <v>n.e.</v>
      </c>
    </row>
    <row r="61" spans="1:7">
      <c r="E61" t="s">
        <v>430</v>
      </c>
      <c r="F61" t="str">
        <f>IF(COUNT(F10,F16,F18,F30,F42,F46,F54)=0,"n.e.",MIN(F10,F16,F18,F30,F42,F46,F54))</f>
        <v>n.e.</v>
      </c>
    </row>
    <row r="62" spans="1:7">
      <c r="E62" t="s">
        <v>431</v>
      </c>
      <c r="F62" t="str">
        <f>IF(COUNT(F8,F10,F12,F16,F18,F20,F24,F26,F28,F30,F34,F36,F38,F42,F44,F46,F48,F50,F54,F56)=0,"n.e.",MIN(F8,F10,F12,F16,F18,F20,F24,F26,F28,F30,F34,F36,F38,F42,F44,F46,F48,F50,F54,F56))</f>
        <v>n.e.</v>
      </c>
    </row>
  </sheetData>
  <mergeCells count="27">
    <mergeCell ref="A1:G1"/>
    <mergeCell ref="D7:E7"/>
    <mergeCell ref="A6:G6"/>
    <mergeCell ref="D43:E43"/>
    <mergeCell ref="D37:E37"/>
    <mergeCell ref="D9:E9"/>
    <mergeCell ref="D25:E25"/>
    <mergeCell ref="D11:E11"/>
    <mergeCell ref="D27:E27"/>
    <mergeCell ref="D41:E41"/>
    <mergeCell ref="D17:E17"/>
    <mergeCell ref="A32:G32"/>
    <mergeCell ref="A14:G14"/>
    <mergeCell ref="D19:E19"/>
    <mergeCell ref="A22:G22"/>
    <mergeCell ref="A40:G40"/>
    <mergeCell ref="D55:E55"/>
    <mergeCell ref="D15:E15"/>
    <mergeCell ref="D33:E33"/>
    <mergeCell ref="D29:E29"/>
    <mergeCell ref="D23:E23"/>
    <mergeCell ref="D35:E35"/>
    <mergeCell ref="D53:E53"/>
    <mergeCell ref="D47:E47"/>
    <mergeCell ref="A52:G52"/>
    <mergeCell ref="D45:E45"/>
    <mergeCell ref="D49:E49"/>
  </mergeCells>
  <phoneticPr fontId="20" type="noConversion"/>
  <conditionalFormatting sqref="F56">
    <cfRule type="cellIs" dxfId="119" priority="115" operator="equal">
      <formula>10</formula>
    </cfRule>
    <cfRule type="cellIs" dxfId="118" priority="116" operator="equal">
      <formula>8</formula>
    </cfRule>
    <cfRule type="cellIs" dxfId="117" priority="117" operator="equal">
      <formula>6</formula>
    </cfRule>
    <cfRule type="cellIs" dxfId="116" priority="118" operator="equal">
      <formula>4</formula>
    </cfRule>
    <cfRule type="cellIs" dxfId="115" priority="119" operator="equal">
      <formula>0</formula>
    </cfRule>
    <cfRule type="cellIs" dxfId="114" priority="120" operator="equal">
      <formula>2</formula>
    </cfRule>
  </conditionalFormatting>
  <conditionalFormatting sqref="F54">
    <cfRule type="cellIs" dxfId="113" priority="109" operator="equal">
      <formula>10</formula>
    </cfRule>
    <cfRule type="cellIs" dxfId="112" priority="110" operator="equal">
      <formula>8</formula>
    </cfRule>
    <cfRule type="cellIs" dxfId="111" priority="111" operator="equal">
      <formula>6</formula>
    </cfRule>
    <cfRule type="cellIs" dxfId="110" priority="112" operator="equal">
      <formula>4</formula>
    </cfRule>
    <cfRule type="cellIs" dxfId="109" priority="113" operator="equal">
      <formula>0</formula>
    </cfRule>
    <cfRule type="cellIs" dxfId="108" priority="114" operator="equal">
      <formula>2</formula>
    </cfRule>
  </conditionalFormatting>
  <conditionalFormatting sqref="F50">
    <cfRule type="cellIs" dxfId="107" priority="103" operator="equal">
      <formula>10</formula>
    </cfRule>
    <cfRule type="cellIs" dxfId="106" priority="104" operator="equal">
      <formula>8</formula>
    </cfRule>
    <cfRule type="cellIs" dxfId="105" priority="105" operator="equal">
      <formula>6</formula>
    </cfRule>
    <cfRule type="cellIs" dxfId="104" priority="106" operator="equal">
      <formula>4</formula>
    </cfRule>
    <cfRule type="cellIs" dxfId="103" priority="107" operator="equal">
      <formula>0</formula>
    </cfRule>
    <cfRule type="cellIs" dxfId="102" priority="108" operator="equal">
      <formula>2</formula>
    </cfRule>
  </conditionalFormatting>
  <conditionalFormatting sqref="F48">
    <cfRule type="cellIs" dxfId="101" priority="97" operator="equal">
      <formula>10</formula>
    </cfRule>
    <cfRule type="cellIs" dxfId="100" priority="98" operator="equal">
      <formula>8</formula>
    </cfRule>
    <cfRule type="cellIs" dxfId="99" priority="99" operator="equal">
      <formula>6</formula>
    </cfRule>
    <cfRule type="cellIs" dxfId="98" priority="100" operator="equal">
      <formula>4</formula>
    </cfRule>
    <cfRule type="cellIs" dxfId="97" priority="101" operator="equal">
      <formula>0</formula>
    </cfRule>
    <cfRule type="cellIs" dxfId="96" priority="102" operator="equal">
      <formula>2</formula>
    </cfRule>
  </conditionalFormatting>
  <conditionalFormatting sqref="F46">
    <cfRule type="cellIs" dxfId="95" priority="91" operator="equal">
      <formula>10</formula>
    </cfRule>
    <cfRule type="cellIs" dxfId="94" priority="92" operator="equal">
      <formula>8</formula>
    </cfRule>
    <cfRule type="cellIs" dxfId="93" priority="93" operator="equal">
      <formula>6</formula>
    </cfRule>
    <cfRule type="cellIs" dxfId="92" priority="94" operator="equal">
      <formula>4</formula>
    </cfRule>
    <cfRule type="cellIs" dxfId="91" priority="95" operator="equal">
      <formula>0</formula>
    </cfRule>
    <cfRule type="cellIs" dxfId="90" priority="96" operator="equal">
      <formula>2</formula>
    </cfRule>
  </conditionalFormatting>
  <conditionalFormatting sqref="F44">
    <cfRule type="cellIs" dxfId="89" priority="85" operator="equal">
      <formula>10</formula>
    </cfRule>
    <cfRule type="cellIs" dxfId="88" priority="86" operator="equal">
      <formula>8</formula>
    </cfRule>
    <cfRule type="cellIs" dxfId="87" priority="87" operator="equal">
      <formula>6</formula>
    </cfRule>
    <cfRule type="cellIs" dxfId="86" priority="88" operator="equal">
      <formula>4</formula>
    </cfRule>
    <cfRule type="cellIs" dxfId="85" priority="89" operator="equal">
      <formula>0</formula>
    </cfRule>
    <cfRule type="cellIs" dxfId="84" priority="90" operator="equal">
      <formula>2</formula>
    </cfRule>
  </conditionalFormatting>
  <conditionalFormatting sqref="F42">
    <cfRule type="cellIs" dxfId="83" priority="79" operator="equal">
      <formula>10</formula>
    </cfRule>
    <cfRule type="cellIs" dxfId="82" priority="80" operator="equal">
      <formula>8</formula>
    </cfRule>
    <cfRule type="cellIs" dxfId="81" priority="81" operator="equal">
      <formula>6</formula>
    </cfRule>
    <cfRule type="cellIs" dxfId="80" priority="82" operator="equal">
      <formula>4</formula>
    </cfRule>
    <cfRule type="cellIs" dxfId="79" priority="83" operator="equal">
      <formula>0</formula>
    </cfRule>
    <cfRule type="cellIs" dxfId="78" priority="84" operator="equal">
      <formula>2</formula>
    </cfRule>
  </conditionalFormatting>
  <conditionalFormatting sqref="F38">
    <cfRule type="cellIs" dxfId="77" priority="73" operator="equal">
      <formula>10</formula>
    </cfRule>
    <cfRule type="cellIs" dxfId="76" priority="74" operator="equal">
      <formula>8</formula>
    </cfRule>
    <cfRule type="cellIs" dxfId="75" priority="75" operator="equal">
      <formula>6</formula>
    </cfRule>
    <cfRule type="cellIs" dxfId="74" priority="76" operator="equal">
      <formula>4</formula>
    </cfRule>
    <cfRule type="cellIs" dxfId="73" priority="77" operator="equal">
      <formula>0</formula>
    </cfRule>
    <cfRule type="cellIs" dxfId="72" priority="78" operator="equal">
      <formula>2</formula>
    </cfRule>
  </conditionalFormatting>
  <conditionalFormatting sqref="F36">
    <cfRule type="cellIs" dxfId="71" priority="67" operator="equal">
      <formula>10</formula>
    </cfRule>
    <cfRule type="cellIs" dxfId="70" priority="68" operator="equal">
      <formula>8</formula>
    </cfRule>
    <cfRule type="cellIs" dxfId="69" priority="69" operator="equal">
      <formula>6</formula>
    </cfRule>
    <cfRule type="cellIs" dxfId="68" priority="70" operator="equal">
      <formula>4</formula>
    </cfRule>
    <cfRule type="cellIs" dxfId="67" priority="71" operator="equal">
      <formula>0</formula>
    </cfRule>
    <cfRule type="cellIs" dxfId="66" priority="72" operator="equal">
      <formula>2</formula>
    </cfRule>
  </conditionalFormatting>
  <conditionalFormatting sqref="F34">
    <cfRule type="cellIs" dxfId="65" priority="61" operator="equal">
      <formula>10</formula>
    </cfRule>
    <cfRule type="cellIs" dxfId="64" priority="62" operator="equal">
      <formula>8</formula>
    </cfRule>
    <cfRule type="cellIs" dxfId="63" priority="63" operator="equal">
      <formula>6</formula>
    </cfRule>
    <cfRule type="cellIs" dxfId="62" priority="64" operator="equal">
      <formula>4</formula>
    </cfRule>
    <cfRule type="cellIs" dxfId="61" priority="65" operator="equal">
      <formula>0</formula>
    </cfRule>
    <cfRule type="cellIs" dxfId="60" priority="66" operator="equal">
      <formula>2</formula>
    </cfRule>
  </conditionalFormatting>
  <conditionalFormatting sqref="F30">
    <cfRule type="cellIs" dxfId="59" priority="55" operator="equal">
      <formula>10</formula>
    </cfRule>
    <cfRule type="cellIs" dxfId="58" priority="56" operator="equal">
      <formula>8</formula>
    </cfRule>
    <cfRule type="cellIs" dxfId="57" priority="57" operator="equal">
      <formula>6</formula>
    </cfRule>
    <cfRule type="cellIs" dxfId="56" priority="58" operator="equal">
      <formula>4</formula>
    </cfRule>
    <cfRule type="cellIs" dxfId="55" priority="59" operator="equal">
      <formula>0</formula>
    </cfRule>
    <cfRule type="cellIs" dxfId="54" priority="60" operator="equal">
      <formula>2</formula>
    </cfRule>
  </conditionalFormatting>
  <conditionalFormatting sqref="F28">
    <cfRule type="cellIs" dxfId="53" priority="49" operator="equal">
      <formula>10</formula>
    </cfRule>
    <cfRule type="cellIs" dxfId="52" priority="50" operator="equal">
      <formula>8</formula>
    </cfRule>
    <cfRule type="cellIs" dxfId="51" priority="51" operator="equal">
      <formula>6</formula>
    </cfRule>
    <cfRule type="cellIs" dxfId="50" priority="52" operator="equal">
      <formula>4</formula>
    </cfRule>
    <cfRule type="cellIs" dxfId="49" priority="53" operator="equal">
      <formula>0</formula>
    </cfRule>
    <cfRule type="cellIs" dxfId="48" priority="54" operator="equal">
      <formula>2</formula>
    </cfRule>
  </conditionalFormatting>
  <conditionalFormatting sqref="F26">
    <cfRule type="cellIs" dxfId="47" priority="43" operator="equal">
      <formula>10</formula>
    </cfRule>
    <cfRule type="cellIs" dxfId="46" priority="44" operator="equal">
      <formula>8</formula>
    </cfRule>
    <cfRule type="cellIs" dxfId="45" priority="45" operator="equal">
      <formula>6</formula>
    </cfRule>
    <cfRule type="cellIs" dxfId="44" priority="46" operator="equal">
      <formula>4</formula>
    </cfRule>
    <cfRule type="cellIs" dxfId="43" priority="47" operator="equal">
      <formula>0</formula>
    </cfRule>
    <cfRule type="cellIs" dxfId="42" priority="48" operator="equal">
      <formula>2</formula>
    </cfRule>
  </conditionalFormatting>
  <conditionalFormatting sqref="F24">
    <cfRule type="cellIs" dxfId="41" priority="37" operator="equal">
      <formula>10</formula>
    </cfRule>
    <cfRule type="cellIs" dxfId="40" priority="38" operator="equal">
      <formula>8</formula>
    </cfRule>
    <cfRule type="cellIs" dxfId="39" priority="39" operator="equal">
      <formula>6</formula>
    </cfRule>
    <cfRule type="cellIs" dxfId="38" priority="40" operator="equal">
      <formula>4</formula>
    </cfRule>
    <cfRule type="cellIs" dxfId="37" priority="41" operator="equal">
      <formula>0</formula>
    </cfRule>
    <cfRule type="cellIs" dxfId="36" priority="42" operator="equal">
      <formula>2</formula>
    </cfRule>
  </conditionalFormatting>
  <conditionalFormatting sqref="F20">
    <cfRule type="cellIs" dxfId="35" priority="31" operator="equal">
      <formula>10</formula>
    </cfRule>
    <cfRule type="cellIs" dxfId="34" priority="32" operator="equal">
      <formula>8</formula>
    </cfRule>
    <cfRule type="cellIs" dxfId="33" priority="33" operator="equal">
      <formula>6</formula>
    </cfRule>
    <cfRule type="cellIs" dxfId="32" priority="34" operator="equal">
      <formula>4</formula>
    </cfRule>
    <cfRule type="cellIs" dxfId="31" priority="35" operator="equal">
      <formula>0</formula>
    </cfRule>
    <cfRule type="cellIs" dxfId="30" priority="36" operator="equal">
      <formula>2</formula>
    </cfRule>
  </conditionalFormatting>
  <conditionalFormatting sqref="F18">
    <cfRule type="cellIs" dxfId="29" priority="25" operator="equal">
      <formula>10</formula>
    </cfRule>
    <cfRule type="cellIs" dxfId="28" priority="26" operator="equal">
      <formula>8</formula>
    </cfRule>
    <cfRule type="cellIs" dxfId="27" priority="27" operator="equal">
      <formula>6</formula>
    </cfRule>
    <cfRule type="cellIs" dxfId="26" priority="28" operator="equal">
      <formula>4</formula>
    </cfRule>
    <cfRule type="cellIs" dxfId="25" priority="29" operator="equal">
      <formula>0</formula>
    </cfRule>
    <cfRule type="cellIs" dxfId="24" priority="30" operator="equal">
      <formula>2</formula>
    </cfRule>
  </conditionalFormatting>
  <conditionalFormatting sqref="F16">
    <cfRule type="cellIs" dxfId="23" priority="19" operator="equal">
      <formula>10</formula>
    </cfRule>
    <cfRule type="cellIs" dxfId="22" priority="20" operator="equal">
      <formula>8</formula>
    </cfRule>
    <cfRule type="cellIs" dxfId="21" priority="21" operator="equal">
      <formula>6</formula>
    </cfRule>
    <cfRule type="cellIs" dxfId="20" priority="22" operator="equal">
      <formula>4</formula>
    </cfRule>
    <cfRule type="cellIs" dxfId="19" priority="23" operator="equal">
      <formula>0</formula>
    </cfRule>
    <cfRule type="cellIs" dxfId="18" priority="24" operator="equal">
      <formula>2</formula>
    </cfRule>
  </conditionalFormatting>
  <conditionalFormatting sqref="F12">
    <cfRule type="cellIs" dxfId="17" priority="13" operator="equal">
      <formula>10</formula>
    </cfRule>
    <cfRule type="cellIs" dxfId="16" priority="14" operator="equal">
      <formula>8</formula>
    </cfRule>
    <cfRule type="cellIs" dxfId="15" priority="15" operator="equal">
      <formula>6</formula>
    </cfRule>
    <cfRule type="cellIs" dxfId="14" priority="16" operator="equal">
      <formula>4</formula>
    </cfRule>
    <cfRule type="cellIs" dxfId="13" priority="17" operator="equal">
      <formula>0</formula>
    </cfRule>
    <cfRule type="cellIs" dxfId="12" priority="18" operator="equal">
      <formula>2</formula>
    </cfRule>
  </conditionalFormatting>
  <conditionalFormatting sqref="F10">
    <cfRule type="cellIs" dxfId="11" priority="7" operator="equal">
      <formula>10</formula>
    </cfRule>
    <cfRule type="cellIs" dxfId="10" priority="8" operator="equal">
      <formula>8</formula>
    </cfRule>
    <cfRule type="cellIs" dxfId="9" priority="9" operator="equal">
      <formula>6</formula>
    </cfRule>
    <cfRule type="cellIs" dxfId="8" priority="10" operator="equal">
      <formula>4</formula>
    </cfRule>
    <cfRule type="cellIs" dxfId="7" priority="11" operator="equal">
      <formula>0</formula>
    </cfRule>
    <cfRule type="cellIs" dxfId="6" priority="12" operator="equal">
      <formula>2</formula>
    </cfRule>
  </conditionalFormatting>
  <conditionalFormatting sqref="F8">
    <cfRule type="cellIs" dxfId="5" priority="1" operator="equal">
      <formula>10</formula>
    </cfRule>
    <cfRule type="cellIs" dxfId="4" priority="2" operator="equal">
      <formula>8</formula>
    </cfRule>
    <cfRule type="cellIs" dxfId="3" priority="3" operator="equal">
      <formula>6</formula>
    </cfRule>
    <cfRule type="cellIs" dxfId="2" priority="4" operator="equal">
      <formula>4</formula>
    </cfRule>
    <cfRule type="cellIs" dxfId="1" priority="5" operator="equal">
      <formula>0</formula>
    </cfRule>
    <cfRule type="cellIs" dxfId="0" priority="6" operator="equal">
      <formula>2</formula>
    </cfRule>
  </conditionalFormatting>
  <dataValidations count="1">
    <dataValidation type="list" allowBlank="1" sqref="F8 F10 F12 F16 F18 F20 F24 F26 F28 F30 F34 F36 F38 F42 F44 F46 F48 F50 F54 F56" xr:uid="{00000000-0002-0000-0A00-000000000000}">
      <formula1>"n.e.,0,4,6,8,10"</formula1>
    </dataValidation>
  </dataValidations>
  <hyperlinks>
    <hyperlink ref="G8" location="Remarks!H159" display="▶️" xr:uid="{00000000-0004-0000-0A00-000000000000}"/>
    <hyperlink ref="G10" location="Remarks!H160" display="▶️" xr:uid="{00000000-0004-0000-0A00-000001000000}"/>
    <hyperlink ref="G12" location="Remarks!H161" display="▶️" xr:uid="{00000000-0004-0000-0A00-000002000000}"/>
    <hyperlink ref="G16" location="Remarks!H162" display="▶️" xr:uid="{00000000-0004-0000-0A00-000003000000}"/>
    <hyperlink ref="G18" location="Remarks!H163" display="▶️" xr:uid="{00000000-0004-0000-0A00-000004000000}"/>
    <hyperlink ref="G20" location="Remarks!H164" display="▶️" xr:uid="{00000000-0004-0000-0A00-000005000000}"/>
    <hyperlink ref="G24" location="Remarks!H165" display="▶️" xr:uid="{00000000-0004-0000-0A00-000006000000}"/>
    <hyperlink ref="G26" location="Remarks!H166" display="▶️" xr:uid="{00000000-0004-0000-0A00-000007000000}"/>
    <hyperlink ref="G28" location="Remarks!H167" display="▶️" xr:uid="{00000000-0004-0000-0A00-000008000000}"/>
    <hyperlink ref="G30" location="Remarks!H168" display="▶️" xr:uid="{00000000-0004-0000-0A00-000009000000}"/>
    <hyperlink ref="G34" location="Remarks!H169" display="▶️" xr:uid="{00000000-0004-0000-0A00-00000A000000}"/>
    <hyperlink ref="G36" location="Remarks!H170" display="▶️" xr:uid="{00000000-0004-0000-0A00-00000B000000}"/>
    <hyperlink ref="G38" location="Remarks!H171" display="▶️" xr:uid="{00000000-0004-0000-0A00-00000C000000}"/>
    <hyperlink ref="G42" location="Remarks!H172" display="▶️" xr:uid="{00000000-0004-0000-0A00-00000D000000}"/>
    <hyperlink ref="G44" location="Remarks!H173" display="▶️" xr:uid="{00000000-0004-0000-0A00-00000E000000}"/>
    <hyperlink ref="G46" location="Remarks!H174" display="▶️" xr:uid="{00000000-0004-0000-0A00-00000F000000}"/>
    <hyperlink ref="G48" location="Remarks!H175" display="▶️" xr:uid="{00000000-0004-0000-0A00-000010000000}"/>
    <hyperlink ref="G50" location="Remarks!H176" display="▶️" xr:uid="{00000000-0004-0000-0A00-000011000000}"/>
    <hyperlink ref="G54" location="Remarks!H177" display="▶️" xr:uid="{00000000-0004-0000-0A00-000012000000}"/>
    <hyperlink ref="G56" location="Remarks!H178" display="▶️" xr:uid="{00000000-0004-0000-0A00-000013000000}"/>
  </hyperlinks>
  <pageMargins left="0.75" right="0.75" top="1" bottom="1" header="0.5" footer="0.5"/>
  <headerFooter>
    <oddHeader>&amp;L&amp;"Calibri"&amp;1 &amp;K000000 INTERNAL#_x000D_</oddHead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FE435-3F35-A947-B971-AE5649B35637}">
  <sheetPr codeName="Tabelle12">
    <pageSetUpPr fitToPage="1"/>
  </sheetPr>
  <dimension ref="A1:K46"/>
  <sheetViews>
    <sheetView zoomScaleNormal="100" workbookViewId="0">
      <selection activeCell="N35" sqref="N35"/>
    </sheetView>
  </sheetViews>
  <sheetFormatPr baseColWidth="10" defaultColWidth="11.5" defaultRowHeight="16"/>
  <cols>
    <col min="1" max="1" width="1.83203125" style="1" customWidth="1"/>
    <col min="2" max="2" width="3.83203125" style="1" customWidth="1"/>
    <col min="3" max="3" width="9.5" style="1" customWidth="1"/>
    <col min="4" max="4" width="68.33203125" style="1" customWidth="1"/>
    <col min="5" max="5" width="38" style="1" customWidth="1"/>
    <col min="6" max="6" width="13" style="1" bestFit="1" customWidth="1"/>
    <col min="7" max="7" width="8.33203125" style="1" bestFit="1" customWidth="1"/>
    <col min="8" max="8" width="5.5" style="1" customWidth="1"/>
    <col min="9" max="9" width="22.5" style="1" bestFit="1" customWidth="1"/>
    <col min="10" max="10" width="2" style="1" customWidth="1"/>
    <col min="11" max="11" width="11.5" style="1" customWidth="1"/>
    <col min="12" max="12" width="12" style="1" customWidth="1"/>
    <col min="13" max="14" width="11.5" style="1" customWidth="1"/>
    <col min="15" max="16384" width="11.5" style="1"/>
  </cols>
  <sheetData>
    <row r="1" spans="1:11" ht="57.75" customHeight="1" thickBot="1">
      <c r="A1" s="176" t="s">
        <v>630</v>
      </c>
      <c r="B1" s="175"/>
      <c r="C1" s="175"/>
      <c r="D1" s="175"/>
      <c r="E1" s="175"/>
      <c r="F1" s="175"/>
      <c r="G1" s="175"/>
      <c r="H1" s="175"/>
      <c r="I1" s="175"/>
      <c r="J1" s="177"/>
    </row>
    <row r="2" spans="1:11" ht="26" customHeight="1" thickBot="1">
      <c r="A2" s="2"/>
      <c r="B2" s="3"/>
      <c r="C2" s="3" t="str">
        <f>CONCATENATE(Datasheet!C8," of ",TEXT(Datasheet!C6,"dd. MM yyyy"))</f>
        <v>Supply Chain Audit of 01. 01 2026</v>
      </c>
      <c r="D2" s="3"/>
      <c r="E2" s="3"/>
      <c r="F2" s="3"/>
      <c r="G2" s="3"/>
      <c r="H2" s="3"/>
      <c r="I2" s="3"/>
      <c r="J2" s="4"/>
      <c r="K2" s="39"/>
    </row>
    <row r="3" spans="1:11">
      <c r="A3" s="5"/>
      <c r="B3" s="6"/>
      <c r="C3" s="6"/>
      <c r="D3" s="7"/>
      <c r="E3" s="8"/>
      <c r="F3" s="7"/>
      <c r="G3" s="7"/>
      <c r="H3" s="7"/>
      <c r="I3" s="7"/>
      <c r="J3" s="9"/>
      <c r="K3" s="39"/>
    </row>
    <row r="4" spans="1:11">
      <c r="A4" s="10"/>
      <c r="B4" s="11" t="s">
        <v>3</v>
      </c>
      <c r="C4" s="11" t="s">
        <v>54</v>
      </c>
      <c r="D4" s="11" t="s">
        <v>631</v>
      </c>
      <c r="E4" s="11" t="s">
        <v>632</v>
      </c>
      <c r="F4" s="11" t="s">
        <v>633</v>
      </c>
      <c r="G4" s="11" t="s">
        <v>634</v>
      </c>
      <c r="H4" s="11" t="s">
        <v>635</v>
      </c>
      <c r="I4" s="11" t="s">
        <v>636</v>
      </c>
      <c r="J4" s="12"/>
      <c r="K4" s="39"/>
    </row>
    <row r="5" spans="1:11" ht="45.75" customHeight="1">
      <c r="A5" s="13"/>
      <c r="B5" s="14"/>
      <c r="C5" s="14" t="s">
        <v>637</v>
      </c>
      <c r="D5" s="14" t="s">
        <v>638</v>
      </c>
      <c r="E5" s="14" t="s">
        <v>639</v>
      </c>
      <c r="F5" s="14" t="s">
        <v>640</v>
      </c>
      <c r="G5" s="14" t="s">
        <v>641</v>
      </c>
      <c r="H5" s="14"/>
      <c r="I5" s="14" t="s">
        <v>642</v>
      </c>
      <c r="J5" s="15"/>
      <c r="K5" s="39"/>
    </row>
    <row r="6" spans="1:11" ht="5.25" customHeight="1" thickBot="1">
      <c r="A6" s="16"/>
      <c r="B6" s="17"/>
      <c r="C6" s="17"/>
      <c r="D6" s="18"/>
      <c r="E6" s="17"/>
      <c r="F6" s="17"/>
      <c r="G6" s="17"/>
      <c r="H6" s="17"/>
      <c r="I6" s="17"/>
      <c r="J6" s="19"/>
      <c r="K6" s="39"/>
    </row>
    <row r="7" spans="1:11">
      <c r="A7" s="10"/>
      <c r="B7" s="20">
        <v>1</v>
      </c>
      <c r="C7" s="21"/>
      <c r="D7" s="94"/>
      <c r="E7" s="22"/>
      <c r="F7" s="23"/>
      <c r="G7" s="24"/>
      <c r="H7" s="23"/>
      <c r="I7" s="23"/>
      <c r="J7" s="12"/>
      <c r="K7" s="39"/>
    </row>
    <row r="8" spans="1:11">
      <c r="A8" s="10"/>
      <c r="B8" s="25">
        <v>2</v>
      </c>
      <c r="C8" s="26"/>
      <c r="D8" s="40"/>
      <c r="E8" s="28"/>
      <c r="F8" s="29"/>
      <c r="G8" s="30"/>
      <c r="H8" s="29"/>
      <c r="I8" s="29"/>
      <c r="J8" s="12"/>
      <c r="K8" s="39"/>
    </row>
    <row r="9" spans="1:11">
      <c r="A9" s="10"/>
      <c r="B9" s="25">
        <v>3</v>
      </c>
      <c r="C9" s="25"/>
      <c r="D9" s="40"/>
      <c r="E9" s="28"/>
      <c r="F9" s="29"/>
      <c r="G9" s="30"/>
      <c r="H9" s="29"/>
      <c r="I9" s="29"/>
      <c r="J9" s="12"/>
    </row>
    <row r="10" spans="1:11">
      <c r="A10" s="10"/>
      <c r="B10" s="25">
        <v>4</v>
      </c>
      <c r="C10" s="25"/>
      <c r="D10" s="40"/>
      <c r="E10" s="28"/>
      <c r="F10" s="29"/>
      <c r="G10" s="30"/>
      <c r="H10" s="29"/>
      <c r="I10" s="29"/>
      <c r="J10" s="12"/>
    </row>
    <row r="11" spans="1:11">
      <c r="A11" s="10"/>
      <c r="B11" s="25">
        <v>5</v>
      </c>
      <c r="C11" s="25"/>
      <c r="D11" s="40"/>
      <c r="E11" s="28"/>
      <c r="F11" s="29"/>
      <c r="G11" s="30"/>
      <c r="H11" s="29"/>
      <c r="I11" s="29"/>
      <c r="J11" s="12"/>
    </row>
    <row r="12" spans="1:11">
      <c r="A12" s="10"/>
      <c r="B12" s="25">
        <v>6</v>
      </c>
      <c r="C12" s="25"/>
      <c r="D12" s="40"/>
      <c r="E12" s="28"/>
      <c r="F12" s="29"/>
      <c r="G12" s="30"/>
      <c r="H12" s="29"/>
      <c r="I12" s="29"/>
      <c r="J12" s="12"/>
    </row>
    <row r="13" spans="1:11">
      <c r="A13" s="10"/>
      <c r="B13" s="25">
        <v>7</v>
      </c>
      <c r="C13" s="25"/>
      <c r="D13" s="27"/>
      <c r="E13" s="28"/>
      <c r="F13" s="29"/>
      <c r="G13" s="30"/>
      <c r="H13" s="29"/>
      <c r="I13" s="29"/>
      <c r="J13" s="12"/>
    </row>
    <row r="14" spans="1:11">
      <c r="A14" s="10"/>
      <c r="B14" s="25">
        <v>8</v>
      </c>
      <c r="C14" s="25"/>
      <c r="D14" s="27"/>
      <c r="E14" s="28"/>
      <c r="F14" s="29"/>
      <c r="G14" s="30"/>
      <c r="H14" s="29"/>
      <c r="I14" s="29"/>
      <c r="J14" s="12"/>
    </row>
    <row r="15" spans="1:11">
      <c r="A15" s="10"/>
      <c r="B15" s="25">
        <v>9</v>
      </c>
      <c r="C15" s="25"/>
      <c r="D15" s="27"/>
      <c r="E15" s="28"/>
      <c r="F15" s="29"/>
      <c r="G15" s="30"/>
      <c r="H15" s="29"/>
      <c r="I15" s="29"/>
      <c r="J15" s="12"/>
    </row>
    <row r="16" spans="1:11">
      <c r="A16" s="10"/>
      <c r="B16" s="25">
        <v>10</v>
      </c>
      <c r="C16" s="25"/>
      <c r="D16" s="27"/>
      <c r="E16" s="28"/>
      <c r="F16" s="29"/>
      <c r="G16" s="30"/>
      <c r="H16" s="29"/>
      <c r="I16" s="29"/>
      <c r="J16" s="12"/>
    </row>
    <row r="17" spans="1:10">
      <c r="A17" s="10"/>
      <c r="B17" s="25">
        <v>11</v>
      </c>
      <c r="C17" s="25"/>
      <c r="D17" s="27"/>
      <c r="E17" s="28"/>
      <c r="F17" s="29"/>
      <c r="G17" s="30"/>
      <c r="H17" s="29"/>
      <c r="I17" s="29"/>
      <c r="J17" s="12"/>
    </row>
    <row r="18" spans="1:10">
      <c r="A18" s="10"/>
      <c r="B18" s="25">
        <v>12</v>
      </c>
      <c r="C18" s="25"/>
      <c r="D18" s="27"/>
      <c r="E18" s="28"/>
      <c r="F18" s="29"/>
      <c r="G18" s="30"/>
      <c r="H18" s="29"/>
      <c r="I18" s="29"/>
      <c r="J18" s="12"/>
    </row>
    <row r="19" spans="1:10">
      <c r="A19" s="10"/>
      <c r="B19" s="25">
        <v>13</v>
      </c>
      <c r="C19" s="25"/>
      <c r="D19" s="27"/>
      <c r="E19" s="28"/>
      <c r="F19" s="29"/>
      <c r="G19" s="30"/>
      <c r="H19" s="29"/>
      <c r="I19" s="29"/>
      <c r="J19" s="12"/>
    </row>
    <row r="20" spans="1:10">
      <c r="A20" s="10"/>
      <c r="B20" s="25">
        <v>14</v>
      </c>
      <c r="C20" s="25"/>
      <c r="D20" s="27"/>
      <c r="E20" s="28"/>
      <c r="F20" s="29"/>
      <c r="G20" s="30"/>
      <c r="H20" s="29"/>
      <c r="I20" s="29"/>
      <c r="J20" s="12"/>
    </row>
    <row r="21" spans="1:10">
      <c r="A21" s="10"/>
      <c r="B21" s="25">
        <v>15</v>
      </c>
      <c r="C21" s="25"/>
      <c r="D21" s="27"/>
      <c r="E21" s="28"/>
      <c r="F21" s="29"/>
      <c r="G21" s="30"/>
      <c r="H21" s="29"/>
      <c r="I21" s="29"/>
      <c r="J21" s="12"/>
    </row>
    <row r="22" spans="1:10">
      <c r="A22" s="10"/>
      <c r="B22" s="25">
        <v>16</v>
      </c>
      <c r="C22" s="25"/>
      <c r="D22" s="27"/>
      <c r="E22" s="28"/>
      <c r="F22" s="29"/>
      <c r="G22" s="30"/>
      <c r="H22" s="29"/>
      <c r="I22" s="29"/>
      <c r="J22" s="12"/>
    </row>
    <row r="23" spans="1:10">
      <c r="A23" s="10"/>
      <c r="B23" s="25">
        <v>17</v>
      </c>
      <c r="C23" s="25"/>
      <c r="D23" s="27"/>
      <c r="E23" s="28"/>
      <c r="F23" s="29"/>
      <c r="G23" s="30"/>
      <c r="H23" s="29"/>
      <c r="I23" s="29"/>
      <c r="J23" s="12"/>
    </row>
    <row r="24" spans="1:10">
      <c r="A24" s="10"/>
      <c r="B24" s="25">
        <v>18</v>
      </c>
      <c r="C24" s="25"/>
      <c r="D24" s="27"/>
      <c r="E24" s="28"/>
      <c r="F24" s="29"/>
      <c r="G24" s="30"/>
      <c r="H24" s="29"/>
      <c r="I24" s="29"/>
      <c r="J24" s="12"/>
    </row>
    <row r="25" spans="1:10">
      <c r="A25" s="10"/>
      <c r="B25" s="25">
        <v>20</v>
      </c>
      <c r="C25" s="25"/>
      <c r="D25" s="27"/>
      <c r="E25" s="28"/>
      <c r="F25" s="29"/>
      <c r="G25" s="30"/>
      <c r="H25" s="29"/>
      <c r="I25" s="29"/>
      <c r="J25" s="12"/>
    </row>
    <row r="26" spans="1:10" ht="17" customHeight="1" thickBot="1">
      <c r="A26" s="16"/>
      <c r="B26" s="31"/>
      <c r="C26" s="31"/>
      <c r="D26" s="31"/>
      <c r="E26" s="31"/>
      <c r="F26" s="31"/>
      <c r="G26" s="31"/>
      <c r="H26" s="31"/>
      <c r="I26" s="31"/>
      <c r="J26" s="32"/>
    </row>
    <row r="27" spans="1:10" ht="51" customHeight="1" thickBot="1">
      <c r="A27" s="33"/>
      <c r="B27" s="174" t="s">
        <v>643</v>
      </c>
      <c r="C27" s="175"/>
      <c r="D27" s="175"/>
      <c r="E27" s="175"/>
      <c r="F27" s="175"/>
      <c r="G27" s="175"/>
      <c r="H27" s="175"/>
      <c r="I27" s="175"/>
      <c r="J27" s="34"/>
    </row>
    <row r="28" spans="1:10">
      <c r="A28" s="35"/>
    </row>
    <row r="29" spans="1:10">
      <c r="A29" s="35"/>
    </row>
    <row r="30" spans="1:10">
      <c r="A30" s="35"/>
    </row>
    <row r="31" spans="1:10">
      <c r="A31" s="35"/>
    </row>
    <row r="32" spans="1:10">
      <c r="A32" s="35"/>
    </row>
    <row r="33" spans="1:1">
      <c r="A33" s="35"/>
    </row>
    <row r="34" spans="1:1">
      <c r="A34" s="35"/>
    </row>
    <row r="35" spans="1:1">
      <c r="A35" s="35"/>
    </row>
    <row r="36" spans="1:1">
      <c r="A36" s="35"/>
    </row>
    <row r="37" spans="1:1">
      <c r="A37" s="35"/>
    </row>
    <row r="38" spans="1:1">
      <c r="A38" s="35"/>
    </row>
    <row r="39" spans="1:1">
      <c r="A39" s="35"/>
    </row>
    <row r="40" spans="1:1">
      <c r="A40" s="35"/>
    </row>
    <row r="41" spans="1:1">
      <c r="A41" s="35"/>
    </row>
    <row r="42" spans="1:1">
      <c r="A42" s="35"/>
    </row>
    <row r="43" spans="1:1">
      <c r="A43" s="35"/>
    </row>
    <row r="44" spans="1:1">
      <c r="A44" s="35"/>
    </row>
    <row r="45" spans="1:1">
      <c r="A45" s="35"/>
    </row>
    <row r="46" spans="1:1">
      <c r="A46" s="35"/>
    </row>
  </sheetData>
  <mergeCells count="2">
    <mergeCell ref="B27:I27"/>
    <mergeCell ref="A1:J1"/>
  </mergeCells>
  <phoneticPr fontId="20" type="noConversion"/>
  <pageMargins left="0.7" right="0.7" top="0.78740157499999996" bottom="0.78740157499999996" header="0.3" footer="0.3"/>
  <pageSetup paperSize="9" scale="63" fitToHeight="0" orientation="landscape" r:id="rId1"/>
  <headerFooter>
    <oddHeader>&amp;L&amp;"Calibri"&amp;10&amp;K000000 INTERNAL&amp;1#_x000D_&amp;"Porsche Next TT"&amp;12&amp;K000000&amp;"Calibri"&amp;1 &amp;K000000 INTERNAL#_x000D_</oddHeader>
    <oddFooter>&amp;L&amp;"Calibri"&amp;10 &amp;K000000_x000D_#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reate_LOP_Fixed">
                <anchor moveWithCells="1" sizeWithCells="1">
                  <from>
                    <xdr:col>11</xdr:col>
                    <xdr:colOff>152400</xdr:colOff>
                    <xdr:row>3</xdr:row>
                    <xdr:rowOff>190500</xdr:rowOff>
                  </from>
                  <to>
                    <xdr:col>12</xdr:col>
                    <xdr:colOff>952500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52437-6AF1-AE40-8122-24F880528525}">
  <sheetPr codeName="Sheet1">
    <pageSetUpPr fitToPage="1"/>
  </sheetPr>
  <dimension ref="B1:V9"/>
  <sheetViews>
    <sheetView zoomScale="70" zoomScaleNormal="70" zoomScaleSheetLayoutView="40" zoomScalePageLayoutView="55" workbookViewId="0">
      <selection activeCell="O5" sqref="O5"/>
    </sheetView>
  </sheetViews>
  <sheetFormatPr baseColWidth="10" defaultColWidth="11" defaultRowHeight="27" customHeight="1"/>
  <cols>
    <col min="1" max="1" width="3.83203125" style="55" customWidth="1"/>
    <col min="2" max="2" width="48.1640625" style="55" bestFit="1" customWidth="1"/>
    <col min="3" max="3" width="12.1640625" style="55" customWidth="1"/>
    <col min="4" max="4" width="12.1640625" style="71" customWidth="1"/>
    <col min="5" max="6" width="12.1640625" style="55" customWidth="1"/>
    <col min="7" max="7" width="12.1640625" style="45" customWidth="1"/>
    <col min="8" max="11" width="12.1640625" style="54" customWidth="1"/>
    <col min="12" max="12" width="3.5" style="54" customWidth="1"/>
    <col min="13" max="13" width="1" style="54" customWidth="1"/>
    <col min="14" max="21" width="11" style="54" customWidth="1"/>
    <col min="22" max="22" width="5.33203125" style="54" customWidth="1"/>
    <col min="23" max="24" width="11" style="55" customWidth="1"/>
    <col min="25" max="16384" width="11" style="55"/>
  </cols>
  <sheetData>
    <row r="1" spans="2:22" s="44" customFormat="1" ht="27" customHeight="1" thickBot="1">
      <c r="D1" s="66"/>
      <c r="G1" s="45"/>
      <c r="H1" s="46"/>
      <c r="I1" s="46"/>
      <c r="J1" s="46"/>
      <c r="K1" s="46"/>
      <c r="L1" s="46"/>
      <c r="M1" s="46"/>
      <c r="N1" s="46"/>
      <c r="O1" s="46"/>
      <c r="P1" s="46"/>
      <c r="Q1" s="46"/>
      <c r="R1" s="46"/>
      <c r="S1" s="46"/>
      <c r="T1" s="46"/>
      <c r="U1" s="46"/>
      <c r="V1" s="46"/>
    </row>
    <row r="2" spans="2:22" s="44" customFormat="1" ht="27" customHeight="1" thickBot="1">
      <c r="B2" s="47" t="str">
        <f>IF(SUMIF(D3:D9,"0",C3:C9)&gt;0,"Warning - not all modules have been assessed!","")</f>
        <v/>
      </c>
      <c r="C2" s="48" t="s">
        <v>619</v>
      </c>
      <c r="D2" s="49" t="s">
        <v>620</v>
      </c>
      <c r="E2" s="48" t="s">
        <v>621</v>
      </c>
      <c r="F2" s="50" t="s">
        <v>622</v>
      </c>
      <c r="G2" s="45"/>
      <c r="H2" s="46"/>
      <c r="I2" s="46"/>
      <c r="J2" s="46"/>
      <c r="K2" s="46"/>
      <c r="L2" s="46"/>
      <c r="M2" s="46"/>
      <c r="N2" s="46"/>
      <c r="O2" s="46"/>
      <c r="P2" s="46"/>
      <c r="Q2" s="46"/>
      <c r="R2" s="46"/>
      <c r="S2" s="46"/>
      <c r="T2" s="46"/>
      <c r="U2" s="46"/>
      <c r="V2" s="46"/>
    </row>
    <row r="3" spans="2:22" ht="35" customHeight="1">
      <c r="B3" s="51" t="s">
        <v>623</v>
      </c>
      <c r="C3" s="52">
        <v>0.13690476190476189</v>
      </c>
      <c r="D3" s="67" t="str">
        <f>Evaluationsheet!E4</f>
        <v>n.e.</v>
      </c>
      <c r="E3" s="52">
        <v>0.7</v>
      </c>
      <c r="F3" s="53">
        <v>0.8</v>
      </c>
    </row>
    <row r="4" spans="2:22" ht="35" customHeight="1">
      <c r="B4" s="56" t="s">
        <v>624</v>
      </c>
      <c r="C4" s="57">
        <v>0.14285714285714279</v>
      </c>
      <c r="D4" s="68" t="str">
        <f>Evaluationsheet!E5</f>
        <v>n.e.</v>
      </c>
      <c r="E4" s="57">
        <v>0.7</v>
      </c>
      <c r="F4" s="58">
        <v>0.8</v>
      </c>
    </row>
    <row r="5" spans="2:22" ht="35" customHeight="1">
      <c r="B5" s="56" t="s">
        <v>625</v>
      </c>
      <c r="C5" s="57">
        <v>0.13095238095238099</v>
      </c>
      <c r="D5" s="68" t="str">
        <f>Evaluationsheet!E6</f>
        <v>n.e.</v>
      </c>
      <c r="E5" s="57">
        <v>0.7</v>
      </c>
      <c r="F5" s="58">
        <v>0.8</v>
      </c>
    </row>
    <row r="6" spans="2:22" ht="35" customHeight="1">
      <c r="B6" s="59" t="s">
        <v>626</v>
      </c>
      <c r="C6" s="60">
        <v>0.14285714285714279</v>
      </c>
      <c r="D6" s="69" t="str">
        <f>Evaluationsheet!E7</f>
        <v>n.e.</v>
      </c>
      <c r="E6" s="60">
        <v>0.7</v>
      </c>
      <c r="F6" s="61">
        <v>0.8</v>
      </c>
    </row>
    <row r="7" spans="2:22" ht="35" customHeight="1">
      <c r="B7" s="62" t="s">
        <v>627</v>
      </c>
      <c r="C7" s="60">
        <v>0.13690476190476189</v>
      </c>
      <c r="D7" s="69" t="str">
        <f>Evaluationsheet!E8</f>
        <v>n.e.</v>
      </c>
      <c r="E7" s="60">
        <v>0.7</v>
      </c>
      <c r="F7" s="61">
        <v>0.8</v>
      </c>
    </row>
    <row r="8" spans="2:22" ht="35" customHeight="1">
      <c r="B8" s="56" t="s">
        <v>628</v>
      </c>
      <c r="C8" s="57">
        <v>0.19047619047619049</v>
      </c>
      <c r="D8" s="68" t="str">
        <f>Evaluationsheet!E9</f>
        <v>n.e.</v>
      </c>
      <c r="E8" s="57">
        <v>0.7</v>
      </c>
      <c r="F8" s="58">
        <v>0.8</v>
      </c>
    </row>
    <row r="9" spans="2:22" ht="35" customHeight="1" thickBot="1">
      <c r="B9" s="63" t="s">
        <v>629</v>
      </c>
      <c r="C9" s="64">
        <v>0.119047619047619</v>
      </c>
      <c r="D9" s="70" t="str">
        <f>Evaluationsheet!E10</f>
        <v>n.e.</v>
      </c>
      <c r="E9" s="64">
        <v>0.7</v>
      </c>
      <c r="F9" s="65">
        <v>0.8</v>
      </c>
    </row>
  </sheetData>
  <phoneticPr fontId="20" type="noConversion"/>
  <pageMargins left="0.23622047244094491" right="0.23622047244094491" top="0.74803149606299213" bottom="0.74803149606299213" header="0.31496062992125978" footer="0.31496062992125978"/>
  <pageSetup paperSize="9" scale="72" fitToHeight="0" orientation="landscape"/>
  <headerFooter>
    <oddHeader>&amp;L&amp;"Calibri"&amp;10&amp;K000000 INTERNAL&amp;1#_x000D_&amp;"Porsche Next TT"&amp;12&amp;K000000&amp;"Calibri"&amp;1 &amp;K000000 INTERNAL#_x000D_&amp;R&amp;G</oddHeader>
    <oddFooter>&amp;L&amp;"Calibri"&amp;10 &amp;K000000_x000D_# Internal</oddFooter>
  </headerFooter>
</worksheet>
</file>

<file path=docMetadata/LabelInfo.xml><?xml version="1.0" encoding="utf-8"?>
<clbl:labelList xmlns:clbl="http://schemas.microsoft.com/office/2020/mipLabelMetadata">
  <clbl:label id="{b0ff92c5-92ff-43fe-a760-6a9303f9073d}" enabled="1" method="Standard" siteId="{1272ef7d-0a4c-4c35-8f4b-416e283c5d59}" contentBits="3" removed="0"/>
</clbl:labelLis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工作表</vt:lpstr>
      </vt:variant>
      <vt:variant>
        <vt:i4>13</vt:i4>
      </vt:variant>
      <vt:variant>
        <vt:lpstr>命名范围</vt:lpstr>
      </vt:variant>
      <vt:variant>
        <vt:i4>6</vt:i4>
      </vt:variant>
    </vt:vector>
  </HeadingPairs>
  <TitlesOfParts>
    <vt:vector size="19" baseType="lpstr">
      <vt:lpstr>Datasheet</vt:lpstr>
      <vt:lpstr>Evaluationsheet</vt:lpstr>
      <vt:lpstr>Remarks</vt:lpstr>
      <vt:lpstr>Source</vt:lpstr>
      <vt:lpstr>L1 - Project management</vt:lpstr>
      <vt:lpstr>L2 - Logistics planning</vt:lpstr>
      <vt:lpstr>L3 - Suppliermgt.</vt:lpstr>
      <vt:lpstr>L4 - Procurement logistics</vt:lpstr>
      <vt:lpstr>L5 - Transport logistics</vt:lpstr>
      <vt:lpstr>L6 -  In-house logistics</vt:lpstr>
      <vt:lpstr>L7 - Customer management</vt:lpstr>
      <vt:lpstr>LOP</vt:lpstr>
      <vt:lpstr>Radar chart</vt:lpstr>
      <vt:lpstr>BewertungsListe</vt:lpstr>
      <vt:lpstr>Datasheet!Print_Area</vt:lpstr>
      <vt:lpstr>Evaluationsheet!Print_Area</vt:lpstr>
      <vt:lpstr>LOP!Print_Area</vt:lpstr>
      <vt:lpstr>'Radar chart'!Print_Area</vt:lpstr>
      <vt:lpstr>RatingScores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Vassiliou, Efstratios (PLR4)</dc:creator>
  <cp:lastModifiedBy>Li Jiajun</cp:lastModifiedBy>
  <cp:lastPrinted>2026-05-27T08:32:47Z</cp:lastPrinted>
  <dcterms:created xsi:type="dcterms:W3CDTF">2024-07-09T11:00:55Z</dcterms:created>
  <dcterms:modified xsi:type="dcterms:W3CDTF">2026-06-05T05:46:12Z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0x01010065E0E72855791B44A6CD2AB3EFF14137</vt:lpwstr>
  </property>
  <property fmtid="{D5CDD505-2E9C-101B-9397-08002B2CF9AE}" pid="3" name="RevIMBCS">
    <vt:lpwstr>1;#0.1 Initial category|0239cc7a-0c96-48a8-9e0e-a383e362571c</vt:lpwstr>
  </property>
  <property fmtid="{D5CDD505-2E9C-101B-9397-08002B2CF9AE}" pid="4" name="LegalHoldTag">
    <vt:lpwstr/>
  </property>
  <property fmtid="{D5CDD505-2E9C-101B-9397-08002B2CF9AE}" pid="5" name="MSIP_Label_126ea00b-4117-42cd-b507-4f042240423e_Enabled">
    <vt:lpwstr>true</vt:lpwstr>
  </property>
  <property fmtid="{D5CDD505-2E9C-101B-9397-08002B2CF9AE}" pid="6" name="MSIP_Label_126ea00b-4117-42cd-b507-4f042240423e_SetDate">
    <vt:lpwstr>2026-01-23T06:05:16Z</vt:lpwstr>
  </property>
  <property fmtid="{D5CDD505-2E9C-101B-9397-08002B2CF9AE}" pid="7" name="MSIP_Label_126ea00b-4117-42cd-b507-4f042240423e_Method">
    <vt:lpwstr>Standard</vt:lpwstr>
  </property>
  <property fmtid="{D5CDD505-2E9C-101B-9397-08002B2CF9AE}" pid="8" name="MSIP_Label_126ea00b-4117-42cd-b507-4f042240423e_Name">
    <vt:lpwstr>Internal</vt:lpwstr>
  </property>
  <property fmtid="{D5CDD505-2E9C-101B-9397-08002B2CF9AE}" pid="9" name="MSIP_Label_126ea00b-4117-42cd-b507-4f042240423e_SiteId">
    <vt:lpwstr>3d7c7980-9f6d-438d-8e73-5159b3d6b689</vt:lpwstr>
  </property>
  <property fmtid="{D5CDD505-2E9C-101B-9397-08002B2CF9AE}" pid="10" name="MSIP_Label_126ea00b-4117-42cd-b507-4f042240423e_ActionId">
    <vt:lpwstr>25b6a79c-9edc-4a19-9e6c-fdd9290d79d3</vt:lpwstr>
  </property>
  <property fmtid="{D5CDD505-2E9C-101B-9397-08002B2CF9AE}" pid="11" name="MSIP_Label_126ea00b-4117-42cd-b507-4f042240423e_ContentBits">
    <vt:lpwstr>2</vt:lpwstr>
  </property>
  <property fmtid="{D5CDD505-2E9C-101B-9397-08002B2CF9AE}" pid="12" name="MSIP_Label_126ea00b-4117-42cd-b507-4f042240423e_Tag">
    <vt:lpwstr>10, 3, 0, 1</vt:lpwstr>
  </property>
</Properties>
</file>