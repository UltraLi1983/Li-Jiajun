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工作运行 Working running\Work running\2. QPNi\0. Heavy items\1. Q6L project\6. Schäffler\ML7\7.4.2 - Performance Test Completion\R@R2\"/>
    </mc:Choice>
  </mc:AlternateContent>
  <xr:revisionPtr revIDLastSave="0" documentId="13_ncr:1_{A67A521A-4781-4FE1-A36E-0DEF0BBA31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  <sheet name="Sheet1" sheetId="2" r:id="rId2"/>
  </sheets>
  <definedNames>
    <definedName name="_xlnm.Print_Area" localSheetId="0">Tabelle1!$A$1:$AG$35</definedName>
    <definedName name="The_Day">IF(Tabelle1+Tabelle1!#REF!="Next Day", Sheet1!$H$4:$H$20, Sheet1!$E$20:$E$51)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H18" i="1" l="1"/>
  <c r="X19" i="1"/>
  <c r="AC19" i="1"/>
  <c r="AB19" i="1" s="1"/>
  <c r="S19" i="1"/>
  <c r="I19" i="1"/>
  <c r="H19" i="1" s="1"/>
  <c r="D19" i="1"/>
  <c r="C19" i="1" s="1"/>
  <c r="F8" i="1"/>
  <c r="AE8" i="1"/>
  <c r="Z8" i="1"/>
  <c r="U8" i="1"/>
  <c r="P8" i="1"/>
  <c r="K8" i="1"/>
  <c r="F19" i="1" l="1"/>
  <c r="K19" i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K18" i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N19" i="1"/>
  <c r="M19" i="1" s="1"/>
  <c r="AB18" i="1"/>
  <c r="AE18" i="1" s="1"/>
  <c r="AB17" i="1"/>
  <c r="AE17" i="1" s="1"/>
  <c r="AB16" i="1"/>
  <c r="AE16" i="1" s="1"/>
  <c r="AB15" i="1"/>
  <c r="AE15" i="1" s="1"/>
  <c r="AB14" i="1"/>
  <c r="AE14" i="1" s="1"/>
  <c r="AB13" i="1"/>
  <c r="AE13" i="1" s="1"/>
  <c r="AB12" i="1"/>
  <c r="AE12" i="1" s="1"/>
  <c r="AB11" i="1"/>
  <c r="AE11" i="1" s="1"/>
  <c r="AB10" i="1"/>
  <c r="AE10" i="1" s="1"/>
  <c r="AB9" i="1"/>
  <c r="AE9" i="1" s="1"/>
  <c r="W19" i="1"/>
  <c r="W18" i="1"/>
  <c r="Z18" i="1" s="1"/>
  <c r="W17" i="1"/>
  <c r="Z17" i="1" s="1"/>
  <c r="W16" i="1"/>
  <c r="Z16" i="1" s="1"/>
  <c r="W15" i="1"/>
  <c r="Z15" i="1" s="1"/>
  <c r="W14" i="1"/>
  <c r="Z14" i="1" s="1"/>
  <c r="W13" i="1"/>
  <c r="Z13" i="1" s="1"/>
  <c r="W12" i="1"/>
  <c r="Z12" i="1" s="1"/>
  <c r="W11" i="1"/>
  <c r="Z11" i="1" s="1"/>
  <c r="W10" i="1"/>
  <c r="Z10" i="1" s="1"/>
  <c r="W9" i="1"/>
  <c r="Z9" i="1" s="1"/>
  <c r="R19" i="1"/>
  <c r="R18" i="1"/>
  <c r="U18" i="1" s="1"/>
  <c r="R17" i="1"/>
  <c r="U17" i="1" s="1"/>
  <c r="R16" i="1"/>
  <c r="U16" i="1" s="1"/>
  <c r="R15" i="1"/>
  <c r="U15" i="1" s="1"/>
  <c r="R14" i="1"/>
  <c r="U14" i="1" s="1"/>
  <c r="R13" i="1"/>
  <c r="U13" i="1" s="1"/>
  <c r="R12" i="1"/>
  <c r="U12" i="1" s="1"/>
  <c r="R11" i="1"/>
  <c r="U11" i="1" s="1"/>
  <c r="R10" i="1"/>
  <c r="U10" i="1" s="1"/>
  <c r="R9" i="1"/>
  <c r="U9" i="1" s="1"/>
  <c r="J21" i="1" l="1"/>
  <c r="U19" i="1"/>
  <c r="T21" i="1" s="1"/>
  <c r="AE19" i="1"/>
  <c r="AD21" i="1" s="1"/>
  <c r="P19" i="1"/>
  <c r="O21" i="1" s="1"/>
  <c r="Z19" i="1"/>
  <c r="Y21" i="1" s="1"/>
  <c r="T28" i="1" l="1"/>
  <c r="AG19" i="1" l="1"/>
  <c r="AG18" i="1"/>
  <c r="AG17" i="1"/>
  <c r="AG16" i="1"/>
  <c r="AG15" i="1"/>
  <c r="AG14" i="1"/>
  <c r="AG13" i="1"/>
  <c r="AG12" i="1"/>
  <c r="AG11" i="1"/>
  <c r="AG10" i="1"/>
  <c r="AG9" i="1"/>
  <c r="C13" i="1"/>
  <c r="F13" i="1" s="1"/>
  <c r="F28" i="1" s="1"/>
  <c r="C14" i="1"/>
  <c r="F14" i="1" s="1"/>
  <c r="C15" i="1"/>
  <c r="F15" i="1" s="1"/>
  <c r="L28" i="1" s="1"/>
  <c r="C16" i="1"/>
  <c r="F16" i="1" s="1"/>
  <c r="F25" i="1" s="1"/>
  <c r="C17" i="1"/>
  <c r="F17" i="1" s="1"/>
  <c r="C18" i="1"/>
  <c r="F18" i="1" s="1"/>
  <c r="C10" i="1" l="1"/>
  <c r="F10" i="1" s="1"/>
  <c r="C11" i="1"/>
  <c r="F11" i="1" s="1"/>
  <c r="C12" i="1"/>
  <c r="F12" i="1" s="1"/>
  <c r="F9" i="1"/>
  <c r="P33" i="1" l="1"/>
  <c r="F23" i="1"/>
  <c r="O23" i="1" s="1"/>
  <c r="E21" i="1"/>
</calcChain>
</file>

<file path=xl/sharedStrings.xml><?xml version="1.0" encoding="utf-8"?>
<sst xmlns="http://schemas.openxmlformats.org/spreadsheetml/2006/main" count="99" uniqueCount="31">
  <si>
    <t>Monday</t>
    <phoneticPr fontId="1" type="noConversion"/>
  </si>
  <si>
    <t>Saturday</t>
  </si>
  <si>
    <t>Time period</t>
    <phoneticPr fontId="1" type="noConversion"/>
  </si>
  <si>
    <t>Production elements</t>
    <phoneticPr fontId="1" type="noConversion"/>
  </si>
  <si>
    <t>setup time</t>
    <phoneticPr fontId="1" type="noConversion"/>
  </si>
  <si>
    <t>Breaks</t>
    <phoneticPr fontId="1" type="noConversion"/>
  </si>
  <si>
    <t>maintenance</t>
    <phoneticPr fontId="1" type="noConversion"/>
  </si>
  <si>
    <t>Production time</t>
    <phoneticPr fontId="1" type="noConversion"/>
  </si>
  <si>
    <t>Working shifts / week</t>
    <phoneticPr fontId="1" type="noConversion"/>
  </si>
  <si>
    <t>Maintenance / Week</t>
    <phoneticPr fontId="1" type="noConversion"/>
  </si>
  <si>
    <t>Tuesday</t>
    <phoneticPr fontId="1" type="noConversion"/>
  </si>
  <si>
    <t>Sunday</t>
  </si>
  <si>
    <t>Wednesday</t>
    <phoneticPr fontId="1" type="noConversion"/>
  </si>
  <si>
    <t>Thursday</t>
    <phoneticPr fontId="1" type="noConversion"/>
  </si>
  <si>
    <t>Friday</t>
    <phoneticPr fontId="1" type="noConversion"/>
  </si>
  <si>
    <t>Activities</t>
    <phoneticPr fontId="1" type="noConversion"/>
  </si>
  <si>
    <t>Total Setup time / Week</t>
    <phoneticPr fontId="1" type="noConversion"/>
  </si>
  <si>
    <t>Organized System availability [%]</t>
    <phoneticPr fontId="1" type="noConversion"/>
  </si>
  <si>
    <t>Shifts/week (Nominated)</t>
    <phoneticPr fontId="1" type="noConversion"/>
  </si>
  <si>
    <r>
      <t>Organized System availability
(excluding breaks</t>
    </r>
    <r>
      <rPr>
        <sz val="12"/>
        <color theme="1"/>
        <rFont val="Audi Type"/>
        <family val="2"/>
      </rPr>
      <t>) [%]</t>
    </r>
    <phoneticPr fontId="1" type="noConversion"/>
  </si>
  <si>
    <r>
      <t xml:space="preserve">In system availability considered time for 
</t>
    </r>
    <r>
      <rPr>
        <b/>
        <sz val="14"/>
        <color theme="1"/>
        <rFont val="Audi Type"/>
        <family val="2"/>
      </rPr>
      <t>Breaks per shift</t>
    </r>
    <r>
      <rPr>
        <sz val="14"/>
        <color theme="1"/>
        <rFont val="Audi Type"/>
        <family val="2"/>
      </rPr>
      <t xml:space="preserve"> [min]</t>
    </r>
    <phoneticPr fontId="1" type="noConversion"/>
  </si>
  <si>
    <t>Time The day</t>
    <phoneticPr fontId="1" type="noConversion"/>
  </si>
  <si>
    <t>Real "Planned System availability [%]"
For replace the Ori. Data in &lt;Capacity planning sheet&gt;</t>
    <phoneticPr fontId="1" type="noConversion"/>
  </si>
  <si>
    <t>setup time</t>
  </si>
  <si>
    <t>Breaks</t>
  </si>
  <si>
    <t>Production time</t>
  </si>
  <si>
    <t>Tracking activity covered shifts</t>
    <phoneticPr fontId="1" type="noConversion"/>
  </si>
  <si>
    <t>Setup of Planned System availability [%]</t>
    <phoneticPr fontId="1" type="noConversion"/>
  </si>
  <si>
    <t>* If the "Unplanned iInterruptions" cannot be catched during Production tracking, Pls fill in the "Referenced Theoretical Unplanned interruptions" data which be calculated by &lt;Capacity record &amp; calculation sheet&gt;</t>
    <phoneticPr fontId="1" type="noConversion"/>
  </si>
  <si>
    <t>Qty of setup / Week</t>
    <phoneticPr fontId="1" type="noConversion"/>
  </si>
  <si>
    <r>
      <t xml:space="preserve">Counted Unplanned interruptions
</t>
    </r>
    <r>
      <rPr>
        <b/>
        <sz val="12"/>
        <color theme="1"/>
        <rFont val="Audi Type"/>
        <family val="2"/>
      </rPr>
      <t>in Each shift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</si>
</sst>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\ &quot;min&quot;"/>
    <numFmt numFmtId="177" formatCode="#,##0.0\ &quot;Shifts&quot;"/>
    <numFmt numFmtId="178" formatCode="#,##0.&quot;min&quot;"/>
    <numFmt numFmtId="179" formatCode="m/d\ h:mm"/>
    <numFmt numFmtId="180" formatCode="0.0%"/>
  </numFmts>
  <fonts count="2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udi Type"/>
      <family val="2"/>
    </font>
    <font>
      <sz val="10"/>
      <color theme="1"/>
      <name val="Audi Type"/>
      <family val="2"/>
    </font>
    <font>
      <sz val="12"/>
      <color theme="1"/>
      <name val="Audi Type"/>
      <family val="2"/>
    </font>
    <font>
      <b/>
      <sz val="12"/>
      <color theme="1"/>
      <name val="Audi Type"/>
      <family val="2"/>
    </font>
    <font>
      <b/>
      <sz val="11"/>
      <color theme="1"/>
      <name val="Audi Type"/>
      <family val="2"/>
    </font>
    <font>
      <b/>
      <sz val="14"/>
      <color theme="1"/>
      <name val="Audi Type"/>
      <family val="2"/>
    </font>
    <font>
      <b/>
      <sz val="20"/>
      <color theme="1"/>
      <name val="Audi Type"/>
      <family val="2"/>
    </font>
    <font>
      <sz val="11"/>
      <color theme="1"/>
      <name val="等线"/>
      <family val="2"/>
      <scheme val="minor"/>
    </font>
    <font>
      <sz val="11"/>
      <name val="Audi Type"/>
      <family val="2"/>
    </font>
    <font>
      <sz val="10"/>
      <name val="Audi Type"/>
      <family val="2"/>
    </font>
    <font>
      <b/>
      <sz val="9"/>
      <color theme="1"/>
      <name val="Audi Type"/>
      <family val="2"/>
    </font>
    <font>
      <sz val="9"/>
      <color theme="1"/>
      <name val="Audi Type"/>
      <family val="2"/>
    </font>
    <font>
      <b/>
      <sz val="14"/>
      <color rgb="FFFF0000"/>
      <name val="Audi Type"/>
      <family val="2"/>
    </font>
    <font>
      <sz val="14"/>
      <color theme="1"/>
      <name val="Audi Type"/>
      <family val="2"/>
    </font>
    <font>
      <b/>
      <sz val="11"/>
      <name val="Audi Type"/>
      <family val="2"/>
    </font>
    <font>
      <sz val="7"/>
      <name val="Source Code Pro"/>
      <family val="3"/>
    </font>
    <font>
      <b/>
      <sz val="10"/>
      <name val="Audi Type"/>
      <family val="2"/>
    </font>
    <font>
      <b/>
      <sz val="12"/>
      <color rgb="FFFF0000"/>
      <name val="Audi Type"/>
      <family val="2"/>
    </font>
    <font>
      <b/>
      <sz val="12"/>
      <name val="Audi Type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86">
    <xf numFmtId="0" fontId="0" fillId="0" borderId="0" xfId="0"/>
    <xf numFmtId="0" fontId="6" fillId="0" borderId="0" xfId="0" applyFont="1" applyProtection="1"/>
    <xf numFmtId="0" fontId="2" fillId="0" borderId="0" xfId="0" applyFont="1" applyProtection="1"/>
    <xf numFmtId="0" fontId="6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6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16" fillId="0" borderId="0" xfId="0" applyFont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17" fillId="0" borderId="0" xfId="0" applyFont="1" applyAlignment="1">
      <alignment horizontal="center" vertical="center"/>
    </xf>
    <xf numFmtId="179" fontId="2" fillId="0" borderId="0" xfId="0" applyNumberFormat="1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left" vertical="center"/>
      <protection hidden="1"/>
    </xf>
    <xf numFmtId="0" fontId="4" fillId="0" borderId="0" xfId="0" applyFont="1" applyBorder="1" applyAlignment="1" applyProtection="1">
      <alignment vertical="center"/>
      <protection hidden="1"/>
    </xf>
    <xf numFmtId="0" fontId="4" fillId="0" borderId="0" xfId="0" applyFont="1" applyBorder="1" applyAlignment="1" applyProtection="1">
      <alignment vertical="center" wrapText="1"/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12" fillId="0" borderId="0" xfId="0" applyFont="1" applyBorder="1" applyAlignment="1" applyProtection="1">
      <alignment vertical="center" wrapText="1"/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0" fontId="13" fillId="0" borderId="0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20" fontId="4" fillId="0" borderId="0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20" fontId="4" fillId="0" borderId="0" xfId="0" applyNumberFormat="1" applyFont="1" applyFill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20" fontId="4" fillId="0" borderId="7" xfId="0" applyNumberFormat="1" applyFont="1" applyFill="1" applyBorder="1" applyAlignment="1" applyProtection="1">
      <alignment horizontal="center" vertical="center"/>
      <protection hidden="1"/>
    </xf>
    <xf numFmtId="20" fontId="3" fillId="0" borderId="0" xfId="0" applyNumberFormat="1" applyFont="1" applyAlignment="1" applyProtection="1">
      <alignment horizontal="center" vertical="center"/>
      <protection hidden="1"/>
    </xf>
    <xf numFmtId="176" fontId="3" fillId="0" borderId="0" xfId="0" applyNumberFormat="1" applyFont="1" applyAlignment="1" applyProtection="1">
      <alignment vertical="center"/>
      <protection hidden="1"/>
    </xf>
    <xf numFmtId="20" fontId="4" fillId="3" borderId="2" xfId="0" applyNumberFormat="1" applyFont="1" applyFill="1" applyBorder="1" applyAlignment="1" applyProtection="1">
      <alignment horizontal="center" vertical="center"/>
      <protection locked="0" hidden="1"/>
    </xf>
    <xf numFmtId="0" fontId="4" fillId="3" borderId="2" xfId="0" applyFont="1" applyFill="1" applyBorder="1" applyAlignment="1" applyProtection="1">
      <alignment horizontal="center" vertical="center"/>
      <protection locked="0" hidden="1"/>
    </xf>
    <xf numFmtId="20" fontId="4" fillId="3" borderId="0" xfId="0" applyNumberFormat="1" applyFont="1" applyFill="1" applyBorder="1" applyAlignment="1" applyProtection="1">
      <alignment horizontal="center" vertical="center"/>
      <protection locked="0" hidden="1"/>
    </xf>
    <xf numFmtId="0" fontId="4" fillId="3" borderId="0" xfId="0" applyFont="1" applyFill="1" applyBorder="1" applyAlignment="1" applyProtection="1">
      <alignment horizontal="center" vertical="center"/>
      <protection locked="0" hidden="1"/>
    </xf>
    <xf numFmtId="0" fontId="4" fillId="3" borderId="7" xfId="0" applyFont="1" applyFill="1" applyBorder="1" applyAlignment="1" applyProtection="1">
      <alignment horizontal="center" vertical="center"/>
      <protection locked="0" hidden="1"/>
    </xf>
    <xf numFmtId="178" fontId="11" fillId="0" borderId="2" xfId="0" applyNumberFormat="1" applyFont="1" applyBorder="1" applyAlignment="1" applyProtection="1">
      <alignment horizontal="center" vertical="center" shrinkToFit="1"/>
      <protection hidden="1"/>
    </xf>
    <xf numFmtId="178" fontId="11" fillId="0" borderId="0" xfId="0" applyNumberFormat="1" applyFont="1" applyBorder="1" applyAlignment="1" applyProtection="1">
      <alignment horizontal="center" vertical="center" shrinkToFit="1"/>
      <protection hidden="1"/>
    </xf>
    <xf numFmtId="178" fontId="11" fillId="0" borderId="7" xfId="0" applyNumberFormat="1" applyFont="1" applyBorder="1" applyAlignment="1" applyProtection="1">
      <alignment horizontal="center" vertical="center" shrinkToFit="1"/>
      <protection hidden="1"/>
    </xf>
    <xf numFmtId="178" fontId="11" fillId="0" borderId="3" xfId="0" applyNumberFormat="1" applyFont="1" applyBorder="1" applyAlignment="1" applyProtection="1">
      <alignment horizontal="center" vertical="center" shrinkToFit="1"/>
      <protection hidden="1"/>
    </xf>
    <xf numFmtId="178" fontId="11" fillId="0" borderId="5" xfId="0" applyNumberFormat="1" applyFont="1" applyBorder="1" applyAlignment="1" applyProtection="1">
      <alignment horizontal="center" vertical="center" shrinkToFit="1"/>
      <protection hidden="1"/>
    </xf>
    <xf numFmtId="178" fontId="11" fillId="0" borderId="8" xfId="0" applyNumberFormat="1" applyFont="1" applyBorder="1" applyAlignment="1" applyProtection="1">
      <alignment horizontal="center" vertical="center" shrinkToFit="1"/>
      <protection hidden="1"/>
    </xf>
    <xf numFmtId="0" fontId="5" fillId="0" borderId="0" xfId="0" applyFont="1" applyBorder="1" applyAlignment="1" applyProtection="1">
      <alignment horizontal="left" vertical="center" wrapText="1"/>
      <protection hidden="1"/>
    </xf>
    <xf numFmtId="0" fontId="4" fillId="0" borderId="0" xfId="0" applyFont="1" applyBorder="1" applyAlignment="1" applyProtection="1">
      <alignment horizontal="left" vertical="center" wrapText="1"/>
      <protection hidden="1"/>
    </xf>
    <xf numFmtId="0" fontId="4" fillId="0" borderId="0" xfId="0" applyFont="1" applyBorder="1" applyAlignment="1" applyProtection="1">
      <alignment horizontal="right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left" vertical="center" wrapText="1"/>
      <protection hidden="1"/>
    </xf>
    <xf numFmtId="0" fontId="4" fillId="0" borderId="16" xfId="0" applyFont="1" applyBorder="1" applyAlignment="1" applyProtection="1">
      <alignment horizontal="left" vertical="center"/>
      <protection hidden="1"/>
    </xf>
    <xf numFmtId="0" fontId="5" fillId="0" borderId="16" xfId="0" applyFont="1" applyBorder="1" applyAlignment="1" applyProtection="1">
      <alignment horizontal="left" vertical="center" wrapText="1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left" vertical="center" wrapText="1"/>
      <protection hidden="1"/>
    </xf>
    <xf numFmtId="0" fontId="4" fillId="0" borderId="17" xfId="0" applyFont="1" applyBorder="1" applyAlignment="1" applyProtection="1">
      <alignment horizontal="left" vertical="center"/>
      <protection hidden="1"/>
    </xf>
    <xf numFmtId="0" fontId="5" fillId="0" borderId="17" xfId="0" applyFont="1" applyBorder="1" applyAlignment="1" applyProtection="1">
      <alignment horizontal="left" vertical="center" wrapText="1"/>
      <protection hidden="1"/>
    </xf>
    <xf numFmtId="0" fontId="19" fillId="0" borderId="0" xfId="0" applyFont="1" applyBorder="1" applyAlignment="1" applyProtection="1">
      <alignment horizontal="left" vertical="center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0" fontId="5" fillId="0" borderId="18" xfId="0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left" vertical="center" wrapText="1"/>
      <protection hidden="1"/>
    </xf>
    <xf numFmtId="0" fontId="5" fillId="0" borderId="0" xfId="0" applyFont="1" applyBorder="1" applyAlignment="1" applyProtection="1">
      <alignment horizontal="left" vertical="center" wrapText="1"/>
      <protection hidden="1"/>
    </xf>
    <xf numFmtId="176" fontId="20" fillId="3" borderId="15" xfId="0" applyNumberFormat="1" applyFont="1" applyFill="1" applyBorder="1" applyAlignment="1" applyProtection="1">
      <alignment horizontal="center" vertical="center"/>
      <protection locked="0" hidden="1"/>
    </xf>
    <xf numFmtId="9" fontId="16" fillId="0" borderId="12" xfId="1" applyFont="1" applyFill="1" applyBorder="1" applyAlignment="1" applyProtection="1">
      <alignment horizontal="center" vertical="center"/>
      <protection hidden="1"/>
    </xf>
    <xf numFmtId="9" fontId="16" fillId="0" borderId="13" xfId="1" applyFont="1" applyFill="1" applyBorder="1" applyAlignment="1" applyProtection="1">
      <alignment horizontal="center" vertical="center"/>
      <protection hidden="1"/>
    </xf>
    <xf numFmtId="9" fontId="16" fillId="0" borderId="14" xfId="1" applyFont="1" applyFill="1" applyBorder="1" applyAlignment="1" applyProtection="1">
      <alignment horizontal="center" vertical="center"/>
      <protection hidden="1"/>
    </xf>
    <xf numFmtId="177" fontId="6" fillId="3" borderId="12" xfId="0" applyNumberFormat="1" applyFont="1" applyFill="1" applyBorder="1" applyAlignment="1" applyProtection="1">
      <alignment horizontal="center" vertical="center"/>
      <protection locked="0" hidden="1"/>
    </xf>
    <xf numFmtId="177" fontId="6" fillId="3" borderId="13" xfId="0" applyNumberFormat="1" applyFont="1" applyFill="1" applyBorder="1" applyAlignment="1" applyProtection="1">
      <alignment horizontal="center" vertical="center"/>
      <protection locked="0" hidden="1"/>
    </xf>
    <xf numFmtId="177" fontId="6" fillId="3" borderId="14" xfId="0" applyNumberFormat="1" applyFont="1" applyFill="1" applyBorder="1" applyAlignment="1" applyProtection="1">
      <alignment horizontal="center" vertical="center"/>
      <protection locked="0" hidden="1"/>
    </xf>
    <xf numFmtId="176" fontId="11" fillId="5" borderId="9" xfId="0" applyNumberFormat="1" applyFont="1" applyFill="1" applyBorder="1" applyAlignment="1" applyProtection="1">
      <alignment horizontal="center" vertical="center"/>
      <protection hidden="1"/>
    </xf>
    <xf numFmtId="176" fontId="11" fillId="5" borderId="10" xfId="0" applyNumberFormat="1" applyFont="1" applyFill="1" applyBorder="1" applyAlignment="1" applyProtection="1">
      <alignment horizontal="center" vertical="center"/>
      <protection hidden="1"/>
    </xf>
    <xf numFmtId="176" fontId="11" fillId="5" borderId="11" xfId="0" applyNumberFormat="1" applyFont="1" applyFill="1" applyBorder="1" applyAlignment="1" applyProtection="1">
      <alignment horizontal="center" vertical="center"/>
      <protection hidden="1"/>
    </xf>
    <xf numFmtId="176" fontId="18" fillId="2" borderId="12" xfId="0" applyNumberFormat="1" applyFont="1" applyFill="1" applyBorder="1" applyAlignment="1" applyProtection="1">
      <alignment horizontal="center" vertical="center"/>
      <protection hidden="1"/>
    </xf>
    <xf numFmtId="176" fontId="18" fillId="2" borderId="13" xfId="0" applyNumberFormat="1" applyFont="1" applyFill="1" applyBorder="1" applyAlignment="1" applyProtection="1">
      <alignment horizontal="center" vertical="center"/>
      <protection hidden="1"/>
    </xf>
    <xf numFmtId="176" fontId="18" fillId="2" borderId="14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180" fontId="14" fillId="0" borderId="9" xfId="1" applyNumberFormat="1" applyFont="1" applyBorder="1" applyAlignment="1" applyProtection="1">
      <alignment horizontal="center" vertical="center"/>
      <protection hidden="1"/>
    </xf>
    <xf numFmtId="180" fontId="14" fillId="0" borderId="10" xfId="1" applyNumberFormat="1" applyFont="1" applyBorder="1" applyAlignment="1" applyProtection="1">
      <alignment horizontal="center" vertical="center"/>
      <protection hidden="1"/>
    </xf>
    <xf numFmtId="180" fontId="14" fillId="0" borderId="11" xfId="1" applyNumberFormat="1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left" vertical="center" wrapText="1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176" fontId="11" fillId="4" borderId="15" xfId="0" applyNumberFormat="1" applyFont="1" applyFill="1" applyBorder="1" applyAlignment="1" applyProtection="1">
      <alignment horizontal="center" vertical="center"/>
      <protection hidden="1"/>
    </xf>
    <xf numFmtId="9" fontId="10" fillId="0" borderId="9" xfId="1" applyFont="1" applyFill="1" applyBorder="1" applyAlignment="1" applyProtection="1">
      <alignment horizontal="center" vertical="center"/>
      <protection hidden="1"/>
    </xf>
    <xf numFmtId="9" fontId="10" fillId="0" borderId="11" xfId="1" applyFont="1" applyFill="1" applyBorder="1" applyAlignment="1" applyProtection="1">
      <alignment horizontal="center" vertical="center"/>
      <protection hidden="1"/>
    </xf>
  </cellXfs>
  <cellStyles count="2">
    <cellStyle name="百分比" xfId="1" builtinId="5"/>
    <cellStyle name="常规" xfId="0" builtinId="0"/>
  </cellStyles>
  <dxfs count="64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22</xdr:row>
      <xdr:rowOff>47625</xdr:rowOff>
    </xdr:from>
    <xdr:to>
      <xdr:col>8</xdr:col>
      <xdr:colOff>455386</xdr:colOff>
      <xdr:row>22</xdr:row>
      <xdr:rowOff>364671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4FD5DCD6-8C24-4870-84FB-734BF76B00FA}"/>
            </a:ext>
          </a:extLst>
        </xdr:cNvPr>
        <xdr:cNvSpPr/>
      </xdr:nvSpPr>
      <xdr:spPr>
        <a:xfrm>
          <a:off x="5248275" y="1590675"/>
          <a:ext cx="255361" cy="317046"/>
        </a:xfrm>
        <a:prstGeom prst="rightArrow">
          <a:avLst/>
        </a:prstGeom>
        <a:noFill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34"/>
  <sheetViews>
    <sheetView showGridLines="0" tabSelected="1" topLeftCell="A16" zoomScaleNormal="100" zoomScaleSheetLayoutView="40" workbookViewId="0">
      <selection activeCell="N40" sqref="A1:S40"/>
    </sheetView>
  </sheetViews>
  <sheetFormatPr defaultRowHeight="13" outlineLevelRow="1"/>
  <cols>
    <col min="1" max="1" width="1.9140625" style="14" customWidth="1"/>
    <col min="2" max="2" width="4.58203125" style="14" customWidth="1"/>
    <col min="3" max="4" width="7.83203125" style="15" customWidth="1"/>
    <col min="5" max="5" width="20.5" style="15" customWidth="1"/>
    <col min="6" max="6" width="10.4140625" style="15" customWidth="1"/>
    <col min="7" max="7" width="4.58203125" style="14" customWidth="1"/>
    <col min="8" max="9" width="7.83203125" style="15" customWidth="1"/>
    <col min="10" max="10" width="20.5" style="15" customWidth="1"/>
    <col min="11" max="11" width="10.4140625" style="15" customWidth="1"/>
    <col min="12" max="12" width="4.58203125" style="14" customWidth="1"/>
    <col min="13" max="14" width="7.83203125" style="15" customWidth="1"/>
    <col min="15" max="15" width="20.5" style="15" customWidth="1"/>
    <col min="16" max="16" width="10.4140625" style="15" customWidth="1"/>
    <col min="17" max="17" width="4.58203125" style="14" customWidth="1"/>
    <col min="18" max="19" width="7.83203125" style="15" customWidth="1"/>
    <col min="20" max="20" width="20.5" style="15" customWidth="1"/>
    <col min="21" max="21" width="10.4140625" style="15" customWidth="1"/>
    <col min="22" max="22" width="4.58203125" style="14" customWidth="1"/>
    <col min="23" max="24" width="7.83203125" style="15" customWidth="1"/>
    <col min="25" max="25" width="20.5" style="15" customWidth="1"/>
    <col min="26" max="26" width="10.4140625" style="15" customWidth="1"/>
    <col min="27" max="27" width="4.58203125" style="14" customWidth="1"/>
    <col min="28" max="29" width="7.83203125" style="15" customWidth="1"/>
    <col min="30" max="30" width="20.5" style="15" customWidth="1"/>
    <col min="31" max="31" width="10.4140625" style="14" customWidth="1"/>
    <col min="32" max="32" width="8.6640625" style="14" hidden="1" customWidth="1"/>
    <col min="33" max="33" width="1.83203125" style="15" customWidth="1"/>
    <col min="34" max="16384" width="8.6640625" style="14"/>
  </cols>
  <sheetData>
    <row r="2" spans="2:33" ht="28" customHeight="1">
      <c r="B2" s="13" t="s">
        <v>27</v>
      </c>
      <c r="C2" s="14"/>
      <c r="G2" s="13"/>
      <c r="H2" s="14"/>
      <c r="L2" s="13"/>
      <c r="M2" s="14"/>
      <c r="Q2" s="13"/>
      <c r="R2" s="14"/>
      <c r="V2" s="13"/>
      <c r="W2" s="14"/>
      <c r="AB2" s="14"/>
      <c r="AG2" s="14"/>
    </row>
    <row r="3" spans="2:33" ht="13" customHeight="1" thickBot="1">
      <c r="B3" s="13"/>
      <c r="C3" s="14"/>
      <c r="G3" s="13"/>
      <c r="H3" s="14"/>
      <c r="L3" s="13"/>
      <c r="M3" s="14"/>
      <c r="Q3" s="13"/>
      <c r="R3" s="14"/>
      <c r="V3" s="13"/>
      <c r="W3" s="14"/>
      <c r="AB3" s="14"/>
      <c r="AG3" s="14"/>
    </row>
    <row r="4" spans="2:33" ht="29" customHeight="1" thickBot="1">
      <c r="B4" s="60" t="s">
        <v>18</v>
      </c>
      <c r="C4" s="60"/>
      <c r="D4" s="60"/>
      <c r="E4" s="61"/>
      <c r="F4" s="68">
        <v>12</v>
      </c>
      <c r="G4" s="69"/>
      <c r="H4" s="70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  <c r="U4" s="24"/>
      <c r="V4" s="23"/>
      <c r="W4" s="23"/>
      <c r="X4" s="23"/>
      <c r="Y4" s="24"/>
      <c r="Z4" s="24"/>
      <c r="AB4" s="23"/>
      <c r="AC4" s="23"/>
      <c r="AD4" s="24"/>
      <c r="AG4" s="23"/>
    </row>
    <row r="5" spans="2:33" ht="10" customHeight="1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G5" s="25"/>
    </row>
    <row r="6" spans="2:33" ht="29.5" customHeight="1">
      <c r="B6" s="23" t="s">
        <v>0</v>
      </c>
      <c r="C6" s="23"/>
      <c r="D6" s="23"/>
      <c r="E6" s="23"/>
      <c r="F6" s="23"/>
      <c r="G6" s="23" t="s">
        <v>10</v>
      </c>
      <c r="H6" s="23"/>
      <c r="I6" s="23"/>
      <c r="J6" s="23"/>
      <c r="K6" s="23"/>
      <c r="L6" s="23" t="s">
        <v>12</v>
      </c>
      <c r="M6" s="23"/>
      <c r="N6" s="23"/>
      <c r="O6" s="23"/>
      <c r="P6" s="23"/>
      <c r="Q6" s="23" t="s">
        <v>13</v>
      </c>
      <c r="R6" s="23"/>
      <c r="S6" s="23"/>
      <c r="T6" s="23"/>
      <c r="U6" s="23"/>
      <c r="V6" s="23" t="s">
        <v>14</v>
      </c>
      <c r="W6" s="23"/>
      <c r="X6" s="23"/>
      <c r="Y6" s="23"/>
      <c r="Z6" s="23"/>
      <c r="AA6" s="23" t="s">
        <v>1</v>
      </c>
      <c r="AB6" s="23"/>
      <c r="AC6" s="23"/>
      <c r="AD6" s="23"/>
      <c r="AE6" s="23"/>
      <c r="AF6" s="23" t="s">
        <v>11</v>
      </c>
      <c r="AG6" s="23"/>
    </row>
    <row r="7" spans="2:33" s="26" customFormat="1" ht="24.5" customHeight="1">
      <c r="B7" s="60" t="s">
        <v>2</v>
      </c>
      <c r="C7" s="60"/>
      <c r="D7" s="60"/>
      <c r="E7" s="25" t="s">
        <v>15</v>
      </c>
      <c r="F7" s="25"/>
      <c r="G7" s="60" t="s">
        <v>2</v>
      </c>
      <c r="H7" s="60"/>
      <c r="I7" s="60"/>
      <c r="J7" s="25" t="s">
        <v>15</v>
      </c>
      <c r="K7" s="25"/>
      <c r="L7" s="60" t="s">
        <v>2</v>
      </c>
      <c r="M7" s="60"/>
      <c r="N7" s="60"/>
      <c r="O7" s="25" t="s">
        <v>15</v>
      </c>
      <c r="P7" s="25"/>
      <c r="Q7" s="82" t="s">
        <v>2</v>
      </c>
      <c r="R7" s="82"/>
      <c r="S7" s="82"/>
      <c r="T7" s="25" t="s">
        <v>15</v>
      </c>
      <c r="U7" s="25"/>
      <c r="V7" s="82" t="s">
        <v>2</v>
      </c>
      <c r="W7" s="82"/>
      <c r="X7" s="82"/>
      <c r="Y7" s="25" t="s">
        <v>15</v>
      </c>
      <c r="Z7" s="25"/>
      <c r="AA7" s="60" t="s">
        <v>2</v>
      </c>
      <c r="AB7" s="60"/>
      <c r="AC7" s="60"/>
      <c r="AD7" s="25" t="s">
        <v>15</v>
      </c>
      <c r="AE7" s="25"/>
      <c r="AF7" s="23" t="s">
        <v>2</v>
      </c>
      <c r="AG7" s="23"/>
    </row>
    <row r="8" spans="2:33" s="29" customFormat="1" ht="24.5" customHeight="1">
      <c r="B8" s="27">
        <v>1</v>
      </c>
      <c r="C8" s="36">
        <v>45658.333333333336</v>
      </c>
      <c r="D8" s="36">
        <v>45658.458333333336</v>
      </c>
      <c r="E8" s="37" t="s">
        <v>25</v>
      </c>
      <c r="F8" s="41">
        <f t="shared" ref="F8:F18" si="0">(D8-C8)*1440</f>
        <v>180</v>
      </c>
      <c r="G8" s="27">
        <v>1</v>
      </c>
      <c r="H8" s="36">
        <v>45658.333333333336</v>
      </c>
      <c r="I8" s="36">
        <v>45658.458333333336</v>
      </c>
      <c r="J8" s="37" t="s">
        <v>25</v>
      </c>
      <c r="K8" s="41">
        <f>(I8-H8)*1440</f>
        <v>180</v>
      </c>
      <c r="L8" s="27">
        <v>1</v>
      </c>
      <c r="M8" s="36">
        <v>45658.333333333336</v>
      </c>
      <c r="N8" s="36">
        <v>45658.458333333336</v>
      </c>
      <c r="O8" s="37" t="s">
        <v>25</v>
      </c>
      <c r="P8" s="44">
        <f>(N8-M8)*1440</f>
        <v>180</v>
      </c>
      <c r="Q8" s="27">
        <v>1</v>
      </c>
      <c r="R8" s="36">
        <v>45658.333333333336</v>
      </c>
      <c r="S8" s="36">
        <v>45658.458333333336</v>
      </c>
      <c r="T8" s="37" t="s">
        <v>25</v>
      </c>
      <c r="U8" s="44">
        <f>(S8-R8)*1440</f>
        <v>180</v>
      </c>
      <c r="V8" s="27">
        <v>1</v>
      </c>
      <c r="W8" s="36">
        <v>45658.333333333336</v>
      </c>
      <c r="X8" s="36">
        <v>45658.458333333336</v>
      </c>
      <c r="Y8" s="37" t="s">
        <v>25</v>
      </c>
      <c r="Z8" s="41">
        <f>(X8-W8)*1440</f>
        <v>180</v>
      </c>
      <c r="AA8" s="27">
        <v>1</v>
      </c>
      <c r="AB8" s="36">
        <v>45658.333333333336</v>
      </c>
      <c r="AC8" s="36">
        <v>45658.458333333336</v>
      </c>
      <c r="AD8" s="37" t="s">
        <v>25</v>
      </c>
      <c r="AE8" s="44">
        <f>(AC8-AB8)*1440</f>
        <v>180</v>
      </c>
      <c r="AF8" s="25">
        <v>1</v>
      </c>
      <c r="AG8" s="28"/>
    </row>
    <row r="9" spans="2:33" s="29" customFormat="1" ht="24.5" customHeight="1">
      <c r="B9" s="30">
        <v>2</v>
      </c>
      <c r="C9" s="31">
        <f>IF(D9=0,0,D8)</f>
        <v>45658.458333333336</v>
      </c>
      <c r="D9" s="38">
        <v>45658.479166666664</v>
      </c>
      <c r="E9" s="39" t="s">
        <v>24</v>
      </c>
      <c r="F9" s="42">
        <f t="shared" si="0"/>
        <v>29.999999993015081</v>
      </c>
      <c r="G9" s="30">
        <v>2</v>
      </c>
      <c r="H9" s="31">
        <f>IF(I9=0,0,I8)</f>
        <v>45658.458333333336</v>
      </c>
      <c r="I9" s="38">
        <v>45658.479166666664</v>
      </c>
      <c r="J9" s="39" t="s">
        <v>24</v>
      </c>
      <c r="K9" s="42">
        <f t="shared" ref="K9:K18" si="1">(I9-H9)*1440</f>
        <v>29.999999993015081</v>
      </c>
      <c r="L9" s="30">
        <v>2</v>
      </c>
      <c r="M9" s="31">
        <f>IF(N9=0,0,N8)</f>
        <v>45658.458333333336</v>
      </c>
      <c r="N9" s="38">
        <v>45658.479166666664</v>
      </c>
      <c r="O9" s="39" t="s">
        <v>24</v>
      </c>
      <c r="P9" s="45">
        <f t="shared" ref="P9:P19" si="2">(N9-M9)*1440</f>
        <v>29.999999993015081</v>
      </c>
      <c r="Q9" s="30">
        <v>2</v>
      </c>
      <c r="R9" s="31">
        <f>IF(S9=0,0,S8)</f>
        <v>45658.458333333336</v>
      </c>
      <c r="S9" s="38">
        <v>45658.479166666664</v>
      </c>
      <c r="T9" s="39" t="s">
        <v>24</v>
      </c>
      <c r="U9" s="45">
        <f t="shared" ref="U9:U19" si="3">(S9-R9)*1440</f>
        <v>29.999999993015081</v>
      </c>
      <c r="V9" s="30">
        <v>2</v>
      </c>
      <c r="W9" s="31">
        <f>IF(X9=0,0,X8)</f>
        <v>45658.458333333336</v>
      </c>
      <c r="X9" s="38">
        <v>45658.479166666664</v>
      </c>
      <c r="Y9" s="39" t="s">
        <v>24</v>
      </c>
      <c r="Z9" s="42">
        <f t="shared" ref="Z9:Z19" si="4">(X9-W9)*1440</f>
        <v>29.999999993015081</v>
      </c>
      <c r="AA9" s="30">
        <v>2</v>
      </c>
      <c r="AB9" s="31">
        <f>IF(AC9=0,0,AC8)</f>
        <v>45658.458333333336</v>
      </c>
      <c r="AC9" s="38">
        <v>45658.479166666664</v>
      </c>
      <c r="AD9" s="39" t="s">
        <v>24</v>
      </c>
      <c r="AE9" s="45">
        <f t="shared" ref="AE9:AE19" si="5">(AC9-AB9)*1440</f>
        <v>29.999999993015081</v>
      </c>
      <c r="AF9" s="25">
        <v>2</v>
      </c>
      <c r="AG9" s="28" t="e">
        <f>IF(#REF!=0,0,#REF!)</f>
        <v>#REF!</v>
      </c>
    </row>
    <row r="10" spans="2:33" s="29" customFormat="1" ht="24.5" customHeight="1">
      <c r="B10" s="30">
        <v>3</v>
      </c>
      <c r="C10" s="31">
        <f t="shared" ref="C10:C18" si="6">IF(D10=0,0,D9)</f>
        <v>45658.479166666664</v>
      </c>
      <c r="D10" s="38">
        <v>45658.729166666664</v>
      </c>
      <c r="E10" s="39" t="s">
        <v>25</v>
      </c>
      <c r="F10" s="42">
        <f t="shared" si="0"/>
        <v>360</v>
      </c>
      <c r="G10" s="30">
        <v>3</v>
      </c>
      <c r="H10" s="31">
        <f t="shared" ref="H10:H17" si="7">IF(I10=0,0,I9)</f>
        <v>45658.479166666664</v>
      </c>
      <c r="I10" s="38">
        <v>45658.729166666664</v>
      </c>
      <c r="J10" s="39" t="s">
        <v>25</v>
      </c>
      <c r="K10" s="42">
        <f t="shared" si="1"/>
        <v>360</v>
      </c>
      <c r="L10" s="30">
        <v>3</v>
      </c>
      <c r="M10" s="31">
        <f t="shared" ref="M10:M18" si="8">IF(N10=0,0,N9)</f>
        <v>45658.479166666664</v>
      </c>
      <c r="N10" s="38">
        <v>45658.729166666664</v>
      </c>
      <c r="O10" s="39" t="s">
        <v>25</v>
      </c>
      <c r="P10" s="45">
        <f t="shared" si="2"/>
        <v>360</v>
      </c>
      <c r="Q10" s="30">
        <v>3</v>
      </c>
      <c r="R10" s="31">
        <f t="shared" ref="R10:R18" si="9">IF(S10=0,0,S9)</f>
        <v>45658.479166666664</v>
      </c>
      <c r="S10" s="38">
        <v>45658.729166666664</v>
      </c>
      <c r="T10" s="39" t="s">
        <v>25</v>
      </c>
      <c r="U10" s="45">
        <f t="shared" si="3"/>
        <v>360</v>
      </c>
      <c r="V10" s="30">
        <v>3</v>
      </c>
      <c r="W10" s="31">
        <f t="shared" ref="W10:W18" si="10">IF(X10=0,0,X9)</f>
        <v>45658.479166666664</v>
      </c>
      <c r="X10" s="38">
        <v>45658.729166666664</v>
      </c>
      <c r="Y10" s="39" t="s">
        <v>25</v>
      </c>
      <c r="Z10" s="42">
        <f t="shared" si="4"/>
        <v>360</v>
      </c>
      <c r="AA10" s="30">
        <v>3</v>
      </c>
      <c r="AB10" s="31">
        <f t="shared" ref="AB10:AB18" si="11">IF(AC10=0,0,AC9)</f>
        <v>45658.479166666664</v>
      </c>
      <c r="AC10" s="38">
        <v>45658.729166666664</v>
      </c>
      <c r="AD10" s="39" t="s">
        <v>25</v>
      </c>
      <c r="AE10" s="45">
        <f t="shared" si="5"/>
        <v>360</v>
      </c>
      <c r="AF10" s="25">
        <v>3</v>
      </c>
      <c r="AG10" s="28" t="e">
        <f>IF(#REF!=0,0,#REF!)</f>
        <v>#REF!</v>
      </c>
    </row>
    <row r="11" spans="2:33" s="29" customFormat="1" ht="24.5" customHeight="1">
      <c r="B11" s="30">
        <v>4</v>
      </c>
      <c r="C11" s="31">
        <f t="shared" si="6"/>
        <v>45658.729166666664</v>
      </c>
      <c r="D11" s="38">
        <v>45658.75</v>
      </c>
      <c r="E11" s="39" t="s">
        <v>24</v>
      </c>
      <c r="F11" s="42">
        <f t="shared" si="0"/>
        <v>30.00000000349246</v>
      </c>
      <c r="G11" s="30">
        <v>4</v>
      </c>
      <c r="H11" s="31">
        <f t="shared" si="7"/>
        <v>45658.729166666664</v>
      </c>
      <c r="I11" s="38">
        <v>45658.75</v>
      </c>
      <c r="J11" s="39" t="s">
        <v>24</v>
      </c>
      <c r="K11" s="42">
        <f t="shared" si="1"/>
        <v>30.00000000349246</v>
      </c>
      <c r="L11" s="30">
        <v>4</v>
      </c>
      <c r="M11" s="31">
        <f t="shared" si="8"/>
        <v>45658.729166666664</v>
      </c>
      <c r="N11" s="38">
        <v>45658.75</v>
      </c>
      <c r="O11" s="39" t="s">
        <v>24</v>
      </c>
      <c r="P11" s="45">
        <f t="shared" si="2"/>
        <v>30.00000000349246</v>
      </c>
      <c r="Q11" s="30">
        <v>4</v>
      </c>
      <c r="R11" s="31">
        <f t="shared" si="9"/>
        <v>45658.729166666664</v>
      </c>
      <c r="S11" s="38">
        <v>45658.75</v>
      </c>
      <c r="T11" s="39" t="s">
        <v>24</v>
      </c>
      <c r="U11" s="45">
        <f t="shared" si="3"/>
        <v>30.00000000349246</v>
      </c>
      <c r="V11" s="30">
        <v>4</v>
      </c>
      <c r="W11" s="31">
        <f t="shared" si="10"/>
        <v>45658.729166666664</v>
      </c>
      <c r="X11" s="38">
        <v>45658.75</v>
      </c>
      <c r="Y11" s="39" t="s">
        <v>24</v>
      </c>
      <c r="Z11" s="42">
        <f t="shared" si="4"/>
        <v>30.00000000349246</v>
      </c>
      <c r="AA11" s="30">
        <v>4</v>
      </c>
      <c r="AB11" s="31">
        <f t="shared" si="11"/>
        <v>45658.729166666664</v>
      </c>
      <c r="AC11" s="38">
        <v>45658.75</v>
      </c>
      <c r="AD11" s="39" t="s">
        <v>24</v>
      </c>
      <c r="AE11" s="45">
        <f t="shared" si="5"/>
        <v>30.00000000349246</v>
      </c>
      <c r="AF11" s="25">
        <v>4</v>
      </c>
      <c r="AG11" s="28" t="e">
        <f>IF(#REF!=0,0,#REF!)</f>
        <v>#REF!</v>
      </c>
    </row>
    <row r="12" spans="2:33" s="29" customFormat="1" ht="24.5" customHeight="1">
      <c r="B12" s="30">
        <v>5</v>
      </c>
      <c r="C12" s="31">
        <f t="shared" si="6"/>
        <v>45658.75</v>
      </c>
      <c r="D12" s="38">
        <v>45658.875</v>
      </c>
      <c r="E12" s="39" t="s">
        <v>25</v>
      </c>
      <c r="F12" s="42">
        <f t="shared" si="0"/>
        <v>180</v>
      </c>
      <c r="G12" s="30">
        <v>5</v>
      </c>
      <c r="H12" s="31">
        <f t="shared" si="7"/>
        <v>45658.75</v>
      </c>
      <c r="I12" s="38">
        <v>45658.875</v>
      </c>
      <c r="J12" s="39" t="s">
        <v>25</v>
      </c>
      <c r="K12" s="42">
        <f t="shared" si="1"/>
        <v>180</v>
      </c>
      <c r="L12" s="30">
        <v>5</v>
      </c>
      <c r="M12" s="31">
        <f t="shared" si="8"/>
        <v>45658.75</v>
      </c>
      <c r="N12" s="38">
        <v>45658.875</v>
      </c>
      <c r="O12" s="39" t="s">
        <v>25</v>
      </c>
      <c r="P12" s="45">
        <f t="shared" si="2"/>
        <v>180</v>
      </c>
      <c r="Q12" s="30">
        <v>5</v>
      </c>
      <c r="R12" s="31">
        <f t="shared" si="9"/>
        <v>45658.75</v>
      </c>
      <c r="S12" s="38">
        <v>45658.875</v>
      </c>
      <c r="T12" s="39" t="s">
        <v>25</v>
      </c>
      <c r="U12" s="45">
        <f t="shared" si="3"/>
        <v>180</v>
      </c>
      <c r="V12" s="30">
        <v>5</v>
      </c>
      <c r="W12" s="31">
        <f t="shared" si="10"/>
        <v>45658.75</v>
      </c>
      <c r="X12" s="38">
        <v>45658.875</v>
      </c>
      <c r="Y12" s="39" t="s">
        <v>25</v>
      </c>
      <c r="Z12" s="42">
        <f t="shared" si="4"/>
        <v>180</v>
      </c>
      <c r="AA12" s="30">
        <v>5</v>
      </c>
      <c r="AB12" s="31">
        <f t="shared" si="11"/>
        <v>45658.75</v>
      </c>
      <c r="AC12" s="38">
        <v>45658.875</v>
      </c>
      <c r="AD12" s="39" t="s">
        <v>25</v>
      </c>
      <c r="AE12" s="45">
        <f t="shared" si="5"/>
        <v>180</v>
      </c>
      <c r="AF12" s="25">
        <v>5</v>
      </c>
      <c r="AG12" s="28" t="e">
        <f>IF(#REF!=0,0,#REF!)</f>
        <v>#REF!</v>
      </c>
    </row>
    <row r="13" spans="2:33" s="29" customFormat="1" ht="24.5" customHeight="1">
      <c r="B13" s="30">
        <v>6</v>
      </c>
      <c r="C13" s="31">
        <f t="shared" si="6"/>
        <v>45658.875</v>
      </c>
      <c r="D13" s="38">
        <v>45658.958333333336</v>
      </c>
      <c r="E13" s="39" t="s">
        <v>23</v>
      </c>
      <c r="F13" s="42">
        <f t="shared" si="0"/>
        <v>120.00000000349246</v>
      </c>
      <c r="G13" s="30">
        <v>6</v>
      </c>
      <c r="H13" s="31">
        <f t="shared" si="7"/>
        <v>45658.875</v>
      </c>
      <c r="I13" s="38">
        <v>45658.958333333336</v>
      </c>
      <c r="J13" s="39" t="s">
        <v>23</v>
      </c>
      <c r="K13" s="42">
        <f t="shared" si="1"/>
        <v>120.00000000349246</v>
      </c>
      <c r="L13" s="30">
        <v>6</v>
      </c>
      <c r="M13" s="31">
        <f t="shared" si="8"/>
        <v>45658.875</v>
      </c>
      <c r="N13" s="38">
        <v>45658.958333333336</v>
      </c>
      <c r="O13" s="39" t="s">
        <v>23</v>
      </c>
      <c r="P13" s="45">
        <f t="shared" si="2"/>
        <v>120.00000000349246</v>
      </c>
      <c r="Q13" s="30">
        <v>6</v>
      </c>
      <c r="R13" s="31">
        <f t="shared" si="9"/>
        <v>45658.875</v>
      </c>
      <c r="S13" s="38">
        <v>45658.958333333336</v>
      </c>
      <c r="T13" s="39" t="s">
        <v>23</v>
      </c>
      <c r="U13" s="45">
        <f t="shared" si="3"/>
        <v>120.00000000349246</v>
      </c>
      <c r="V13" s="30">
        <v>6</v>
      </c>
      <c r="W13" s="31">
        <f t="shared" si="10"/>
        <v>45658.875</v>
      </c>
      <c r="X13" s="38">
        <v>45658.958333333336</v>
      </c>
      <c r="Y13" s="39" t="s">
        <v>23</v>
      </c>
      <c r="Z13" s="42">
        <f t="shared" si="4"/>
        <v>120.00000000349246</v>
      </c>
      <c r="AA13" s="30">
        <v>6</v>
      </c>
      <c r="AB13" s="31">
        <f t="shared" si="11"/>
        <v>45658.875</v>
      </c>
      <c r="AC13" s="38">
        <v>45658.958333333336</v>
      </c>
      <c r="AD13" s="39" t="s">
        <v>23</v>
      </c>
      <c r="AE13" s="45">
        <f t="shared" si="5"/>
        <v>120.00000000349246</v>
      </c>
      <c r="AF13" s="25">
        <v>6</v>
      </c>
      <c r="AG13" s="28" t="e">
        <f>IF(#REF!=0,0,#REF!)</f>
        <v>#REF!</v>
      </c>
    </row>
    <row r="14" spans="2:33" s="29" customFormat="1" ht="24.5" customHeight="1">
      <c r="B14" s="30">
        <v>7</v>
      </c>
      <c r="C14" s="31">
        <f t="shared" si="6"/>
        <v>45658.958333333336</v>
      </c>
      <c r="D14" s="38">
        <v>45658.979166666664</v>
      </c>
      <c r="E14" s="39" t="s">
        <v>24</v>
      </c>
      <c r="F14" s="42">
        <f t="shared" si="0"/>
        <v>29.999999993015081</v>
      </c>
      <c r="G14" s="30">
        <v>7</v>
      </c>
      <c r="H14" s="31">
        <f t="shared" si="7"/>
        <v>45658.958333333336</v>
      </c>
      <c r="I14" s="38">
        <v>45658.979166666664</v>
      </c>
      <c r="J14" s="39" t="s">
        <v>24</v>
      </c>
      <c r="K14" s="42">
        <f t="shared" si="1"/>
        <v>29.999999993015081</v>
      </c>
      <c r="L14" s="30">
        <v>7</v>
      </c>
      <c r="M14" s="31">
        <f t="shared" si="8"/>
        <v>45658.958333333336</v>
      </c>
      <c r="N14" s="38">
        <v>45658.979166666664</v>
      </c>
      <c r="O14" s="39" t="s">
        <v>24</v>
      </c>
      <c r="P14" s="45">
        <f t="shared" si="2"/>
        <v>29.999999993015081</v>
      </c>
      <c r="Q14" s="30">
        <v>7</v>
      </c>
      <c r="R14" s="31">
        <f t="shared" si="9"/>
        <v>45658.958333333336</v>
      </c>
      <c r="S14" s="38">
        <v>45658.979166666664</v>
      </c>
      <c r="T14" s="39" t="s">
        <v>24</v>
      </c>
      <c r="U14" s="45">
        <f t="shared" si="3"/>
        <v>29.999999993015081</v>
      </c>
      <c r="V14" s="30">
        <v>7</v>
      </c>
      <c r="W14" s="31">
        <f t="shared" si="10"/>
        <v>45658.958333333336</v>
      </c>
      <c r="X14" s="38">
        <v>45658.979166666664</v>
      </c>
      <c r="Y14" s="39" t="s">
        <v>24</v>
      </c>
      <c r="Z14" s="42">
        <f t="shared" si="4"/>
        <v>29.999999993015081</v>
      </c>
      <c r="AA14" s="30">
        <v>7</v>
      </c>
      <c r="AB14" s="31">
        <f t="shared" si="11"/>
        <v>45658.958333333336</v>
      </c>
      <c r="AC14" s="38">
        <v>45658.979166666664</v>
      </c>
      <c r="AD14" s="39" t="s">
        <v>24</v>
      </c>
      <c r="AE14" s="45">
        <f t="shared" si="5"/>
        <v>29.999999993015081</v>
      </c>
      <c r="AF14" s="25">
        <v>7</v>
      </c>
      <c r="AG14" s="28" t="e">
        <f>IF(#REF!=0,0,#REF!)</f>
        <v>#REF!</v>
      </c>
    </row>
    <row r="15" spans="2:33" s="29" customFormat="1" ht="24.5" customHeight="1">
      <c r="B15" s="30">
        <v>8</v>
      </c>
      <c r="C15" s="31">
        <f t="shared" si="6"/>
        <v>45658.979166666664</v>
      </c>
      <c r="D15" s="38">
        <v>45659.104166666664</v>
      </c>
      <c r="E15" s="39" t="s">
        <v>23</v>
      </c>
      <c r="F15" s="42">
        <f t="shared" si="0"/>
        <v>180</v>
      </c>
      <c r="G15" s="30">
        <v>8</v>
      </c>
      <c r="H15" s="31">
        <f t="shared" si="7"/>
        <v>45658.979166666664</v>
      </c>
      <c r="I15" s="38">
        <v>45659.104166666664</v>
      </c>
      <c r="J15" s="39" t="s">
        <v>23</v>
      </c>
      <c r="K15" s="42">
        <f t="shared" si="1"/>
        <v>180</v>
      </c>
      <c r="L15" s="30">
        <v>8</v>
      </c>
      <c r="M15" s="31">
        <f t="shared" si="8"/>
        <v>45658.979166666664</v>
      </c>
      <c r="N15" s="38">
        <v>45659.104166666664</v>
      </c>
      <c r="O15" s="39" t="s">
        <v>23</v>
      </c>
      <c r="P15" s="45">
        <f t="shared" si="2"/>
        <v>180</v>
      </c>
      <c r="Q15" s="30">
        <v>8</v>
      </c>
      <c r="R15" s="31">
        <f t="shared" si="9"/>
        <v>45658.979166666664</v>
      </c>
      <c r="S15" s="38">
        <v>45659.104166666664</v>
      </c>
      <c r="T15" s="39" t="s">
        <v>23</v>
      </c>
      <c r="U15" s="45">
        <f t="shared" si="3"/>
        <v>180</v>
      </c>
      <c r="V15" s="30">
        <v>8</v>
      </c>
      <c r="W15" s="31">
        <f t="shared" si="10"/>
        <v>45658.979166666664</v>
      </c>
      <c r="X15" s="38">
        <v>45659.104166666664</v>
      </c>
      <c r="Y15" s="39" t="s">
        <v>23</v>
      </c>
      <c r="Z15" s="42">
        <f t="shared" si="4"/>
        <v>180</v>
      </c>
      <c r="AA15" s="30">
        <v>8</v>
      </c>
      <c r="AB15" s="31">
        <f t="shared" si="11"/>
        <v>45658.979166666664</v>
      </c>
      <c r="AC15" s="38">
        <v>45659.104166666664</v>
      </c>
      <c r="AD15" s="39" t="s">
        <v>23</v>
      </c>
      <c r="AE15" s="45">
        <f t="shared" si="5"/>
        <v>180</v>
      </c>
      <c r="AF15" s="25">
        <v>8</v>
      </c>
      <c r="AG15" s="28" t="e">
        <f>IF(#REF!=0,0,#REF!)</f>
        <v>#REF!</v>
      </c>
    </row>
    <row r="16" spans="2:33" s="29" customFormat="1" ht="24.5" customHeight="1">
      <c r="B16" s="30">
        <v>9</v>
      </c>
      <c r="C16" s="31">
        <f t="shared" si="6"/>
        <v>45659.104166666664</v>
      </c>
      <c r="D16" s="38">
        <v>45659.125</v>
      </c>
      <c r="E16" s="39" t="s">
        <v>24</v>
      </c>
      <c r="F16" s="42">
        <f t="shared" si="0"/>
        <v>30.00000000349246</v>
      </c>
      <c r="G16" s="30">
        <v>9</v>
      </c>
      <c r="H16" s="31">
        <f t="shared" si="7"/>
        <v>45659.104166666664</v>
      </c>
      <c r="I16" s="38">
        <v>45659.125</v>
      </c>
      <c r="J16" s="39" t="s">
        <v>24</v>
      </c>
      <c r="K16" s="42">
        <f t="shared" si="1"/>
        <v>30.00000000349246</v>
      </c>
      <c r="L16" s="30">
        <v>9</v>
      </c>
      <c r="M16" s="31">
        <f t="shared" si="8"/>
        <v>45659.104166666664</v>
      </c>
      <c r="N16" s="38">
        <v>45659.125</v>
      </c>
      <c r="O16" s="39" t="s">
        <v>24</v>
      </c>
      <c r="P16" s="45">
        <f t="shared" si="2"/>
        <v>30.00000000349246</v>
      </c>
      <c r="Q16" s="30">
        <v>9</v>
      </c>
      <c r="R16" s="31">
        <f t="shared" si="9"/>
        <v>45659.104166666664</v>
      </c>
      <c r="S16" s="38">
        <v>45659.125</v>
      </c>
      <c r="T16" s="39" t="s">
        <v>24</v>
      </c>
      <c r="U16" s="45">
        <f t="shared" si="3"/>
        <v>30.00000000349246</v>
      </c>
      <c r="V16" s="30">
        <v>9</v>
      </c>
      <c r="W16" s="31">
        <f t="shared" si="10"/>
        <v>45659.104166666664</v>
      </c>
      <c r="X16" s="38">
        <v>45659.125</v>
      </c>
      <c r="Y16" s="39" t="s">
        <v>24</v>
      </c>
      <c r="Z16" s="42">
        <f t="shared" si="4"/>
        <v>30.00000000349246</v>
      </c>
      <c r="AA16" s="30">
        <v>9</v>
      </c>
      <c r="AB16" s="31">
        <f t="shared" si="11"/>
        <v>45659.104166666664</v>
      </c>
      <c r="AC16" s="38">
        <v>45659.125</v>
      </c>
      <c r="AD16" s="39" t="s">
        <v>24</v>
      </c>
      <c r="AE16" s="45">
        <f t="shared" si="5"/>
        <v>30.00000000349246</v>
      </c>
      <c r="AF16" s="25">
        <v>9</v>
      </c>
      <c r="AG16" s="28" t="e">
        <f>IF(#REF!=0,0,#REF!)</f>
        <v>#REF!</v>
      </c>
    </row>
    <row r="17" spans="2:33" s="29" customFormat="1" ht="24.5" customHeight="1">
      <c r="B17" s="30">
        <v>10</v>
      </c>
      <c r="C17" s="31">
        <f t="shared" si="6"/>
        <v>45659.125</v>
      </c>
      <c r="D17" s="38">
        <v>45659.333333333336</v>
      </c>
      <c r="E17" s="39" t="s">
        <v>25</v>
      </c>
      <c r="F17" s="42">
        <f t="shared" si="0"/>
        <v>300.00000000349246</v>
      </c>
      <c r="G17" s="30">
        <v>10</v>
      </c>
      <c r="H17" s="31">
        <f t="shared" si="7"/>
        <v>45659.125</v>
      </c>
      <c r="I17" s="38">
        <v>45659.333333333336</v>
      </c>
      <c r="J17" s="39" t="s">
        <v>25</v>
      </c>
      <c r="K17" s="42">
        <f t="shared" si="1"/>
        <v>300.00000000349246</v>
      </c>
      <c r="L17" s="30">
        <v>10</v>
      </c>
      <c r="M17" s="31">
        <f t="shared" si="8"/>
        <v>45659.125</v>
      </c>
      <c r="N17" s="38">
        <v>45659.333333333336</v>
      </c>
      <c r="O17" s="39" t="s">
        <v>25</v>
      </c>
      <c r="P17" s="45">
        <f t="shared" si="2"/>
        <v>300.00000000349246</v>
      </c>
      <c r="Q17" s="30">
        <v>10</v>
      </c>
      <c r="R17" s="31">
        <f t="shared" si="9"/>
        <v>45659.125</v>
      </c>
      <c r="S17" s="38">
        <v>45659.333333333336</v>
      </c>
      <c r="T17" s="39" t="s">
        <v>25</v>
      </c>
      <c r="U17" s="45">
        <f t="shared" si="3"/>
        <v>300.00000000349246</v>
      </c>
      <c r="V17" s="30">
        <v>10</v>
      </c>
      <c r="W17" s="31">
        <f t="shared" si="10"/>
        <v>45659.125</v>
      </c>
      <c r="X17" s="38">
        <v>45659.333333333336</v>
      </c>
      <c r="Y17" s="39" t="s">
        <v>25</v>
      </c>
      <c r="Z17" s="42">
        <f t="shared" si="4"/>
        <v>300.00000000349246</v>
      </c>
      <c r="AA17" s="30">
        <v>10</v>
      </c>
      <c r="AB17" s="31">
        <f t="shared" si="11"/>
        <v>45659.125</v>
      </c>
      <c r="AC17" s="38">
        <v>45659.333333333336</v>
      </c>
      <c r="AD17" s="39" t="s">
        <v>25</v>
      </c>
      <c r="AE17" s="45">
        <f t="shared" si="5"/>
        <v>300.00000000349246</v>
      </c>
      <c r="AF17" s="25">
        <v>10</v>
      </c>
      <c r="AG17" s="28" t="e">
        <f>IF(#REF!=0,0,#REF!)</f>
        <v>#REF!</v>
      </c>
    </row>
    <row r="18" spans="2:33" s="29" customFormat="1" ht="24.5" customHeight="1">
      <c r="B18" s="30">
        <v>11</v>
      </c>
      <c r="C18" s="31">
        <f t="shared" si="6"/>
        <v>0</v>
      </c>
      <c r="D18" s="38"/>
      <c r="E18" s="39"/>
      <c r="F18" s="42">
        <f t="shared" si="0"/>
        <v>0</v>
      </c>
      <c r="G18" s="30">
        <v>11</v>
      </c>
      <c r="H18" s="31">
        <f>IF(I18=0,0,I17)</f>
        <v>0</v>
      </c>
      <c r="I18" s="38"/>
      <c r="J18" s="39"/>
      <c r="K18" s="42">
        <f t="shared" si="1"/>
        <v>0</v>
      </c>
      <c r="L18" s="30">
        <v>11</v>
      </c>
      <c r="M18" s="31">
        <f t="shared" si="8"/>
        <v>0</v>
      </c>
      <c r="N18" s="38"/>
      <c r="O18" s="39"/>
      <c r="P18" s="45">
        <f t="shared" si="2"/>
        <v>0</v>
      </c>
      <c r="Q18" s="30">
        <v>11</v>
      </c>
      <c r="R18" s="31">
        <f t="shared" si="9"/>
        <v>0</v>
      </c>
      <c r="S18" s="38"/>
      <c r="T18" s="39"/>
      <c r="U18" s="45">
        <f t="shared" si="3"/>
        <v>0</v>
      </c>
      <c r="V18" s="30">
        <v>11</v>
      </c>
      <c r="W18" s="31">
        <f t="shared" si="10"/>
        <v>0</v>
      </c>
      <c r="X18" s="38"/>
      <c r="Y18" s="39"/>
      <c r="Z18" s="42">
        <f t="shared" si="4"/>
        <v>0</v>
      </c>
      <c r="AA18" s="30">
        <v>11</v>
      </c>
      <c r="AB18" s="31">
        <f t="shared" si="11"/>
        <v>0</v>
      </c>
      <c r="AC18" s="38"/>
      <c r="AD18" s="39"/>
      <c r="AE18" s="45">
        <f t="shared" si="5"/>
        <v>0</v>
      </c>
      <c r="AF18" s="25">
        <v>11</v>
      </c>
      <c r="AG18" s="28" t="e">
        <f>IF(#REF!=0,0,#REF!)</f>
        <v>#REF!</v>
      </c>
    </row>
    <row r="19" spans="2:33" s="29" customFormat="1" ht="24.5" customHeight="1">
      <c r="B19" s="32">
        <v>12</v>
      </c>
      <c r="C19" s="33">
        <f>IF(D19="","",IF(D18="",C8+1,D18))</f>
        <v>45659.333333333336</v>
      </c>
      <c r="D19" s="33">
        <f>C8+1</f>
        <v>45659.333333333336</v>
      </c>
      <c r="E19" s="40"/>
      <c r="F19" s="43">
        <f>(D19-C19)*1440</f>
        <v>0</v>
      </c>
      <c r="G19" s="32">
        <v>12</v>
      </c>
      <c r="H19" s="33">
        <f>IF(I19="","",IF(I18="",H8+1,I18))</f>
        <v>45659.333333333336</v>
      </c>
      <c r="I19" s="33">
        <f>H8+1</f>
        <v>45659.333333333336</v>
      </c>
      <c r="J19" s="40"/>
      <c r="K19" s="43">
        <f>(I19-H19)*1440</f>
        <v>0</v>
      </c>
      <c r="L19" s="32">
        <v>12</v>
      </c>
      <c r="M19" s="33">
        <f>IF(N19="","",IF(N18="",M8+1,N18))</f>
        <v>45659.333333333336</v>
      </c>
      <c r="N19" s="33">
        <f>M8+1</f>
        <v>45659.333333333336</v>
      </c>
      <c r="O19" s="40"/>
      <c r="P19" s="46">
        <f t="shared" si="2"/>
        <v>0</v>
      </c>
      <c r="Q19" s="32">
        <v>12</v>
      </c>
      <c r="R19" s="33">
        <f>IF(S19="","",IF(S18="",R8+1,S18))</f>
        <v>45659.333333333336</v>
      </c>
      <c r="S19" s="33">
        <f>R8+1</f>
        <v>45659.333333333336</v>
      </c>
      <c r="T19" s="40"/>
      <c r="U19" s="46">
        <f t="shared" si="3"/>
        <v>0</v>
      </c>
      <c r="V19" s="32">
        <v>12</v>
      </c>
      <c r="W19" s="33">
        <f>IF(X19="","",IF(X18="",W8+1,X18))</f>
        <v>45659.333333333336</v>
      </c>
      <c r="X19" s="33">
        <f>W8+1</f>
        <v>45659.333333333336</v>
      </c>
      <c r="Y19" s="40"/>
      <c r="Z19" s="43">
        <f t="shared" si="4"/>
        <v>0</v>
      </c>
      <c r="AA19" s="32">
        <v>12</v>
      </c>
      <c r="AB19" s="33">
        <f>IF(AC19="","",IF(AC18="",AB8+1,AC18))</f>
        <v>45659.333333333336</v>
      </c>
      <c r="AC19" s="33">
        <f>AB8+1</f>
        <v>45659.333333333336</v>
      </c>
      <c r="AD19" s="40"/>
      <c r="AE19" s="46">
        <f t="shared" si="5"/>
        <v>0</v>
      </c>
      <c r="AF19" s="25">
        <v>12</v>
      </c>
      <c r="AG19" s="28" t="e">
        <f>IF(#REF!=0,0,#REF!)</f>
        <v>#REF!</v>
      </c>
    </row>
    <row r="20" spans="2:33" ht="13.5" hidden="1" customHeight="1" outlineLevel="1">
      <c r="AE20" s="15"/>
    </row>
    <row r="21" spans="2:33" ht="23.5" hidden="1" customHeight="1" outlineLevel="1">
      <c r="C21" s="34"/>
      <c r="D21" s="34"/>
      <c r="E21" s="35">
        <f>IF(D18="",SUM(F8:F18),SUM(F8:F19))</f>
        <v>1440</v>
      </c>
      <c r="F21" s="14"/>
      <c r="H21" s="34"/>
      <c r="I21" s="34"/>
      <c r="J21" s="35">
        <f>IF(I18="",SUM(K8:K18),SUM(K8:K19))</f>
        <v>1440</v>
      </c>
      <c r="K21" s="14"/>
      <c r="M21" s="34"/>
      <c r="N21" s="34"/>
      <c r="O21" s="35">
        <f>IF(N18="",SUM(P8:P18),SUM(P8:P19))</f>
        <v>1440</v>
      </c>
      <c r="P21" s="14"/>
      <c r="R21" s="34"/>
      <c r="S21" s="34"/>
      <c r="T21" s="35">
        <f>IF(S18="",SUM(U8:U18),SUM(U8:U19))</f>
        <v>1440</v>
      </c>
      <c r="U21" s="14"/>
      <c r="W21" s="34"/>
      <c r="X21" s="34"/>
      <c r="Y21" s="35">
        <f>IF(X18="",SUM(Z8:Z18),SUM(Z8:Z19))</f>
        <v>1440</v>
      </c>
      <c r="Z21" s="14"/>
      <c r="AB21" s="34"/>
      <c r="AC21" s="34"/>
      <c r="AD21" s="35">
        <f>IF(AC18="",SUM(AE8:AE18),SUM(AE8:AE19))</f>
        <v>1440</v>
      </c>
      <c r="AG21" s="34"/>
    </row>
    <row r="22" spans="2:33" ht="38.5" customHeight="1" collapsed="1" thickBot="1"/>
    <row r="23" spans="2:33" ht="32.5" customHeight="1" thickBot="1">
      <c r="B23" s="63" t="s">
        <v>17</v>
      </c>
      <c r="C23" s="63"/>
      <c r="D23" s="63"/>
      <c r="E23" s="63"/>
      <c r="F23" s="65">
        <f>(24*(IF(OR(F4=12,F4=18),6,5)*1440-((F25*F4)+L28+F28)))/(24*(IF(OR(F4=12,F4=18),6,5)*1440))</f>
        <v>0.70833333333575865</v>
      </c>
      <c r="G23" s="66"/>
      <c r="H23" s="67"/>
      <c r="I23" s="16"/>
      <c r="J23" s="63" t="s">
        <v>19</v>
      </c>
      <c r="K23" s="63"/>
      <c r="L23" s="63"/>
      <c r="M23" s="63"/>
      <c r="N23" s="81"/>
      <c r="O23" s="84">
        <f>IFERROR(F23*IF(OR(F4=12,F4=10),720,480)/(IF(OR(F4=12,F4=10),720,480)-F25),"")</f>
        <v>0.77272727272582953</v>
      </c>
      <c r="P23" s="85"/>
    </row>
    <row r="24" spans="2:33" ht="27" customHeight="1" thickBot="1"/>
    <row r="25" spans="2:33" s="16" customFormat="1" ht="32" customHeight="1" thickBot="1">
      <c r="B25" s="62" t="s">
        <v>20</v>
      </c>
      <c r="C25" s="62"/>
      <c r="D25" s="62"/>
      <c r="E25" s="62"/>
      <c r="F25" s="74">
        <f>((SUMIF(E8:E19,"Breaks",F8:F19)+SUMIF(J8:J19,"Breaks",K8:K19)+SUMIF(O8:O19,"Breaks",P8:P19)+SUMIF(T8:T19,"Breaks",U8:U19)+SUMIF(Y8:Y19,"Breaks",Z8:Z19)+IF(OR(F4=12, F4=18), SUMIF(AD8:AD19, "Breaks", AE8:AE19), 0)))/F4</f>
        <v>59.99999999650754</v>
      </c>
      <c r="G25" s="75"/>
      <c r="H25" s="76"/>
      <c r="AG25" s="17"/>
    </row>
    <row r="26" spans="2:33" s="16" customFormat="1" ht="27" customHeight="1">
      <c r="B26" s="48"/>
      <c r="C26" s="48"/>
      <c r="D26" s="48"/>
      <c r="X26" s="47"/>
      <c r="Y26" s="47"/>
      <c r="Z26" s="47"/>
      <c r="AC26" s="47"/>
      <c r="AG26" s="47"/>
    </row>
    <row r="27" spans="2:33" s="16" customFormat="1" ht="27" customHeight="1">
      <c r="B27" s="56"/>
      <c r="C27" s="56"/>
      <c r="D27" s="56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58"/>
      <c r="Z27" s="58"/>
      <c r="AA27" s="57"/>
      <c r="AB27" s="57"/>
      <c r="AC27" s="58"/>
      <c r="AD27" s="57"/>
      <c r="AE27" s="57"/>
      <c r="AG27" s="47"/>
    </row>
    <row r="28" spans="2:33" s="19" customFormat="1" ht="32" customHeight="1">
      <c r="C28" s="17"/>
      <c r="D28" s="18"/>
      <c r="E28" s="49" t="s">
        <v>9</v>
      </c>
      <c r="F28" s="71">
        <f>(SUMIF(E8:E19, "maintenance", F8:F19)+SUMIF(J8:J19, "maintenance", K8:K19)+SUMIF(T8:T19, "maintenance", U8:U19)+SUMIF(Y8:Y19, "maintenance", Z8:Z19)+SUMIF(AD8:AD19, "maintenance", AE8:AE19))</f>
        <v>0</v>
      </c>
      <c r="G28" s="72"/>
      <c r="H28" s="73"/>
      <c r="J28" s="20"/>
      <c r="K28" s="49" t="s">
        <v>16</v>
      </c>
      <c r="L28" s="83">
        <f>(SUMIF(E8:E19, "setup time", F8:F19)+SUMIF(J8:J19,"setup time", K8:K19)+SUMIF(O8:O19, "setup time", P8:P19)+SUMIF(T8:T19, "setup time", U8:U19)+SUMIF(Y8:Y19, "setup time", Z8:Z19)+SUMIF(AD8:AD19, "setup time", AE8:AE19))</f>
        <v>1800.0000000209548</v>
      </c>
      <c r="M28" s="83"/>
      <c r="N28" s="83"/>
      <c r="P28" s="20"/>
      <c r="Q28" s="20"/>
      <c r="R28" s="20"/>
      <c r="S28" s="49" t="s">
        <v>29</v>
      </c>
      <c r="T28" s="50">
        <f>COUNTIF(J8:J19, "Setup time")+COUNTIF(O8:O19, "Setup time")+COUNTIF(T8:T19, "Setup time")+COUNTIF(Y8:Y19, "Setup time")+COUNTIF(AD8:AD19, "Setup time")+COUNTIF(E8:E19, "Setup time")</f>
        <v>12</v>
      </c>
      <c r="U28" s="21"/>
      <c r="V28" s="20"/>
      <c r="W28" s="20"/>
      <c r="Z28" s="21"/>
      <c r="AB28" s="20"/>
      <c r="AC28" s="20"/>
      <c r="AD28" s="22"/>
      <c r="AG28" s="20"/>
    </row>
    <row r="29" spans="2:33" s="16" customFormat="1" ht="40" customHeight="1" thickBot="1">
      <c r="B29" s="51"/>
      <c r="C29" s="51"/>
      <c r="D29" s="51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3"/>
      <c r="Y29" s="53"/>
      <c r="Z29" s="53"/>
      <c r="AA29" s="52"/>
      <c r="AB29" s="52"/>
      <c r="AC29" s="53"/>
      <c r="AD29" s="52"/>
      <c r="AE29" s="52"/>
      <c r="AG29" s="47"/>
    </row>
    <row r="30" spans="2:33" s="16" customFormat="1" ht="17" customHeight="1">
      <c r="B30" s="48"/>
      <c r="C30" s="48"/>
      <c r="D30" s="48"/>
      <c r="N30" s="47"/>
      <c r="O30" s="47"/>
      <c r="P30" s="47"/>
      <c r="S30" s="47"/>
      <c r="T30" s="47"/>
      <c r="V30" s="47"/>
      <c r="W30" s="47"/>
      <c r="X30" s="47"/>
      <c r="AB30" s="47"/>
      <c r="AC30" s="47"/>
      <c r="AG30" s="47"/>
    </row>
    <row r="31" spans="2:33" s="16" customFormat="1" ht="36.5" customHeight="1">
      <c r="B31" s="59" t="s">
        <v>28</v>
      </c>
      <c r="C31" s="48"/>
      <c r="D31" s="48"/>
      <c r="N31" s="47"/>
      <c r="O31" s="47"/>
      <c r="P31" s="47"/>
      <c r="S31" s="47"/>
      <c r="T31" s="47"/>
      <c r="V31" s="47"/>
      <c r="W31" s="47"/>
      <c r="X31" s="47"/>
      <c r="AB31" s="47"/>
      <c r="AC31" s="47"/>
      <c r="AG31" s="47"/>
    </row>
    <row r="32" spans="2:33" s="16" customFormat="1" ht="20.5" customHeight="1">
      <c r="B32" s="48"/>
      <c r="C32" s="48"/>
      <c r="D32" s="48"/>
      <c r="N32" s="47"/>
      <c r="O32" s="47"/>
      <c r="P32" s="47"/>
      <c r="S32" s="47"/>
      <c r="T32" s="47"/>
      <c r="V32" s="47"/>
      <c r="W32" s="47"/>
      <c r="X32" s="47"/>
      <c r="AB32" s="47"/>
      <c r="AC32" s="47"/>
      <c r="AG32" s="47"/>
    </row>
    <row r="33" spans="2:33" ht="36.5" customHeight="1">
      <c r="B33" s="62" t="s">
        <v>30</v>
      </c>
      <c r="C33" s="62"/>
      <c r="D33" s="62"/>
      <c r="E33" s="62"/>
      <c r="F33" s="64">
        <v>3.1</v>
      </c>
      <c r="G33" s="64"/>
      <c r="H33" s="64"/>
      <c r="J33" s="77" t="s">
        <v>22</v>
      </c>
      <c r="K33" s="77"/>
      <c r="L33" s="77"/>
      <c r="M33" s="77"/>
      <c r="N33" s="77"/>
      <c r="O33" s="77"/>
      <c r="P33" s="78">
        <f>(1440-((F33)+F25+(F28/F4)+(L28/F4))*(IF(OR(F4=12,F4=10),2,3)))/1440</f>
        <v>0.70402777778020309</v>
      </c>
      <c r="Q33" s="79"/>
      <c r="R33" s="80"/>
    </row>
    <row r="34" spans="2:33" s="54" customFormat="1" ht="29" customHeight="1" thickBot="1">
      <c r="B34" s="51"/>
      <c r="C34" s="51"/>
      <c r="D34" s="51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3"/>
      <c r="Y34" s="53"/>
      <c r="Z34" s="53"/>
      <c r="AA34" s="52"/>
      <c r="AB34" s="52"/>
      <c r="AC34" s="53"/>
      <c r="AD34" s="52"/>
      <c r="AE34" s="52"/>
      <c r="AG34" s="55"/>
    </row>
  </sheetData>
  <mergeCells count="20">
    <mergeCell ref="J33:O33"/>
    <mergeCell ref="P33:R33"/>
    <mergeCell ref="J23:N23"/>
    <mergeCell ref="AA7:AC7"/>
    <mergeCell ref="G7:I7"/>
    <mergeCell ref="L7:N7"/>
    <mergeCell ref="Q7:S7"/>
    <mergeCell ref="V7:X7"/>
    <mergeCell ref="L28:N28"/>
    <mergeCell ref="O23:P23"/>
    <mergeCell ref="B4:E4"/>
    <mergeCell ref="B25:E25"/>
    <mergeCell ref="B23:E23"/>
    <mergeCell ref="B33:E33"/>
    <mergeCell ref="F33:H33"/>
    <mergeCell ref="F23:H23"/>
    <mergeCell ref="F4:H4"/>
    <mergeCell ref="B7:D7"/>
    <mergeCell ref="F28:H28"/>
    <mergeCell ref="F25:H25"/>
  </mergeCells>
  <phoneticPr fontId="1" type="noConversion"/>
  <conditionalFormatting sqref="B8:F19">
    <cfRule type="expression" dxfId="63" priority="87">
      <formula>AND($E$21&gt;=1440,$F8=0)</formula>
    </cfRule>
  </conditionalFormatting>
  <conditionalFormatting sqref="F25">
    <cfRule type="cellIs" dxfId="60" priority="228" operator="notEqual">
      <formula>0</formula>
    </cfRule>
  </conditionalFormatting>
  <conditionalFormatting sqref="F28">
    <cfRule type="cellIs" dxfId="59" priority="229" operator="notEqual">
      <formula>0</formula>
    </cfRule>
  </conditionalFormatting>
  <conditionalFormatting sqref="G8:H17 J8:K17 G18:K19">
    <cfRule type="expression" dxfId="58" priority="85">
      <formula>AND($J$21&gt;=1440,$K8=0)</formula>
    </cfRule>
  </conditionalFormatting>
  <conditionalFormatting sqref="I8:J17">
    <cfRule type="expression" dxfId="57" priority="13">
      <formula>AND($E$21&gt;=1440,$F8=0)</formula>
    </cfRule>
  </conditionalFormatting>
  <conditionalFormatting sqref="L28">
    <cfRule type="cellIs" dxfId="47" priority="227" operator="notEqual">
      <formula>0</formula>
    </cfRule>
  </conditionalFormatting>
  <conditionalFormatting sqref="L8:M17 O8:P17 L18:P19">
    <cfRule type="expression" dxfId="46" priority="77">
      <formula>AND($O$21&gt;=1440,$P8=0)</formula>
    </cfRule>
  </conditionalFormatting>
  <conditionalFormatting sqref="N8:O17">
    <cfRule type="expression" dxfId="45" priority="10">
      <formula>AND($E$21&gt;=1440,$F8=0)</formula>
    </cfRule>
  </conditionalFormatting>
  <conditionalFormatting sqref="Q8:R17 T8:U17 Q18:U19">
    <cfRule type="expression" dxfId="36" priority="75">
      <formula>AND($T$21&gt;=1440,$U8=0)</formula>
    </cfRule>
  </conditionalFormatting>
  <conditionalFormatting sqref="S8:T17">
    <cfRule type="expression" dxfId="35" priority="7">
      <formula>AND($E$21&gt;=1440,$F8=0)</formula>
    </cfRule>
  </conditionalFormatting>
  <conditionalFormatting sqref="V8:W17 Y8:Z17 V18:Z19">
    <cfRule type="expression" dxfId="26" priority="73">
      <formula>AND($Y$21&gt;=1440,$Z8=0)</formula>
    </cfRule>
  </conditionalFormatting>
  <conditionalFormatting sqref="X8:Y17">
    <cfRule type="expression" dxfId="25" priority="4">
      <formula>AND($E$21&gt;=1440,$F8=0)</formula>
    </cfRule>
  </conditionalFormatting>
  <conditionalFormatting sqref="Y8:Y10">
    <cfRule type="expression" dxfId="24" priority="64">
      <formula>AND($O$21&gt;=1440,$P8=0)</formula>
    </cfRule>
  </conditionalFormatting>
  <conditionalFormatting sqref="Y8:Y19 AD8:AD19 J8:J19 O8:O19 T8:T19 E8:E19">
    <cfRule type="cellIs" dxfId="15" priority="69" operator="equal">
      <formula>"setup time"</formula>
    </cfRule>
  </conditionalFormatting>
  <conditionalFormatting sqref="AA8:AB17 AD8:AE17 AA18:AE19">
    <cfRule type="expression" dxfId="12" priority="71">
      <formula>AND($AD$21&gt;=1440,$AE8=0)</formula>
    </cfRule>
  </conditionalFormatting>
  <conditionalFormatting sqref="AC8:AD17">
    <cfRule type="expression" dxfId="11" priority="1">
      <formula>AND($E$21&gt;=1440,$F8=0)</formula>
    </cfRule>
  </conditionalFormatting>
  <conditionalFormatting sqref="AD8:AD10">
    <cfRule type="expression" dxfId="10" priority="61">
      <formula>AND($O$21&gt;=1440,$P8=0)</formula>
    </cfRule>
  </conditionalFormatting>
  <printOptions horizontalCentered="1"/>
  <pageMargins left="0.7" right="0.65" top="0.75" bottom="0.75" header="0.3" footer="0.3"/>
  <pageSetup paperSize="9" scale="39" orientation="landscape" verticalDpi="0" r:id="rId1"/>
  <headerFooter>
    <oddHeader>&amp;L&amp;"Calibri,常规"&amp;10&amp;K000000 INTERNAL&amp;1#
&amp;R&amp;G</oddHead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8" operator="containsText" id="{52F86075-2663-447B-A5E9-2FD18F92929A}">
            <xm:f>NOT(ISERROR(SEARCH("maintenance",E8)))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119" operator="containsText" id="{8FD81419-AE30-4976-A487-463DDE76D6D3}">
            <xm:f>NOT(ISERROR(SEARCH("Breaks",E8)))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E8:E19</xm:sqref>
        </x14:conditionalFormatting>
        <x14:conditionalFormatting xmlns:xm="http://schemas.microsoft.com/office/excel/2006/main">
          <x14:cfRule type="containsText" priority="60" operator="containsText" id="{B2D74D2A-2FB6-4739-B8EC-68FBBE22F995}">
            <xm:f>NOT(ISERROR(SEARCH("Breaks",J8)))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9" operator="containsText" id="{FDFEB748-CF6A-4D56-A65A-B1513DC50AA3}">
            <xm:f>NOT(ISERROR(SEARCH("maintenance",J8)))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37" operator="containsText" id="{2CBA5F8C-DCB0-4A54-9D37-9FE7A499BF39}">
            <xm:f>NOT(ISERROR(SEARCH("maintenance",J8)))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38" operator="containsText" id="{D80E114F-3154-4F50-8608-44EC675FE671}">
            <xm:f>NOT(ISERROR(SEARCH("Breaks",J8)))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4" operator="containsText" id="{3D7414FF-34EB-48B0-B643-FE33C6A257F4}">
            <xm:f>NOT(ISERROR(SEARCH("maintenance",J8)))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15" operator="containsText" id="{C7616000-4B59-435D-8D3C-896EE37C2575}">
            <xm:f>NOT(ISERROR(SEARCH("Breaks",J8)))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J8:J17</xm:sqref>
        </x14:conditionalFormatting>
        <x14:conditionalFormatting xmlns:xm="http://schemas.microsoft.com/office/excel/2006/main">
          <x14:cfRule type="containsText" priority="40" operator="containsText" id="{090A074C-67DF-47B8-8E67-FE5D97A36AD9}">
            <xm:f>NOT(ISERROR(SEARCH("Production time",E8)))</xm:f>
            <xm:f>"Production time"</xm:f>
            <x14:dxf>
              <font>
                <color auto="1"/>
              </font>
              <fill>
                <patternFill>
                  <bgColor theme="0"/>
                </patternFill>
              </fill>
            </x14:dxf>
          </x14:cfRule>
          <xm:sqref>J8:J19 O8:O19 T8:T19 Y8:Y19 AD8:AD19 E8:E19</xm:sqref>
        </x14:conditionalFormatting>
        <x14:conditionalFormatting xmlns:xm="http://schemas.microsoft.com/office/excel/2006/main">
          <x14:cfRule type="containsText" priority="103" operator="containsText" id="{C8DF9821-C6DE-49EB-A8A1-D1ACBF5B1EE8}">
            <xm:f>NOT(ISERROR(SEARCH("Breaks",J8)))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2" operator="containsText" id="{8FEDD009-72E4-4077-9D1F-2E6CD75CD2AC}">
            <xm:f>NOT(ISERROR(SEARCH("maintenance",J8)))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J8:J19</xm:sqref>
        </x14:conditionalFormatting>
        <x14:conditionalFormatting xmlns:xm="http://schemas.microsoft.com/office/excel/2006/main">
          <x14:cfRule type="containsText" priority="35" operator="containsText" id="{93FE3023-C79F-44AF-9E38-3D6A7EB304AC}">
            <xm:f>NOT(ISERROR(SEARCH("Breaks",O8)))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6" operator="containsText" id="{39A27E48-4478-4F82-A6C2-F3C341CB738C}">
            <xm:f>NOT(ISERROR(SEARCH("maintenance",O8)))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11" operator="containsText" id="{5F186B48-E66D-4411-A95B-DC41DF7F2838}">
            <xm:f>NOT(ISERROR(SEARCH("maintenance",O8)))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12" operator="containsText" id="{CCC10619-D54E-4368-A363-56D2A333558B}">
            <xm:f>NOT(ISERROR(SEARCH("Breaks",O8)))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7" operator="containsText" id="{791F6B2E-DE3E-44CB-9DC2-061DE28E7DD1}">
            <xm:f>NOT(ISERROR(SEARCH("Breaks",O8)))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4" operator="containsText" id="{E69F2820-EF5E-473A-9AA3-1CA2B7382068}">
            <xm:f>NOT(ISERROR(SEARCH("maintenance",O8)))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O8:O17</xm:sqref>
        </x14:conditionalFormatting>
        <x14:conditionalFormatting xmlns:xm="http://schemas.microsoft.com/office/excel/2006/main">
          <x14:cfRule type="containsText" priority="99" operator="containsText" id="{BD14DB39-21B2-4B80-96AB-E64653724515}">
            <xm:f>NOT(ISERROR(SEARCH("maintenance",O8)))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100" operator="containsText" id="{A1BC97A4-B100-41AE-B111-0FB93AC9D4A6}">
            <xm:f>NOT(ISERROR(SEARCH("Breaks",O8)))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O8:O19</xm:sqref>
        </x14:conditionalFormatting>
        <x14:conditionalFormatting xmlns:xm="http://schemas.microsoft.com/office/excel/2006/main">
          <x14:cfRule type="containsText" priority="31" operator="containsText" id="{61684E67-DC10-4ABE-A193-B635A0C05F9E}">
            <xm:f>NOT(ISERROR(SEARCH("maintenance",T8)))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54" operator="containsText" id="{8C8140B5-6999-4AF9-81B0-9076ADFA07AA}">
            <xm:f>NOT(ISERROR(SEARCH("Breaks",T8)))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3" operator="containsText" id="{8994F9CF-4C5D-4F6B-990C-0E794CA6AC42}">
            <xm:f>NOT(ISERROR(SEARCH("maintenance",T8)))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9" operator="containsText" id="{4B1B8715-8450-4D63-A067-1FEF7F260179}">
            <xm:f>NOT(ISERROR(SEARCH("Breaks",T8)))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2" operator="containsText" id="{F3237E54-6621-40D1-A0D3-0C2142744467}">
            <xm:f>NOT(ISERROR(SEARCH("Breaks",T8)))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" operator="containsText" id="{06267D5C-8772-4A80-9F7B-64829AB7414F}">
            <xm:f>NOT(ISERROR(SEARCH("maintenance",T8)))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T8:T17</xm:sqref>
        </x14:conditionalFormatting>
        <x14:conditionalFormatting xmlns:xm="http://schemas.microsoft.com/office/excel/2006/main">
          <x14:cfRule type="containsText" priority="96" operator="containsText" id="{27792884-DC05-4A77-8AF0-47881CD7EA46}">
            <xm:f>NOT(ISERROR(SEARCH("maintenance",T8)))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97" operator="containsText" id="{C5D98526-EF9F-4F78-9D51-D6174C14EE72}">
            <xm:f>NOT(ISERROR(SEARCH("Breaks",T8)))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T8:T19</xm:sqref>
        </x14:conditionalFormatting>
        <x14:conditionalFormatting xmlns:xm="http://schemas.microsoft.com/office/excel/2006/main">
          <x14:cfRule type="containsText" priority="65" operator="containsText" id="{C6A9D3D2-D013-4607-8CC0-E47CEDB12057}">
            <xm:f>NOT(ISERROR(SEARCH("maintenance",Y8)))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66" operator="containsText" id="{24031EB8-16BE-4821-A6CC-407AA4DC5B10}">
            <xm:f>NOT(ISERROR(SEARCH("Breaks",Y8)))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Y8:Y10</xm:sqref>
        </x14:conditionalFormatting>
        <x14:conditionalFormatting xmlns:xm="http://schemas.microsoft.com/office/excel/2006/main">
          <x14:cfRule type="containsText" priority="5" operator="containsText" id="{E9B4F340-912B-4BE0-8BAA-939B9276C407}">
            <xm:f>NOT(ISERROR(SEARCH("maintenance",Y8)))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6" operator="containsText" id="{C028C0F2-C11A-418F-A3C9-D902AFF96CEF}">
            <xm:f>NOT(ISERROR(SEARCH("Breaks",Y8)))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0" operator="containsText" id="{30F1B035-3257-4A27-A9A8-F8A8717D147C}">
            <xm:f>NOT(ISERROR(SEARCH("maintenance",Y8)))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51" operator="containsText" id="{CB9FFB3A-8BFE-4CA2-A7A1-32A9E50EC75E}">
            <xm:f>NOT(ISERROR(SEARCH("Breaks",Y8)))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9" operator="containsText" id="{022030C8-7DE7-40B8-8585-38BF4701F6E3}">
            <xm:f>NOT(ISERROR(SEARCH("Breaks",Y8)))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" operator="containsText" id="{94E19AE3-77A0-4BF8-9EFA-257B3644C5B1}">
            <xm:f>NOT(ISERROR(SEARCH("maintenance",Y8)))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Y8:Y17</xm:sqref>
        </x14:conditionalFormatting>
        <x14:conditionalFormatting xmlns:xm="http://schemas.microsoft.com/office/excel/2006/main">
          <x14:cfRule type="containsText" priority="93" operator="containsText" id="{73D0770D-E5C8-4D0C-8101-ABBC762FF7B1}">
            <xm:f>NOT(ISERROR(SEARCH("maintenance",Y8)))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94" operator="containsText" id="{4E395140-1B1F-4957-AC09-0E435A738C5C}">
            <xm:f>NOT(ISERROR(SEARCH("Breaks",Y8)))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Y8:Y19</xm:sqref>
        </x14:conditionalFormatting>
        <x14:conditionalFormatting xmlns:xm="http://schemas.microsoft.com/office/excel/2006/main">
          <x14:cfRule type="containsText" priority="62" operator="containsText" id="{FF44BF96-22CE-4F9A-AEF9-EF492EEC3B3E}">
            <xm:f>NOT(ISERROR(SEARCH("maintenance",AD8)))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63" operator="containsText" id="{1993D858-F70C-462B-A7E1-731EED025015}">
            <xm:f>NOT(ISERROR(SEARCH("Breaks",AD8)))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AD8:AD10</xm:sqref>
        </x14:conditionalFormatting>
        <x14:conditionalFormatting xmlns:xm="http://schemas.microsoft.com/office/excel/2006/main">
          <x14:cfRule type="containsText" priority="2" operator="containsText" id="{F2BECC3E-8AE8-4B13-8975-4F2E59A718AA}">
            <xm:f>NOT(ISERROR(SEARCH("maintenance",AD8)))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3" operator="containsText" id="{BD38C112-B605-400F-8833-D7546B860BE2}">
            <xm:f>NOT(ISERROR(SEARCH("Breaks",AD8)))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5" operator="containsText" id="{D914B50C-CE3A-4876-AFAC-AB2A212D69A5}">
            <xm:f>NOT(ISERROR(SEARCH("maintenance",AD8)))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48" operator="containsText" id="{73FCA1C1-761A-4C3E-A6A0-65A810DE1EB6}">
            <xm:f>NOT(ISERROR(SEARCH("Breaks",AD8)))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7" operator="containsText" id="{9D6DC85E-1A00-4D95-8DFE-B77892B87BEF}">
            <xm:f>NOT(ISERROR(SEARCH("maintenance",AD8)))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26" operator="containsText" id="{6C2DF167-328A-4BFD-8968-42D627E84852}">
            <xm:f>NOT(ISERROR(SEARCH("Breaks",AD8)))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AD8:AD17</xm:sqref>
        </x14:conditionalFormatting>
        <x14:conditionalFormatting xmlns:xm="http://schemas.microsoft.com/office/excel/2006/main">
          <x14:cfRule type="containsText" priority="90" operator="containsText" id="{DA37AD44-D37D-4F4E-9F10-97B8CBA3357B}">
            <xm:f>NOT(ISERROR(SEARCH("maintenance",AD8)))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91" operator="containsText" id="{53B44BB0-5C3D-494E-85BF-6BFC1A0F03A4}">
            <xm:f>NOT(ISERROR(SEARCH("Breaks",AD8)))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AD8:AD19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F7DD0A8-AD93-466D-BF85-88E8B94ED90B}">
          <x14:formula1>
            <xm:f>Sheet1!$B$4:$B$7</xm:f>
          </x14:formula1>
          <xm:sqref>F4</xm:sqref>
        </x14:dataValidation>
        <x14:dataValidation type="list" allowBlank="1" showInputMessage="1" showErrorMessage="1" xr:uid="{763C1D2E-13F2-44ED-A606-44ED6BDAC92D}">
          <x14:formula1>
            <xm:f>Sheet1!$C$4:$C$7</xm:f>
          </x14:formula1>
          <xm:sqref>O8:O19 T8:T19 Y8:Y19 E8:E19 J8:J19 AD8:AD19</xm:sqref>
        </x14:dataValidation>
        <x14:dataValidation type="list" allowBlank="1" showInputMessage="1" showErrorMessage="1" xr:uid="{183D0A68-E267-4A6E-8DFE-02F08D684792}">
          <x14:formula1>
            <xm:f>Sheet1!$E$20:$E$68</xm:f>
          </x14:formula1>
          <xm:sqref>AG8</xm:sqref>
        </x14:dataValidation>
        <x14:dataValidation type="list" allowBlank="1" showInputMessage="1" showErrorMessage="1" xr:uid="{3EC5F084-D6C7-4DC1-9C2C-F3EB956D6EF2}">
          <x14:formula1>
            <xm:f>Sheet1!$E$4:$E$70</xm:f>
          </x14:formula1>
          <xm:sqref>C8:D8 D9:D18 H8:I8 AC9:AC18 N9:N18 X9:X18 S9:S18 M8:N8 W8:X8 I9:I18 R8:S8 AB8:AC8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E1C2-559C-45E7-99C0-ACC2BC1D601F}">
  <dimension ref="B2:H75"/>
  <sheetViews>
    <sheetView topLeftCell="A27" zoomScale="55" zoomScaleNormal="55" workbookViewId="0">
      <selection activeCell="N66" sqref="N66"/>
    </sheetView>
  </sheetViews>
  <sheetFormatPr defaultRowHeight="14"/>
  <cols>
    <col min="1" max="1" width="3.9140625" style="2" customWidth="1"/>
    <col min="2" max="2" width="24.25" style="2" customWidth="1"/>
    <col min="3" max="3" width="40.58203125" style="2" customWidth="1"/>
    <col min="4" max="4" width="6.1640625" style="10" customWidth="1"/>
    <col min="5" max="5" width="16.08203125" style="7" bestFit="1" customWidth="1"/>
    <col min="6" max="6" width="3.33203125" style="2" customWidth="1"/>
    <col min="7" max="7" width="8.6640625" style="2"/>
    <col min="8" max="8" width="16" style="2" bestFit="1" customWidth="1"/>
    <col min="9" max="16384" width="8.6640625" style="2"/>
  </cols>
  <sheetData>
    <row r="2" spans="2:8" s="6" customFormat="1" ht="17" customHeight="1">
      <c r="B2" s="6" t="s">
        <v>8</v>
      </c>
      <c r="C2" s="6" t="s">
        <v>3</v>
      </c>
      <c r="E2" s="8" t="s">
        <v>21</v>
      </c>
      <c r="H2" s="8" t="s">
        <v>26</v>
      </c>
    </row>
    <row r="3" spans="2:8" s="1" customFormat="1" ht="9" customHeight="1">
      <c r="B3" s="3"/>
      <c r="C3" s="3"/>
      <c r="D3" s="9"/>
      <c r="E3" s="8"/>
    </row>
    <row r="4" spans="2:8" ht="22.5" customHeight="1">
      <c r="B4" s="4">
        <v>10</v>
      </c>
      <c r="C4" s="4" t="s">
        <v>7</v>
      </c>
      <c r="D4" s="11"/>
      <c r="E4" s="12">
        <v>45657.999999131942</v>
      </c>
      <c r="G4" s="11"/>
      <c r="H4" s="7">
        <v>1</v>
      </c>
    </row>
    <row r="5" spans="2:8" ht="22.5" customHeight="1">
      <c r="B5" s="4">
        <v>12</v>
      </c>
      <c r="C5" s="4" t="s">
        <v>5</v>
      </c>
      <c r="D5" s="11"/>
      <c r="E5" s="12">
        <v>45658.020832523151</v>
      </c>
      <c r="G5" s="11"/>
      <c r="H5" s="7">
        <v>2</v>
      </c>
    </row>
    <row r="6" spans="2:8" ht="22.5" customHeight="1">
      <c r="B6" s="4">
        <v>15</v>
      </c>
      <c r="C6" s="5" t="s">
        <v>6</v>
      </c>
      <c r="D6" s="11"/>
      <c r="E6" s="12">
        <v>45658.041665914352</v>
      </c>
      <c r="G6" s="11"/>
      <c r="H6" s="7">
        <v>3</v>
      </c>
    </row>
    <row r="7" spans="2:8" ht="22.5" customHeight="1">
      <c r="B7" s="4">
        <v>18</v>
      </c>
      <c r="C7" s="4" t="s">
        <v>4</v>
      </c>
      <c r="D7" s="11"/>
      <c r="E7" s="12">
        <v>45658.062499305554</v>
      </c>
      <c r="G7" s="11"/>
      <c r="H7" s="7">
        <v>4</v>
      </c>
    </row>
    <row r="8" spans="2:8" ht="22.5" customHeight="1">
      <c r="B8" s="4"/>
      <c r="C8" s="4"/>
      <c r="D8" s="11"/>
      <c r="E8" s="12">
        <v>45658.083332696762</v>
      </c>
      <c r="G8" s="11"/>
      <c r="H8" s="7">
        <v>5</v>
      </c>
    </row>
    <row r="9" spans="2:8" ht="22.5" customHeight="1">
      <c r="D9" s="11"/>
      <c r="E9" s="12">
        <v>45658.104166087964</v>
      </c>
      <c r="G9" s="11"/>
      <c r="H9" s="7">
        <v>6</v>
      </c>
    </row>
    <row r="10" spans="2:8" ht="22.5" customHeight="1">
      <c r="D10" s="11"/>
      <c r="E10" s="12">
        <v>45658.124999479165</v>
      </c>
      <c r="G10" s="11"/>
      <c r="H10" s="7">
        <v>7</v>
      </c>
    </row>
    <row r="11" spans="2:8" ht="22.5" customHeight="1">
      <c r="D11" s="11"/>
      <c r="E11" s="12">
        <v>45658.145832870374</v>
      </c>
      <c r="G11" s="11"/>
      <c r="H11" s="7">
        <v>8</v>
      </c>
    </row>
    <row r="12" spans="2:8" ht="22.5" customHeight="1">
      <c r="D12" s="11"/>
      <c r="E12" s="12">
        <v>45658.166666261575</v>
      </c>
      <c r="G12" s="11"/>
      <c r="H12" s="7">
        <v>9</v>
      </c>
    </row>
    <row r="13" spans="2:8" ht="22.5" customHeight="1">
      <c r="D13" s="11"/>
      <c r="E13" s="12">
        <v>45658.187499652777</v>
      </c>
      <c r="G13" s="11"/>
      <c r="H13" s="7">
        <v>10</v>
      </c>
    </row>
    <row r="14" spans="2:8" ht="22.5" customHeight="1">
      <c r="D14" s="11"/>
      <c r="E14" s="12">
        <v>45658.208333043978</v>
      </c>
      <c r="G14" s="11"/>
      <c r="H14" s="7">
        <v>11</v>
      </c>
    </row>
    <row r="15" spans="2:8" ht="22.5" customHeight="1">
      <c r="D15" s="11"/>
      <c r="E15" s="12">
        <v>45658.229166435187</v>
      </c>
      <c r="G15" s="11"/>
      <c r="H15" s="7">
        <v>12</v>
      </c>
    </row>
    <row r="16" spans="2:8" ht="22.5" customHeight="1">
      <c r="D16" s="11"/>
      <c r="E16" s="12">
        <v>45658.249999826388</v>
      </c>
      <c r="G16" s="11"/>
      <c r="H16" s="7">
        <v>13</v>
      </c>
    </row>
    <row r="17" spans="4:8" ht="22.5" customHeight="1">
      <c r="D17" s="11"/>
      <c r="E17" s="12">
        <v>45658.27083321759</v>
      </c>
      <c r="G17" s="11"/>
      <c r="H17" s="7">
        <v>14</v>
      </c>
    </row>
    <row r="18" spans="4:8" ht="22.5" customHeight="1">
      <c r="D18" s="11"/>
      <c r="E18" s="12">
        <v>45658.291666666664</v>
      </c>
      <c r="G18" s="11"/>
      <c r="H18" s="7">
        <v>15</v>
      </c>
    </row>
    <row r="19" spans="4:8" ht="22.5" customHeight="1">
      <c r="D19" s="11"/>
      <c r="E19" s="12">
        <v>45658.3125</v>
      </c>
      <c r="G19" s="11"/>
      <c r="H19" s="7">
        <v>16</v>
      </c>
    </row>
    <row r="20" spans="4:8" ht="22.5" customHeight="1">
      <c r="D20" s="11"/>
      <c r="E20" s="12">
        <v>45658.333333333336</v>
      </c>
      <c r="G20" s="11"/>
      <c r="H20" s="7">
        <v>17</v>
      </c>
    </row>
    <row r="21" spans="4:8" ht="22.5" customHeight="1">
      <c r="D21" s="11"/>
      <c r="E21" s="12">
        <v>45658.354166666664</v>
      </c>
      <c r="H21" s="7">
        <v>18</v>
      </c>
    </row>
    <row r="22" spans="4:8" ht="22.5" customHeight="1">
      <c r="D22" s="11"/>
      <c r="E22" s="12">
        <v>45658.375</v>
      </c>
    </row>
    <row r="23" spans="4:8" ht="22.5" customHeight="1">
      <c r="D23" s="11"/>
      <c r="E23" s="12">
        <v>45658.395833333336</v>
      </c>
    </row>
    <row r="24" spans="4:8" ht="22.5" customHeight="1">
      <c r="D24" s="11"/>
      <c r="E24" s="12">
        <v>45658.416666666664</v>
      </c>
    </row>
    <row r="25" spans="4:8" ht="22.5" customHeight="1">
      <c r="D25" s="11"/>
      <c r="E25" s="12">
        <v>45658.4375</v>
      </c>
    </row>
    <row r="26" spans="4:8" ht="22.5" customHeight="1">
      <c r="D26" s="11"/>
      <c r="E26" s="12">
        <v>45658.458333333336</v>
      </c>
    </row>
    <row r="27" spans="4:8" ht="22.5" customHeight="1">
      <c r="D27" s="11"/>
      <c r="E27" s="12">
        <v>45658.479166666664</v>
      </c>
    </row>
    <row r="28" spans="4:8" ht="22.5" customHeight="1">
      <c r="D28" s="11"/>
      <c r="E28" s="12">
        <v>45658.5</v>
      </c>
    </row>
    <row r="29" spans="4:8" ht="22.5" customHeight="1">
      <c r="D29" s="11"/>
      <c r="E29" s="12">
        <v>45658.520833333336</v>
      </c>
    </row>
    <row r="30" spans="4:8" ht="22.5" customHeight="1">
      <c r="D30" s="11"/>
      <c r="E30" s="12">
        <v>45658.541666666664</v>
      </c>
    </row>
    <row r="31" spans="4:8" ht="22.5" customHeight="1">
      <c r="D31" s="11"/>
      <c r="E31" s="12">
        <v>45658.5625</v>
      </c>
    </row>
    <row r="32" spans="4:8" ht="22.5" customHeight="1">
      <c r="D32" s="11"/>
      <c r="E32" s="12">
        <v>45658.590277777781</v>
      </c>
    </row>
    <row r="33" spans="4:5" ht="22.5" customHeight="1">
      <c r="D33" s="11"/>
      <c r="E33" s="12">
        <v>45658.604166666664</v>
      </c>
    </row>
    <row r="34" spans="4:5" ht="22.5" customHeight="1">
      <c r="D34" s="11"/>
      <c r="E34" s="12">
        <v>45658.625</v>
      </c>
    </row>
    <row r="35" spans="4:5" ht="22.5" customHeight="1">
      <c r="D35" s="11"/>
      <c r="E35" s="12">
        <v>45658.645833333336</v>
      </c>
    </row>
    <row r="36" spans="4:5" ht="22.5" customHeight="1">
      <c r="E36" s="12">
        <v>45658.666666666664</v>
      </c>
    </row>
    <row r="37" spans="4:5" ht="22.5" customHeight="1">
      <c r="E37" s="12">
        <v>45658.6875</v>
      </c>
    </row>
    <row r="38" spans="4:5" ht="22.5" customHeight="1">
      <c r="E38" s="12">
        <v>45658.708333333336</v>
      </c>
    </row>
    <row r="39" spans="4:5" ht="22.5" customHeight="1">
      <c r="E39" s="12">
        <v>45658.729166666664</v>
      </c>
    </row>
    <row r="40" spans="4:5" ht="22.5" customHeight="1">
      <c r="E40" s="12">
        <v>45658.75</v>
      </c>
    </row>
    <row r="41" spans="4:5" ht="22.5" customHeight="1">
      <c r="E41" s="12">
        <v>45658.770833333336</v>
      </c>
    </row>
    <row r="42" spans="4:5" ht="22.5" customHeight="1">
      <c r="E42" s="12">
        <v>45658.791666666664</v>
      </c>
    </row>
    <row r="43" spans="4:5" ht="22.5" customHeight="1">
      <c r="E43" s="12">
        <v>45658.8125</v>
      </c>
    </row>
    <row r="44" spans="4:5" ht="22.5" customHeight="1">
      <c r="E44" s="12">
        <v>45658.833333333336</v>
      </c>
    </row>
    <row r="45" spans="4:5" ht="22.5" customHeight="1">
      <c r="E45" s="12">
        <v>45658.854166666664</v>
      </c>
    </row>
    <row r="46" spans="4:5" ht="22.5" customHeight="1">
      <c r="E46" s="12">
        <v>45658.875</v>
      </c>
    </row>
    <row r="47" spans="4:5" ht="22.5" customHeight="1">
      <c r="E47" s="12">
        <v>45658.895833333336</v>
      </c>
    </row>
    <row r="48" spans="4:5" ht="22.5" customHeight="1">
      <c r="E48" s="12">
        <v>45658.916666666664</v>
      </c>
    </row>
    <row r="49" spans="5:5" ht="22.5" customHeight="1">
      <c r="E49" s="12">
        <v>45658.9375</v>
      </c>
    </row>
    <row r="50" spans="5:5" ht="22.5" customHeight="1">
      <c r="E50" s="12">
        <v>45658.958333333336</v>
      </c>
    </row>
    <row r="51" spans="5:5" ht="22.5" customHeight="1">
      <c r="E51" s="12">
        <v>45658.979166666664</v>
      </c>
    </row>
    <row r="52" spans="5:5" ht="22.5" customHeight="1">
      <c r="E52" s="12">
        <v>45659</v>
      </c>
    </row>
    <row r="53" spans="5:5" ht="22.5" customHeight="1">
      <c r="E53" s="12">
        <v>45659.020833333336</v>
      </c>
    </row>
    <row r="54" spans="5:5" ht="22.5" customHeight="1">
      <c r="E54" s="12">
        <v>45659.041666666664</v>
      </c>
    </row>
    <row r="55" spans="5:5" ht="22.5" customHeight="1">
      <c r="E55" s="12">
        <v>45659.0625</v>
      </c>
    </row>
    <row r="56" spans="5:5" ht="22.5" customHeight="1">
      <c r="E56" s="12">
        <v>45659.083333333336</v>
      </c>
    </row>
    <row r="57" spans="5:5" ht="22.5" customHeight="1">
      <c r="E57" s="12">
        <v>45659.104166666664</v>
      </c>
    </row>
    <row r="58" spans="5:5" ht="22.5" customHeight="1">
      <c r="E58" s="12">
        <v>45659.125</v>
      </c>
    </row>
    <row r="59" spans="5:5" ht="22.5" customHeight="1">
      <c r="E59" s="12">
        <v>45659.145833333336</v>
      </c>
    </row>
    <row r="60" spans="5:5" ht="22.5" customHeight="1">
      <c r="E60" s="12">
        <v>45659.166666666664</v>
      </c>
    </row>
    <row r="61" spans="5:5" ht="22.5" customHeight="1">
      <c r="E61" s="12">
        <v>45659.1875</v>
      </c>
    </row>
    <row r="62" spans="5:5" ht="22.5" customHeight="1">
      <c r="E62" s="12">
        <v>45659.208333333336</v>
      </c>
    </row>
    <row r="63" spans="5:5" ht="22.5" customHeight="1">
      <c r="E63" s="12">
        <v>45659.229166666664</v>
      </c>
    </row>
    <row r="64" spans="5:5" ht="22.5" customHeight="1">
      <c r="E64" s="12">
        <v>45659.25</v>
      </c>
    </row>
    <row r="65" spans="5:5" ht="22.5" customHeight="1">
      <c r="E65" s="12">
        <v>45659.270833333336</v>
      </c>
    </row>
    <row r="66" spans="5:5" ht="22.5" customHeight="1">
      <c r="E66" s="12">
        <v>45659.291666666664</v>
      </c>
    </row>
    <row r="67" spans="5:5" ht="22.5" customHeight="1">
      <c r="E67" s="12">
        <v>45659.3125</v>
      </c>
    </row>
    <row r="68" spans="5:5" ht="22.5" customHeight="1">
      <c r="E68" s="12">
        <v>45659.333333333336</v>
      </c>
    </row>
    <row r="69" spans="5:5" ht="22.5" customHeight="1">
      <c r="E69" s="12">
        <v>45659.354166666664</v>
      </c>
    </row>
    <row r="70" spans="5:5" ht="22.5" customHeight="1">
      <c r="E70" s="12">
        <v>45659.375</v>
      </c>
    </row>
    <row r="71" spans="5:5" ht="22.5" customHeight="1">
      <c r="E71" s="12"/>
    </row>
    <row r="72" spans="5:5" ht="22.5" customHeight="1">
      <c r="E72" s="12"/>
    </row>
    <row r="73" spans="5:5" ht="22.5" customHeight="1">
      <c r="E73" s="12"/>
    </row>
    <row r="74" spans="5:5" ht="22.5" customHeight="1">
      <c r="E74" s="12"/>
    </row>
    <row r="75" spans="5:5" ht="22.5" customHeight="1">
      <c r="E75" s="12"/>
    </row>
  </sheetData>
  <phoneticPr fontId="1" type="noConversion"/>
  <pageMargins left="0.7" right="0.7" top="0.75" bottom="0.75" header="0.3" footer="0.3"/>
  <pageSetup paperSize="9" orientation="portrait" verticalDpi="0" r:id="rId1"/>
  <headerFooter>
    <oddHeader>&amp;L&amp;"Calibri"&amp;10&amp;K000000 INTERNAL&amp;1#_x000D_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Tabelle1</vt:lpstr>
      <vt:lpstr>Sheet1</vt:lpstr>
      <vt:lpstr>Tabelle1!Print_Area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Jiajun (C/OP-5)</dc:creator>
  <cp:lastModifiedBy>Li, Jiajun (C/OP-5)</cp:lastModifiedBy>
  <cp:lastPrinted>2025-06-09T01:36:08Z</cp:lastPrinted>
  <dcterms:created xsi:type="dcterms:W3CDTF">2015-06-05T18:19:34Z</dcterms:created>
  <dcterms:modified xsi:type="dcterms:W3CDTF">2025-06-16T08:45:33Z</dcterms:modified>
</cp:coreProperties>
</file>