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DieseArbeitsmappe"/>
  <mc:AlternateContent xmlns:mc="http://schemas.openxmlformats.org/markup-compatibility/2006">
    <mc:Choice Requires="x15">
      <x15ac:absPath xmlns:x15ac="http://schemas.microsoft.com/office/spreadsheetml/2010/11/ac" url="C:\工作运行 Working running\Work running\2. QPNi\0. Heavy items\1. Q6L project\6. Schäffler\ML7\7.4.2 - Performance Test Completion\R@R2\"/>
    </mc:Choice>
  </mc:AlternateContent>
  <xr:revisionPtr revIDLastSave="0" documentId="13_ncr:1_{E8D242CB-C312-4746-BA07-F1E2924E174D}" xr6:coauthVersionLast="47" xr6:coauthVersionMax="47" xr10:uidLastSave="{00000000-0000-0000-0000-000000000000}"/>
  <bookViews>
    <workbookView xWindow="-120" yWindow="-18120" windowWidth="29040" windowHeight="17520" tabRatio="652" activeTab="2" xr2:uid="{00000000-000D-0000-FFFF-FFFF00000000}"/>
  </bookViews>
  <sheets>
    <sheet name="Datasheet" sheetId="1" r:id="rId1"/>
    <sheet name="Capacity overview" sheetId="15" r:id="rId2"/>
    <sheet name="Capacity Calculation" sheetId="17" r:id="rId3"/>
    <sheet name="Capacity Planning" sheetId="20" r:id="rId4"/>
    <sheet name="Cycle time monitoring" sheetId="21" state="hidden" r:id="rId5"/>
    <sheet name="LOP" sheetId="10" r:id="rId6"/>
    <sheet name="Datenquelle" sheetId="2" state="hidden" r:id="rId7"/>
  </sheets>
  <definedNames>
    <definedName name="_xlnm._FilterDatabase" localSheetId="0" hidden="1">Datasheet!$B$1:$F$37</definedName>
    <definedName name="Abnahme">Datasheet!$F$6</definedName>
    <definedName name="bedingterfuellt">Datenquelle!$D$6</definedName>
    <definedName name="erfuellt">Datenquelle!$D$5</definedName>
    <definedName name="Ergebnis" comment="Audit-Ergebnis in %">'Capacity overview'!$H$41</definedName>
    <definedName name="nichterfuellt">Datenquelle!$D$7</definedName>
    <definedName name="_xlnm.Print_Area" localSheetId="2">'Capacity Calculation'!$A$1:$O$87</definedName>
    <definedName name="_xlnm.Print_Area" localSheetId="1">'Capacity overview'!$A$1:$J$45</definedName>
    <definedName name="_xlnm.Print_Area" localSheetId="3">'Capacity Planning'!$A$1:$O$70</definedName>
    <definedName name="_xlnm.Print_Area" localSheetId="0">Datasheet!$A$1:$F$47</definedName>
    <definedName name="_xlnm.Print_Area" localSheetId="5">LOP!$A$1:$I$27</definedName>
    <definedName name="_xlnm.Print_Titles" localSheetId="2">'Capacity Calculation'!$A:$B</definedName>
    <definedName name="_xlnm.Print_Titles" localSheetId="3">'Capacity Planning'!$A:$B</definedName>
    <definedName name="_xlnm.Print_Titles" localSheetId="5">LOP!$1:$5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6" i="17" l="1"/>
  <c r="L49" i="17"/>
  <c r="L56" i="17" s="1"/>
  <c r="T46" i="1" l="1"/>
  <c r="T44" i="1"/>
  <c r="T42" i="1"/>
  <c r="T40" i="1"/>
  <c r="T31" i="1"/>
  <c r="T29" i="1"/>
  <c r="T23" i="1"/>
  <c r="T22" i="1"/>
  <c r="T20" i="1"/>
  <c r="T19" i="1"/>
  <c r="T18" i="1"/>
  <c r="T17" i="1"/>
  <c r="T15" i="1"/>
  <c r="T12" i="1"/>
  <c r="T11" i="1"/>
  <c r="T9" i="1"/>
  <c r="A1" i="1"/>
  <c r="B69" i="20"/>
  <c r="B68" i="20"/>
  <c r="B67" i="20"/>
  <c r="B66" i="20"/>
  <c r="B65" i="20"/>
  <c r="B64" i="20"/>
  <c r="B63" i="20"/>
  <c r="B62" i="20"/>
  <c r="B61" i="20"/>
  <c r="B60" i="20"/>
  <c r="B59" i="20"/>
  <c r="B86" i="17"/>
  <c r="B85" i="17"/>
  <c r="B84" i="17"/>
  <c r="B83" i="17"/>
  <c r="B82" i="17"/>
  <c r="B81" i="17"/>
  <c r="B80" i="17"/>
  <c r="B79" i="17"/>
  <c r="B78" i="17"/>
  <c r="B77" i="17"/>
  <c r="B76" i="17"/>
  <c r="D69" i="20"/>
  <c r="E69" i="20"/>
  <c r="F69" i="20"/>
  <c r="G69" i="20"/>
  <c r="H69" i="20"/>
  <c r="I69" i="20"/>
  <c r="J69" i="20"/>
  <c r="K69" i="20"/>
  <c r="L69" i="20"/>
  <c r="M69" i="20"/>
  <c r="D68" i="20"/>
  <c r="E68" i="20"/>
  <c r="F68" i="20"/>
  <c r="G68" i="20"/>
  <c r="H68" i="20"/>
  <c r="I68" i="20"/>
  <c r="J68" i="20"/>
  <c r="K68" i="20"/>
  <c r="L68" i="20"/>
  <c r="D67" i="20"/>
  <c r="E67" i="20"/>
  <c r="F67" i="20"/>
  <c r="G67" i="20"/>
  <c r="H67" i="20"/>
  <c r="I67" i="20"/>
  <c r="J67" i="20"/>
  <c r="K67" i="20"/>
  <c r="D66" i="20"/>
  <c r="E66" i="20"/>
  <c r="F66" i="20"/>
  <c r="G66" i="20"/>
  <c r="H66" i="20"/>
  <c r="I66" i="20"/>
  <c r="J66" i="20"/>
  <c r="D65" i="20"/>
  <c r="E65" i="20"/>
  <c r="F65" i="20"/>
  <c r="G65" i="20"/>
  <c r="H65" i="20"/>
  <c r="I65" i="20"/>
  <c r="D64" i="20"/>
  <c r="E64" i="20"/>
  <c r="F64" i="20"/>
  <c r="G64" i="20"/>
  <c r="H64" i="20"/>
  <c r="D63" i="20"/>
  <c r="E63" i="20"/>
  <c r="F63" i="20"/>
  <c r="G63" i="20"/>
  <c r="D61" i="20"/>
  <c r="E61" i="20"/>
  <c r="D62" i="20"/>
  <c r="E62" i="20"/>
  <c r="F62" i="20"/>
  <c r="D60" i="20"/>
  <c r="C64" i="20"/>
  <c r="N69" i="17"/>
  <c r="D39" i="15" s="1"/>
  <c r="F49" i="17"/>
  <c r="F56" i="17" s="1"/>
  <c r="D49" i="17"/>
  <c r="D56" i="17" s="1"/>
  <c r="C49" i="17"/>
  <c r="C56" i="17" s="1"/>
  <c r="N49" i="17"/>
  <c r="N56" i="17"/>
  <c r="M49" i="17"/>
  <c r="M56" i="17"/>
  <c r="K49" i="17"/>
  <c r="J49" i="17"/>
  <c r="J56" i="17" s="1"/>
  <c r="I49" i="17"/>
  <c r="I56" i="17" s="1"/>
  <c r="H49" i="17"/>
  <c r="H56" i="17" s="1"/>
  <c r="G49" i="17"/>
  <c r="G56" i="17" s="1"/>
  <c r="E49" i="17"/>
  <c r="E56" i="17" s="1"/>
  <c r="M34" i="20"/>
  <c r="B39" i="15"/>
  <c r="B38" i="15"/>
  <c r="B37" i="15"/>
  <c r="B36" i="15"/>
  <c r="B35" i="15"/>
  <c r="B34" i="15"/>
  <c r="B33" i="15"/>
  <c r="B32" i="15"/>
  <c r="B31" i="15"/>
  <c r="B30" i="15"/>
  <c r="B28" i="15"/>
  <c r="B29" i="15"/>
  <c r="A1" i="21"/>
  <c r="O24" i="21"/>
  <c r="F24" i="21"/>
  <c r="E24" i="21"/>
  <c r="O23" i="21"/>
  <c r="F23" i="21"/>
  <c r="E23" i="21"/>
  <c r="O22" i="21"/>
  <c r="F22" i="21"/>
  <c r="E22" i="21"/>
  <c r="O21" i="21"/>
  <c r="F21" i="21"/>
  <c r="E21" i="21"/>
  <c r="O20" i="21"/>
  <c r="F20" i="21"/>
  <c r="E20" i="21"/>
  <c r="O19" i="21"/>
  <c r="F19" i="21"/>
  <c r="E19" i="21"/>
  <c r="O18" i="21"/>
  <c r="F18" i="21"/>
  <c r="E18" i="21"/>
  <c r="O17" i="21"/>
  <c r="F17" i="21"/>
  <c r="E17" i="21"/>
  <c r="O16" i="21"/>
  <c r="F16" i="21"/>
  <c r="E16" i="21"/>
  <c r="O15" i="21"/>
  <c r="F15" i="21"/>
  <c r="E15" i="21"/>
  <c r="O14" i="21"/>
  <c r="F14" i="21"/>
  <c r="E14" i="21"/>
  <c r="O13" i="21"/>
  <c r="F13" i="21"/>
  <c r="E13" i="21"/>
  <c r="O12" i="21"/>
  <c r="F12" i="21"/>
  <c r="E12" i="21"/>
  <c r="O11" i="21"/>
  <c r="F11" i="21"/>
  <c r="E11" i="21"/>
  <c r="O10" i="21"/>
  <c r="F10" i="21"/>
  <c r="E10" i="21"/>
  <c r="F9" i="21"/>
  <c r="F8" i="21"/>
  <c r="F7" i="21"/>
  <c r="E7" i="21"/>
  <c r="E8" i="21"/>
  <c r="F6" i="21"/>
  <c r="O6" i="21"/>
  <c r="O7" i="21"/>
  <c r="O8" i="21"/>
  <c r="E9" i="21"/>
  <c r="O9" i="21"/>
  <c r="G7" i="15"/>
  <c r="F7" i="15"/>
  <c r="B22" i="15"/>
  <c r="B21" i="15"/>
  <c r="B8" i="15"/>
  <c r="C34" i="20"/>
  <c r="C46" i="20" s="1"/>
  <c r="D12" i="20"/>
  <c r="M12" i="15"/>
  <c r="N12" i="15" s="1"/>
  <c r="M13" i="15"/>
  <c r="O13" i="15" s="1"/>
  <c r="P13" i="15" s="1"/>
  <c r="M14" i="15"/>
  <c r="O14" i="15" s="1"/>
  <c r="P14" i="15" s="1"/>
  <c r="M15" i="15"/>
  <c r="N15" i="15" s="1"/>
  <c r="M11" i="15"/>
  <c r="G11" i="15" s="1"/>
  <c r="H11" i="15" s="1"/>
  <c r="A1" i="10"/>
  <c r="C69" i="20"/>
  <c r="C68" i="20"/>
  <c r="C67" i="20"/>
  <c r="C66" i="20"/>
  <c r="C65" i="20"/>
  <c r="C63" i="20"/>
  <c r="C62" i="20"/>
  <c r="C61" i="20"/>
  <c r="C60" i="20"/>
  <c r="C59" i="20"/>
  <c r="N39" i="20"/>
  <c r="M39" i="20"/>
  <c r="L39" i="20"/>
  <c r="K39" i="20"/>
  <c r="J39" i="20"/>
  <c r="I39" i="20"/>
  <c r="H39" i="20"/>
  <c r="G39" i="20"/>
  <c r="F39" i="20"/>
  <c r="E39" i="20"/>
  <c r="D39" i="20"/>
  <c r="C39" i="20"/>
  <c r="N34" i="20"/>
  <c r="M46" i="20"/>
  <c r="L34" i="20"/>
  <c r="L46" i="20" s="1"/>
  <c r="K34" i="20"/>
  <c r="K35" i="20" s="1"/>
  <c r="K38" i="20" s="1"/>
  <c r="K51" i="20" s="1"/>
  <c r="J34" i="20"/>
  <c r="J46" i="20" s="1"/>
  <c r="I34" i="20"/>
  <c r="I46" i="20" s="1"/>
  <c r="H34" i="20"/>
  <c r="H46" i="20" s="1"/>
  <c r="G34" i="20"/>
  <c r="G46" i="20" s="1"/>
  <c r="F34" i="20"/>
  <c r="F46" i="20" s="1"/>
  <c r="E34" i="20"/>
  <c r="E46" i="20" s="1"/>
  <c r="D34" i="20"/>
  <c r="D46" i="20" s="1"/>
  <c r="N28" i="20"/>
  <c r="N29" i="20"/>
  <c r="M28" i="20"/>
  <c r="M29" i="20"/>
  <c r="L28" i="20"/>
  <c r="L29" i="20" s="1"/>
  <c r="K28" i="20"/>
  <c r="K29" i="20" s="1"/>
  <c r="J28" i="20"/>
  <c r="J29" i="20" s="1"/>
  <c r="I28" i="20"/>
  <c r="I29" i="20" s="1"/>
  <c r="H28" i="20"/>
  <c r="H29" i="20" s="1"/>
  <c r="H35" i="20" s="1"/>
  <c r="G28" i="20"/>
  <c r="G29" i="20" s="1"/>
  <c r="F28" i="20"/>
  <c r="F29" i="20" s="1"/>
  <c r="E28" i="20"/>
  <c r="E29" i="20" s="1"/>
  <c r="D28" i="20"/>
  <c r="D29" i="20" s="1"/>
  <c r="C28" i="20"/>
  <c r="C29" i="20" s="1"/>
  <c r="C6" i="20"/>
  <c r="E6" i="20" s="1"/>
  <c r="C5" i="20"/>
  <c r="C4" i="20"/>
  <c r="N35" i="20"/>
  <c r="N38" i="20"/>
  <c r="N51" i="20" s="1"/>
  <c r="N50" i="20" s="1"/>
  <c r="N46" i="20"/>
  <c r="N40" i="20"/>
  <c r="K46" i="20"/>
  <c r="M35" i="20"/>
  <c r="M38" i="20"/>
  <c r="M51" i="20" s="1"/>
  <c r="M50" i="20" s="1"/>
  <c r="M40" i="20"/>
  <c r="I30" i="17"/>
  <c r="I31" i="17" s="1"/>
  <c r="J30" i="17"/>
  <c r="J31" i="17" s="1"/>
  <c r="K30" i="17"/>
  <c r="K31" i="17" s="1"/>
  <c r="L30" i="17"/>
  <c r="L31" i="17" s="1"/>
  <c r="L37" i="17" s="1"/>
  <c r="L64" i="17" s="1"/>
  <c r="L65" i="17" s="1"/>
  <c r="M30" i="17"/>
  <c r="M31" i="17" s="1"/>
  <c r="N30" i="17"/>
  <c r="N31" i="17" s="1"/>
  <c r="I36" i="17"/>
  <c r="J36" i="17"/>
  <c r="K36" i="17"/>
  <c r="M36" i="17"/>
  <c r="M37" i="17" s="1"/>
  <c r="M64" i="17" s="1"/>
  <c r="N36" i="17"/>
  <c r="N37" i="17" s="1"/>
  <c r="N64" i="17" s="1"/>
  <c r="I41" i="17"/>
  <c r="J41" i="17"/>
  <c r="K41" i="17"/>
  <c r="L41" i="17"/>
  <c r="M41" i="17"/>
  <c r="N41" i="17"/>
  <c r="I54" i="17"/>
  <c r="I58" i="17" s="1"/>
  <c r="J54" i="17"/>
  <c r="J58" i="17"/>
  <c r="K54" i="17"/>
  <c r="K55" i="17" s="1"/>
  <c r="K58" i="17"/>
  <c r="L54" i="17"/>
  <c r="L58" i="17" s="1"/>
  <c r="M54" i="17"/>
  <c r="M58" i="17"/>
  <c r="N54" i="17"/>
  <c r="N55" i="17" s="1"/>
  <c r="N58" i="17"/>
  <c r="M40" i="17"/>
  <c r="M42" i="17"/>
  <c r="M63" i="17"/>
  <c r="M57" i="17" s="1"/>
  <c r="M59" i="17"/>
  <c r="N63" i="17"/>
  <c r="N57" i="17" s="1"/>
  <c r="N59" i="17"/>
  <c r="I55" i="17"/>
  <c r="G81" i="17" s="1"/>
  <c r="J55" i="17"/>
  <c r="C82" i="17" s="1"/>
  <c r="M55" i="17"/>
  <c r="F85" i="17" s="1"/>
  <c r="N40" i="17"/>
  <c r="N42" i="17"/>
  <c r="C85" i="17"/>
  <c r="L85" i="17"/>
  <c r="H85" i="17"/>
  <c r="J85" i="17"/>
  <c r="E85" i="17"/>
  <c r="K85" i="17"/>
  <c r="M69" i="17"/>
  <c r="D38" i="15" s="1"/>
  <c r="G13" i="15"/>
  <c r="H13" i="15" s="1"/>
  <c r="G14" i="15"/>
  <c r="H14" i="15" s="1"/>
  <c r="G15" i="15"/>
  <c r="H15" i="15" s="1"/>
  <c r="L17" i="15"/>
  <c r="N55" i="20"/>
  <c r="O39" i="15" s="1"/>
  <c r="M55" i="20"/>
  <c r="O38" i="15" s="1"/>
  <c r="M56" i="20"/>
  <c r="N56" i="20"/>
  <c r="M72" i="17"/>
  <c r="N38" i="15" s="1"/>
  <c r="M73" i="17"/>
  <c r="N72" i="17"/>
  <c r="N39" i="15" s="1"/>
  <c r="N73" i="17"/>
  <c r="D36" i="17"/>
  <c r="E36" i="17"/>
  <c r="F36" i="17"/>
  <c r="G36" i="17"/>
  <c r="H36" i="17"/>
  <c r="C36" i="17"/>
  <c r="D41" i="17"/>
  <c r="E41" i="17"/>
  <c r="F41" i="17"/>
  <c r="G41" i="17"/>
  <c r="H41" i="17"/>
  <c r="C41" i="17"/>
  <c r="D54" i="17"/>
  <c r="D55" i="17" s="1"/>
  <c r="C76" i="17" s="1"/>
  <c r="E54" i="17"/>
  <c r="E55" i="17" s="1"/>
  <c r="F54" i="17"/>
  <c r="F55" i="17" s="1"/>
  <c r="G54" i="17"/>
  <c r="G55" i="17" s="1"/>
  <c r="G58" i="17"/>
  <c r="H54" i="17"/>
  <c r="H58" i="17" s="1"/>
  <c r="D30" i="17"/>
  <c r="D31" i="17" s="1"/>
  <c r="E30" i="17"/>
  <c r="E31" i="17" s="1"/>
  <c r="F30" i="17"/>
  <c r="F31" i="17" s="1"/>
  <c r="G30" i="17"/>
  <c r="G31" i="17" s="1"/>
  <c r="H30" i="17"/>
  <c r="H31" i="17" s="1"/>
  <c r="C54" i="17"/>
  <c r="C30" i="17"/>
  <c r="C31" i="17" s="1"/>
  <c r="C6" i="17"/>
  <c r="E6" i="17" s="1"/>
  <c r="C24" i="15" s="1"/>
  <c r="C5" i="17"/>
  <c r="C4" i="17"/>
  <c r="V44" i="15"/>
  <c r="D5" i="15"/>
  <c r="D4" i="15"/>
  <c r="N70" i="17"/>
  <c r="M70" i="17"/>
  <c r="L63" i="17" l="1"/>
  <c r="K37" i="17"/>
  <c r="G37" i="17"/>
  <c r="I35" i="20"/>
  <c r="J35" i="20"/>
  <c r="C35" i="20"/>
  <c r="O15" i="15"/>
  <c r="P15" i="15" s="1"/>
  <c r="G12" i="15"/>
  <c r="H12" i="15" s="1"/>
  <c r="I12" i="15" s="1"/>
  <c r="D81" i="17"/>
  <c r="E82" i="17"/>
  <c r="H82" i="17"/>
  <c r="E81" i="17"/>
  <c r="H81" i="17"/>
  <c r="I82" i="17"/>
  <c r="F81" i="17"/>
  <c r="G82" i="17"/>
  <c r="F82" i="17"/>
  <c r="C81" i="17"/>
  <c r="L55" i="17"/>
  <c r="F84" i="17" s="1"/>
  <c r="I63" i="17"/>
  <c r="I57" i="17" s="1"/>
  <c r="J63" i="17"/>
  <c r="J57" i="17" s="1"/>
  <c r="C63" i="17"/>
  <c r="C57" i="17" s="1"/>
  <c r="M86" i="17"/>
  <c r="I86" i="17"/>
  <c r="L86" i="17"/>
  <c r="E86" i="17"/>
  <c r="C86" i="17"/>
  <c r="F86" i="17"/>
  <c r="G86" i="17"/>
  <c r="K86" i="17"/>
  <c r="D86" i="17"/>
  <c r="J86" i="17"/>
  <c r="H86" i="17"/>
  <c r="G85" i="17"/>
  <c r="I85" i="17"/>
  <c r="K63" i="17"/>
  <c r="K57" i="17" s="1"/>
  <c r="K59" i="17" s="1"/>
  <c r="D85" i="17"/>
  <c r="D82" i="17"/>
  <c r="K56" i="17"/>
  <c r="I59" i="17"/>
  <c r="J59" i="17"/>
  <c r="D35" i="20"/>
  <c r="H63" i="17"/>
  <c r="H57" i="17" s="1"/>
  <c r="H59" i="17" s="1"/>
  <c r="H55" i="17"/>
  <c r="D77" i="17"/>
  <c r="C77" i="17"/>
  <c r="E58" i="17"/>
  <c r="E63" i="17"/>
  <c r="E57" i="17" s="1"/>
  <c r="E59" i="17" s="1"/>
  <c r="M53" i="20"/>
  <c r="N53" i="20"/>
  <c r="N52" i="20"/>
  <c r="F39" i="15"/>
  <c r="F38" i="15"/>
  <c r="M52" i="20"/>
  <c r="F83" i="17"/>
  <c r="H83" i="17"/>
  <c r="J83" i="17"/>
  <c r="C83" i="17"/>
  <c r="D83" i="17"/>
  <c r="I83" i="17"/>
  <c r="E83" i="17"/>
  <c r="G83" i="17"/>
  <c r="D79" i="17"/>
  <c r="E79" i="17"/>
  <c r="C79" i="17"/>
  <c r="F79" i="17"/>
  <c r="G63" i="17"/>
  <c r="G57" i="17" s="1"/>
  <c r="G59" i="17" s="1"/>
  <c r="E78" i="17"/>
  <c r="D78" i="17"/>
  <c r="C78" i="17"/>
  <c r="F63" i="17"/>
  <c r="F57" i="17" s="1"/>
  <c r="F59" i="17" s="1"/>
  <c r="F58" i="17"/>
  <c r="D58" i="17"/>
  <c r="D63" i="17"/>
  <c r="D57" i="17" s="1"/>
  <c r="D59" i="17" s="1"/>
  <c r="C55" i="17"/>
  <c r="C58" i="17"/>
  <c r="C59" i="17" s="1"/>
  <c r="H37" i="17"/>
  <c r="H40" i="17" s="1"/>
  <c r="H42" i="17" s="1"/>
  <c r="M17" i="15"/>
  <c r="F21" i="15" s="1"/>
  <c r="C6" i="1"/>
  <c r="B2" i="10"/>
  <c r="F37" i="17"/>
  <c r="F40" i="17" s="1"/>
  <c r="F42" i="17" s="1"/>
  <c r="E37" i="17"/>
  <c r="E40" i="17" s="1"/>
  <c r="E42" i="17" s="1"/>
  <c r="I37" i="17"/>
  <c r="I64" i="17" s="1"/>
  <c r="I65" i="17" s="1"/>
  <c r="G34" i="15" s="1"/>
  <c r="C37" i="17"/>
  <c r="C40" i="17" s="1"/>
  <c r="C42" i="17" s="1"/>
  <c r="J37" i="17"/>
  <c r="J40" i="17" s="1"/>
  <c r="J42" i="17" s="1"/>
  <c r="K40" i="17"/>
  <c r="K42" i="17" s="1"/>
  <c r="K64" i="17"/>
  <c r="K65" i="17" s="1"/>
  <c r="G36" i="15" s="1"/>
  <c r="G40" i="17"/>
  <c r="G42" i="17" s="1"/>
  <c r="G64" i="17"/>
  <c r="G65" i="17" s="1"/>
  <c r="G32" i="15" s="1"/>
  <c r="N66" i="17"/>
  <c r="N65" i="17"/>
  <c r="M66" i="17"/>
  <c r="M65" i="17"/>
  <c r="D37" i="17"/>
  <c r="F35" i="20"/>
  <c r="F40" i="20" s="1"/>
  <c r="L35" i="20"/>
  <c r="L38" i="20" s="1"/>
  <c r="L51" i="20" s="1"/>
  <c r="L50" i="20" s="1"/>
  <c r="I38" i="20"/>
  <c r="I51" i="20" s="1"/>
  <c r="F34" i="15" s="1"/>
  <c r="I40" i="20"/>
  <c r="J38" i="20"/>
  <c r="J51" i="20" s="1"/>
  <c r="J50" i="20" s="1"/>
  <c r="J40" i="20"/>
  <c r="H38" i="20"/>
  <c r="H51" i="20" s="1"/>
  <c r="H50" i="20" s="1"/>
  <c r="H40" i="20"/>
  <c r="C40" i="20"/>
  <c r="C38" i="20"/>
  <c r="D38" i="20"/>
  <c r="D51" i="20" s="1"/>
  <c r="D40" i="20"/>
  <c r="F36" i="15"/>
  <c r="K50" i="20"/>
  <c r="G35" i="20"/>
  <c r="K40" i="20"/>
  <c r="E35" i="20"/>
  <c r="O12" i="15"/>
  <c r="P12" i="15" s="1"/>
  <c r="N14" i="15"/>
  <c r="N13" i="15"/>
  <c r="I11" i="15"/>
  <c r="N11" i="15"/>
  <c r="O11" i="15"/>
  <c r="L57" i="17" l="1"/>
  <c r="L59" i="17" s="1"/>
  <c r="G37" i="15"/>
  <c r="H84" i="17"/>
  <c r="H17" i="15"/>
  <c r="C7" i="17" s="1"/>
  <c r="G17" i="15"/>
  <c r="I15" i="15"/>
  <c r="I13" i="15"/>
  <c r="I14" i="15"/>
  <c r="N9" i="15" s="1"/>
  <c r="C84" i="17"/>
  <c r="I84" i="17"/>
  <c r="K84" i="17"/>
  <c r="D84" i="17"/>
  <c r="D69" i="17" s="1"/>
  <c r="J84" i="17"/>
  <c r="J69" i="17" s="1"/>
  <c r="D35" i="15" s="1"/>
  <c r="G84" i="17"/>
  <c r="G69" i="17" s="1"/>
  <c r="E84" i="17"/>
  <c r="E69" i="17" s="1"/>
  <c r="C51" i="20"/>
  <c r="F28" i="15" s="1"/>
  <c r="F38" i="20"/>
  <c r="F51" i="20" s="1"/>
  <c r="F31" i="15" s="1"/>
  <c r="L40" i="20"/>
  <c r="I50" i="20"/>
  <c r="F37" i="15"/>
  <c r="F80" i="17"/>
  <c r="F69" i="17" s="1"/>
  <c r="D31" i="15" s="1"/>
  <c r="G80" i="17"/>
  <c r="D80" i="17"/>
  <c r="E80" i="17"/>
  <c r="C80" i="17"/>
  <c r="C69" i="17" s="1"/>
  <c r="D28" i="15" s="1"/>
  <c r="F64" i="17"/>
  <c r="F65" i="17" s="1"/>
  <c r="G31" i="15" s="1"/>
  <c r="H64" i="17"/>
  <c r="H65" i="17" s="1"/>
  <c r="G33" i="15" s="1"/>
  <c r="J64" i="17"/>
  <c r="J65" i="17" s="1"/>
  <c r="G35" i="15" s="1"/>
  <c r="I40" i="17"/>
  <c r="I42" i="17" s="1"/>
  <c r="L40" i="17"/>
  <c r="L42" i="17" s="1"/>
  <c r="E64" i="17"/>
  <c r="E65" i="17" s="1"/>
  <c r="G30" i="15" s="1"/>
  <c r="C64" i="17"/>
  <c r="C65" i="17" s="1"/>
  <c r="G28" i="15" s="1"/>
  <c r="D40" i="17"/>
  <c r="D42" i="17" s="1"/>
  <c r="D64" i="17"/>
  <c r="D65" i="17" s="1"/>
  <c r="G29" i="15" s="1"/>
  <c r="N67" i="17"/>
  <c r="G39" i="15"/>
  <c r="G38" i="15"/>
  <c r="M67" i="17"/>
  <c r="F33" i="15"/>
  <c r="F35" i="15"/>
  <c r="D50" i="20"/>
  <c r="F29" i="15"/>
  <c r="E40" i="20"/>
  <c r="E38" i="20"/>
  <c r="E51" i="20" s="1"/>
  <c r="G38" i="20"/>
  <c r="G51" i="20" s="1"/>
  <c r="G40" i="20"/>
  <c r="N17" i="15"/>
  <c r="I21" i="15" s="1"/>
  <c r="C8" i="17" s="1"/>
  <c r="I69" i="17"/>
  <c r="D34" i="15" s="1"/>
  <c r="K69" i="17"/>
  <c r="D36" i="15" s="1"/>
  <c r="L69" i="17"/>
  <c r="D37" i="15" s="1"/>
  <c r="H69" i="17"/>
  <c r="P11" i="15"/>
  <c r="O17" i="15"/>
  <c r="F22" i="15" s="1"/>
  <c r="C50" i="20" l="1"/>
  <c r="F50" i="20"/>
  <c r="K67" i="17"/>
  <c r="G70" i="17"/>
  <c r="F67" i="17"/>
  <c r="F70" i="17"/>
  <c r="C7" i="20"/>
  <c r="H55" i="20" s="1"/>
  <c r="E67" i="17"/>
  <c r="D67" i="17"/>
  <c r="H70" i="17"/>
  <c r="D29" i="15"/>
  <c r="K29" i="15" s="1"/>
  <c r="C67" i="17"/>
  <c r="J67" i="17"/>
  <c r="H39" i="15"/>
  <c r="K39" i="15"/>
  <c r="H38" i="15"/>
  <c r="K38" i="15"/>
  <c r="D30" i="15"/>
  <c r="K30" i="15" s="1"/>
  <c r="L67" i="17"/>
  <c r="E50" i="20"/>
  <c r="F30" i="15"/>
  <c r="F32" i="15"/>
  <c r="G50" i="20"/>
  <c r="D32" i="15"/>
  <c r="I70" i="17"/>
  <c r="K70" i="17"/>
  <c r="C70" i="17"/>
  <c r="D33" i="15"/>
  <c r="L70" i="17"/>
  <c r="G67" i="17"/>
  <c r="H67" i="17"/>
  <c r="I67" i="17"/>
  <c r="K37" i="15"/>
  <c r="K28" i="15"/>
  <c r="E55" i="20"/>
  <c r="G55" i="20"/>
  <c r="Q14" i="15"/>
  <c r="Q11" i="15"/>
  <c r="Q12" i="15"/>
  <c r="Q13" i="15"/>
  <c r="Q15" i="15"/>
  <c r="P17" i="15"/>
  <c r="I22" i="15" s="1"/>
  <c r="E70" i="17"/>
  <c r="E72" i="17"/>
  <c r="H30" i="15" s="1"/>
  <c r="K72" i="17"/>
  <c r="H36" i="15" s="1"/>
  <c r="D72" i="17"/>
  <c r="C72" i="17"/>
  <c r="H28" i="15" s="1"/>
  <c r="F72" i="17"/>
  <c r="H31" i="15" s="1"/>
  <c r="H72" i="17"/>
  <c r="G72" i="17"/>
  <c r="J72" i="17"/>
  <c r="H35" i="15" s="1"/>
  <c r="L72" i="17"/>
  <c r="H37" i="15" s="1"/>
  <c r="I72" i="17"/>
  <c r="H34" i="15" s="1"/>
  <c r="K34" i="15"/>
  <c r="K35" i="15"/>
  <c r="J70" i="17"/>
  <c r="J66" i="17"/>
  <c r="H66" i="17"/>
  <c r="G66" i="17"/>
  <c r="F66" i="17"/>
  <c r="E66" i="17"/>
  <c r="L66" i="17"/>
  <c r="I66" i="17"/>
  <c r="D66" i="17"/>
  <c r="C66" i="17"/>
  <c r="K66" i="17"/>
  <c r="K36" i="15"/>
  <c r="D70" i="17"/>
  <c r="K31" i="15"/>
  <c r="K55" i="20" l="1"/>
  <c r="J55" i="20"/>
  <c r="O35" i="15" s="1"/>
  <c r="F55" i="20"/>
  <c r="H29" i="15"/>
  <c r="Q29" i="15" s="1"/>
  <c r="D55" i="20"/>
  <c r="O29" i="15" s="1"/>
  <c r="H32" i="15"/>
  <c r="P32" i="15" s="1"/>
  <c r="I55" i="20"/>
  <c r="O34" i="15" s="1"/>
  <c r="C55" i="20"/>
  <c r="C53" i="20" s="1"/>
  <c r="H33" i="15"/>
  <c r="R33" i="15" s="1"/>
  <c r="L55" i="20"/>
  <c r="O37" i="15" s="1"/>
  <c r="K32" i="15"/>
  <c r="Q38" i="15"/>
  <c r="R38" i="15"/>
  <c r="P38" i="15"/>
  <c r="Q39" i="15"/>
  <c r="R39" i="15"/>
  <c r="P39" i="15"/>
  <c r="K33" i="15"/>
  <c r="Q30" i="15"/>
  <c r="R30" i="15"/>
  <c r="P30" i="15"/>
  <c r="N34" i="15"/>
  <c r="N37" i="15"/>
  <c r="N32" i="15"/>
  <c r="O36" i="15"/>
  <c r="K53" i="20"/>
  <c r="G53" i="20"/>
  <c r="O32" i="15"/>
  <c r="N33" i="15"/>
  <c r="E53" i="20"/>
  <c r="O30" i="15"/>
  <c r="O9" i="15"/>
  <c r="G56" i="20" s="1"/>
  <c r="N28" i="15"/>
  <c r="F53" i="20"/>
  <c r="O31" i="15"/>
  <c r="O33" i="15"/>
  <c r="H53" i="20"/>
  <c r="N31" i="15"/>
  <c r="N29" i="15"/>
  <c r="M29" i="15" s="1"/>
  <c r="L29" i="15" s="1"/>
  <c r="H41" i="15"/>
  <c r="R28" i="15"/>
  <c r="Q28" i="15"/>
  <c r="P28" i="15"/>
  <c r="N35" i="15"/>
  <c r="Q36" i="15"/>
  <c r="P36" i="15"/>
  <c r="R36" i="15"/>
  <c r="Q32" i="15"/>
  <c r="Q35" i="15"/>
  <c r="R35" i="15"/>
  <c r="P35" i="15"/>
  <c r="N36" i="15"/>
  <c r="M36" i="15" s="1"/>
  <c r="L36" i="15" s="1"/>
  <c r="R31" i="15"/>
  <c r="P31" i="15"/>
  <c r="Q31" i="15"/>
  <c r="P37" i="15"/>
  <c r="R37" i="15"/>
  <c r="Q37" i="15"/>
  <c r="M39" i="15"/>
  <c r="L39" i="15" s="1"/>
  <c r="M38" i="15"/>
  <c r="L38" i="15" s="1"/>
  <c r="N30" i="15"/>
  <c r="L53" i="20"/>
  <c r="Q34" i="15"/>
  <c r="P34" i="15"/>
  <c r="R34" i="15"/>
  <c r="D53" i="20"/>
  <c r="R29" i="15" l="1"/>
  <c r="M35" i="15"/>
  <c r="L35" i="15" s="1"/>
  <c r="J53" i="20"/>
  <c r="M34" i="15"/>
  <c r="L34" i="15" s="1"/>
  <c r="O28" i="15"/>
  <c r="M28" i="15" s="1"/>
  <c r="L28" i="15" s="1"/>
  <c r="M30" i="15"/>
  <c r="L30" i="15" s="1"/>
  <c r="M31" i="15"/>
  <c r="L31" i="15" s="1"/>
  <c r="M37" i="15"/>
  <c r="L37" i="15" s="1"/>
  <c r="M33" i="15"/>
  <c r="L33" i="15" s="1"/>
  <c r="P29" i="15"/>
  <c r="A29" i="15" s="1"/>
  <c r="R32" i="15"/>
  <c r="I53" i="20"/>
  <c r="E73" i="17"/>
  <c r="Q33" i="15"/>
  <c r="P33" i="15"/>
  <c r="A33" i="15" s="1"/>
  <c r="C56" i="20"/>
  <c r="M32" i="15"/>
  <c r="L32" i="15" s="1"/>
  <c r="F56" i="20"/>
  <c r="I56" i="20"/>
  <c r="G73" i="17"/>
  <c r="D73" i="17"/>
  <c r="D56" i="20"/>
  <c r="C73" i="17"/>
  <c r="F73" i="17"/>
  <c r="J52" i="20"/>
  <c r="F52" i="20"/>
  <c r="D52" i="20"/>
  <c r="L52" i="20"/>
  <c r="H52" i="20"/>
  <c r="K52" i="20"/>
  <c r="E52" i="20"/>
  <c r="I52" i="20"/>
  <c r="G52" i="20"/>
  <c r="C52" i="20"/>
  <c r="H73" i="17"/>
  <c r="J73" i="17"/>
  <c r="H56" i="20"/>
  <c r="J56" i="20"/>
  <c r="K56" i="20"/>
  <c r="L56" i="20"/>
  <c r="K73" i="17"/>
  <c r="I73" i="17"/>
  <c r="E56" i="20"/>
  <c r="A35" i="15"/>
  <c r="A30" i="15"/>
  <c r="A34" i="15"/>
  <c r="A31" i="15"/>
  <c r="C36" i="1"/>
  <c r="A36" i="15"/>
  <c r="A39" i="15"/>
  <c r="D40" i="15"/>
  <c r="A38" i="15"/>
  <c r="E33" i="1"/>
  <c r="A28" i="15"/>
  <c r="A32" i="15"/>
  <c r="L73" i="17"/>
  <c r="A37" i="15" l="1"/>
  <c r="D41" i="15" s="1"/>
  <c r="C33" i="1" s="1"/>
  <c r="F41" i="15" l="1"/>
  <c r="G41" i="15"/>
  <c r="C3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Floesser, Philipp (N/PL-72)</author>
  </authors>
  <commentList>
    <comment ref="E10" authorId="0" shapeId="0" xr:uid="{00000000-0006-0000-0100-000005000000}">
      <text>
        <r>
          <rPr>
            <b/>
            <sz val="9"/>
            <color indexed="81"/>
            <rFont val="Tahoma"/>
            <family val="2"/>
          </rPr>
          <t>"Einbaurate":</t>
        </r>
        <r>
          <rPr>
            <sz val="9"/>
            <color indexed="81"/>
            <rFont val="Tahoma"/>
            <family val="2"/>
          </rPr>
          <t xml:space="preserve">
% of new vehicles equipped with this part</t>
        </r>
      </text>
    </comment>
    <comment ref="F10" authorId="0" shapeId="0" xr:uid="{00000000-0006-0000-0100-000006000000}">
      <text>
        <r>
          <rPr>
            <b/>
            <sz val="9"/>
            <color indexed="81"/>
            <rFont val="Tahoma"/>
            <family val="2"/>
          </rPr>
          <t xml:space="preserve">"Verbaurate":
</t>
        </r>
        <r>
          <rPr>
            <sz val="9"/>
            <color indexed="81"/>
            <rFont val="Tahoma"/>
            <family val="2"/>
          </rPr>
          <t>Number of parts used in one vehicle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Floesser, Philipp (N/BN-L4)</author>
    <author>Floesser, Philipp (N/PL-72)</author>
    <author>Schwaderer, Tilo (N/BS-4)</author>
  </authors>
  <commentList>
    <comment ref="B18" authorId="0" shapeId="0" xr:uid="{9C95A30B-8201-41BB-BA5F-4894FA2583EA}">
      <text>
        <r>
          <rPr>
            <sz val="9"/>
            <color indexed="81"/>
            <rFont val="Segoe UI"/>
            <family val="2"/>
          </rPr>
          <t>Explicit process name</t>
        </r>
      </text>
    </comment>
    <comment ref="B20" authorId="1" shapeId="0" xr:uid="{1429E8B7-9ABE-4DB8-BE15-9F0DB9611D2E}">
      <text>
        <r>
          <rPr>
            <sz val="9"/>
            <color indexed="81"/>
            <rFont val="Tahoma"/>
            <family val="2"/>
          </rPr>
          <t>If the exanimated capacity is parallel available on different tooling</t>
        </r>
      </text>
    </comment>
    <comment ref="B22" authorId="2" shapeId="0" xr:uid="{0AC5C44A-24D0-4772-B865-7FA960FE7C6E}">
      <text>
        <r>
          <rPr>
            <sz val="9"/>
            <color indexed="81"/>
            <rFont val="Segoe UI"/>
            <family val="2"/>
          </rPr>
          <t>nominated capacity in cell C8 is multiplied by this percentage in order to calculate for nomination required amount of parts in line 72</t>
        </r>
      </text>
    </comment>
    <comment ref="B24" authorId="2" shapeId="0" xr:uid="{0F9058BE-87D3-4F15-91F5-22F3A46D8503}">
      <text>
        <r>
          <rPr>
            <sz val="9"/>
            <color indexed="81"/>
            <rFont val="Segoe UI"/>
            <family val="2"/>
          </rPr>
          <t>For evaluation required capacity in cell C7 is multiplied by this percentage in order to calculate for evaluation required amount of parts in line 69
If the cell is empty the percentage in line 22 is taken for calculation</t>
        </r>
      </text>
    </comment>
    <comment ref="B34" authorId="1" shapeId="0" xr:uid="{00000000-0006-0000-0300-000003000000}">
      <text>
        <r>
          <rPr>
            <sz val="9"/>
            <color indexed="81"/>
            <rFont val="Tahoma"/>
            <family val="2"/>
          </rPr>
          <t>System availability considers:
- maintenance
- setup time
- downtime
- other non-production times (excl. breaks)
- breaks, then line 33 musst be filled
No OEE, because scrap and productivity will be considered in the evaluation itself</t>
        </r>
      </text>
    </comment>
    <comment ref="B35" authorId="1" shapeId="0" xr:uid="{00000000-0006-0000-0300-000004000000}">
      <text>
        <r>
          <rPr>
            <sz val="9"/>
            <color indexed="81"/>
            <rFont val="Tahoma"/>
            <family val="2"/>
          </rPr>
          <t>Only relevant, if the supplier calculates breaks into the system availibility in line 34.</t>
        </r>
      </text>
    </comment>
    <comment ref="B39" authorId="0" shapeId="0" xr:uid="{00000000-0006-0000-0300-000005000000}">
      <text>
        <r>
          <rPr>
            <sz val="9"/>
            <color indexed="81"/>
            <rFont val="Segoe UI"/>
            <family val="2"/>
          </rPr>
          <t>For the project reserved capacity on the production line.
Relevant if different projects are produced on one line.</t>
        </r>
      </text>
    </comment>
    <comment ref="B45" authorId="0" shapeId="0" xr:uid="{00000000-0006-0000-0300-000006000000}">
      <text>
        <r>
          <rPr>
            <sz val="9"/>
            <color indexed="81"/>
            <rFont val="Segoe UI"/>
            <family val="2"/>
          </rPr>
          <t>Total production time inkl. breaks and other interruptions</t>
        </r>
      </text>
    </comment>
    <comment ref="B46" authorId="2" shapeId="0" xr:uid="{9EF93593-B883-4867-8E93-6B5527AE4D2B}">
      <text>
        <r>
          <rPr>
            <sz val="9"/>
            <color indexed="81"/>
            <rFont val="Segoe UI"/>
            <family val="2"/>
          </rPr>
          <t>not considered for calculation of availibility rate observed and OEE</t>
        </r>
      </text>
    </comment>
    <comment ref="B47" authorId="2" shapeId="0" xr:uid="{4E885B92-35A7-4AE7-BC80-5D1C57566A2B}">
      <text>
        <r>
          <rPr>
            <sz val="9"/>
            <color indexed="81"/>
            <rFont val="Segoe UI"/>
            <family val="2"/>
          </rPr>
          <t>considered for calculation of availibility rate obseved and OEE</t>
        </r>
      </text>
    </comment>
    <comment ref="B48" authorId="2" shapeId="0" xr:uid="{04CEE694-819E-4B9B-A71A-1D68912DBD8D}">
      <text>
        <r>
          <rPr>
            <sz val="9"/>
            <color indexed="81"/>
            <rFont val="Segoe UI"/>
            <family val="2"/>
          </rPr>
          <t>considered for calculation of availibility rate observed and OEE</t>
        </r>
      </text>
    </comment>
    <comment ref="B56" authorId="0" shapeId="0" xr:uid="{00000000-0006-0000-0300-000007000000}">
      <text>
        <r>
          <rPr>
            <sz val="9"/>
            <color indexed="81"/>
            <rFont val="Segoe UI"/>
            <family val="2"/>
          </rPr>
          <t xml:space="preserve">= Net production time / total production time </t>
        </r>
        <r>
          <rPr>
            <b/>
            <sz val="9"/>
            <color indexed="81"/>
            <rFont val="Segoe UI"/>
            <family val="2"/>
          </rPr>
          <t>excluding breaks;</t>
        </r>
        <r>
          <rPr>
            <sz val="9"/>
            <color indexed="81"/>
            <rFont val="Segoe UI"/>
            <family val="2"/>
          </rPr>
          <t xml:space="preserve">
If system availibility observed is lower than system availibility planned, please check if the planned system availibility is plausible</t>
        </r>
      </text>
    </comment>
    <comment ref="B57" authorId="0" shapeId="0" xr:uid="{00000000-0006-0000-0300-000008000000}">
      <text>
        <r>
          <rPr>
            <sz val="9"/>
            <color indexed="81"/>
            <rFont val="Segoe UI"/>
            <family val="2"/>
          </rPr>
          <t>= real cyle time / planned cycle time
ATTENTION: Planning sheet must be filled!</t>
        </r>
      </text>
    </comment>
    <comment ref="B58" authorId="0" shapeId="0" xr:uid="{00000000-0006-0000-0300-000009000000}">
      <text>
        <r>
          <rPr>
            <sz val="9"/>
            <color indexed="81"/>
            <rFont val="Segoe UI"/>
            <family val="2"/>
          </rPr>
          <t>= ok parts / (ok parts + not ok parts)</t>
        </r>
      </text>
    </comment>
    <comment ref="B59" authorId="0" shapeId="0" xr:uid="{00000000-0006-0000-0300-00000A000000}">
      <text>
        <r>
          <rPr>
            <sz val="9"/>
            <color indexed="81"/>
            <rFont val="Segoe UI"/>
            <family val="2"/>
          </rPr>
          <t xml:space="preserve">OEE </t>
        </r>
        <r>
          <rPr>
            <b/>
            <sz val="9"/>
            <color indexed="81"/>
            <rFont val="Segoe UI"/>
            <family val="2"/>
          </rPr>
          <t>excl.</t>
        </r>
        <r>
          <rPr>
            <sz val="9"/>
            <color indexed="81"/>
            <rFont val="Segoe UI"/>
            <family val="2"/>
          </rPr>
          <t xml:space="preserve"> Breaks = performance rate * availability rate * quality rate</t>
        </r>
      </text>
    </comment>
    <comment ref="B60" authorId="0" shapeId="0" xr:uid="{00000000-0006-0000-0300-00000B000000}">
      <text>
        <r>
          <rPr>
            <sz val="9"/>
            <color indexed="81"/>
            <rFont val="Segoe UI"/>
            <family val="2"/>
          </rPr>
          <t>No impact on calculation, only for information</t>
        </r>
      </text>
    </comment>
    <comment ref="B63" authorId="2" shapeId="0" xr:uid="{0CBB9AC2-DB8D-47BF-B625-A105B4AD81C3}">
      <text>
        <r>
          <rPr>
            <sz val="9"/>
            <color indexed="81"/>
            <rFont val="Segoe UI"/>
            <family val="2"/>
          </rPr>
          <t>net production time / total produced parts * (number of cavities * number of tools)</t>
        </r>
      </text>
    </comment>
    <comment ref="B64" authorId="0" shapeId="0" xr:uid="{00000000-0006-0000-0300-00000C000000}">
      <text>
        <r>
          <rPr>
            <sz val="9"/>
            <color indexed="81"/>
            <rFont val="Segoe UI"/>
            <family val="2"/>
          </rPr>
          <t>Shift-output on exclusive production of the listed project ("100% capacity for this project in one shift") calculated by number of ok parts during net production time (line 49)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Floesser, Philipp (N/BN-L4)</author>
    <author>Floesser, Philipp (N/PL-72)</author>
    <author>Schwaderer, Tilo (N/BS-4)</author>
  </authors>
  <commentList>
    <comment ref="B17" authorId="0" shapeId="0" xr:uid="{00000000-0006-0000-0200-000001000000}">
      <text>
        <r>
          <rPr>
            <sz val="9"/>
            <color indexed="81"/>
            <rFont val="Segoe UI"/>
            <family val="2"/>
          </rPr>
          <t>Explicit process name</t>
        </r>
      </text>
    </comment>
    <comment ref="B19" authorId="1" shapeId="0" xr:uid="{00000000-0006-0000-0200-000002000000}">
      <text>
        <r>
          <rPr>
            <sz val="9"/>
            <color indexed="81"/>
            <rFont val="Tahoma"/>
            <family val="2"/>
          </rPr>
          <t>If the exanimated capacity is parallel available on different tooling</t>
        </r>
      </text>
    </comment>
    <comment ref="B21" authorId="2" shapeId="0" xr:uid="{255DCE5E-51C3-441B-9ECB-5F3FB0BA1916}">
      <text>
        <r>
          <rPr>
            <sz val="9"/>
            <color indexed="81"/>
            <rFont val="Segoe UI"/>
            <family val="2"/>
          </rPr>
          <t>nominated capacity in cell C7 is multiplied by this percentage in order to calculate for nomination required amount of parts in line 55</t>
        </r>
      </text>
    </comment>
    <comment ref="B32" authorId="1" shapeId="0" xr:uid="{00000000-0006-0000-0200-000003000000}">
      <text>
        <r>
          <rPr>
            <sz val="9"/>
            <color indexed="81"/>
            <rFont val="Tahoma"/>
            <family val="2"/>
          </rPr>
          <t>System availability considers:
- maintenance
- setup time
- downtime
- other non-production times (excl. breaks)
- if breaks included, then line 33 musst be filled
No OEE, because scrap and productivity will be considered in the evaluation itself</t>
        </r>
      </text>
    </comment>
    <comment ref="B33" authorId="1" shapeId="0" xr:uid="{00000000-0006-0000-0200-000004000000}">
      <text>
        <r>
          <rPr>
            <sz val="9"/>
            <color indexed="81"/>
            <rFont val="Tahoma"/>
            <family val="2"/>
          </rPr>
          <t xml:space="preserve">Relevant if the  supplier considers the time for breaks in his system availibility </t>
        </r>
      </text>
    </comment>
    <comment ref="B37" authorId="0" shapeId="0" xr:uid="{00000000-0006-0000-0200-000005000000}">
      <text>
        <r>
          <rPr>
            <sz val="9"/>
            <color indexed="81"/>
            <rFont val="Segoe UI"/>
            <family val="2"/>
          </rPr>
          <t>For the project reserved capacity on the production line.
Relevant if different projects are produced on one line.</t>
        </r>
      </text>
    </comment>
    <comment ref="B43" authorId="0" shapeId="0" xr:uid="{00000000-0006-0000-0200-000006000000}">
      <text>
        <r>
          <rPr>
            <sz val="9"/>
            <color indexed="81"/>
            <rFont val="Segoe UI"/>
            <family val="2"/>
          </rPr>
          <t>Cycletime without performance rate: pure cycle time without micro stopps etc.</t>
        </r>
      </text>
    </comment>
    <comment ref="B44" authorId="0" shapeId="0" xr:uid="{00000000-0006-0000-0200-000007000000}">
      <text>
        <r>
          <rPr>
            <sz val="9"/>
            <color indexed="81"/>
            <rFont val="Segoe UI"/>
            <family val="2"/>
          </rPr>
          <t>reduces the planned cycle time by e.g. micro stopps etc
planned cycle time * performance rate = 
real implemented cycle time</t>
        </r>
      </text>
    </comment>
    <comment ref="B46" authorId="0" shapeId="0" xr:uid="{00000000-0006-0000-0200-000008000000}">
      <text>
        <r>
          <rPr>
            <sz val="9"/>
            <color indexed="81"/>
            <rFont val="Segoe UI"/>
            <family val="2"/>
          </rPr>
          <t>OEE =  availability rate * performance rate
* quality rate</t>
        </r>
      </text>
    </comment>
    <comment ref="B47" authorId="0" shapeId="0" xr:uid="{00000000-0006-0000-0200-000009000000}">
      <text>
        <r>
          <rPr>
            <sz val="9"/>
            <color indexed="81"/>
            <rFont val="Segoe UI"/>
            <family val="2"/>
          </rPr>
          <t>No impact on calculation, only for information</t>
        </r>
      </text>
    </comment>
    <comment ref="B50" authorId="0" shapeId="0" xr:uid="{00000000-0006-0000-0200-00000A000000}">
      <text>
        <r>
          <rPr>
            <sz val="9"/>
            <color indexed="81"/>
            <rFont val="Segoe UI"/>
            <family val="2"/>
          </rPr>
          <t>Shift-output on exclusive production of the listed project ("100% capacity for this project in one shift")</t>
        </r>
      </text>
    </comment>
  </commentList>
</comments>
</file>

<file path=xl/sharedStrings.xml><?xml version="1.0" encoding="utf-8"?>
<sst xmlns="http://schemas.openxmlformats.org/spreadsheetml/2006/main" count="600" uniqueCount="521">
  <si>
    <t>Land</t>
  </si>
  <si>
    <t>LKZ</t>
  </si>
  <si>
    <t xml:space="preserve"> </t>
  </si>
  <si>
    <t>Afghanistan</t>
  </si>
  <si>
    <t>Andorra</t>
  </si>
  <si>
    <t>Angola</t>
  </si>
  <si>
    <t>Bahrain</t>
  </si>
  <si>
    <t>Bangladesh</t>
  </si>
  <si>
    <t>Barbados</t>
  </si>
  <si>
    <t>Belize</t>
  </si>
  <si>
    <t>Benin</t>
  </si>
  <si>
    <t>Bhutan</t>
  </si>
  <si>
    <t>Brunei</t>
  </si>
  <si>
    <t>Burundi</t>
  </si>
  <si>
    <t>China</t>
  </si>
  <si>
    <t>Costa Rica</t>
  </si>
  <si>
    <t>Ecuador</t>
  </si>
  <si>
    <t>El Salvador</t>
  </si>
  <si>
    <t>Eritrea</t>
  </si>
  <si>
    <t>Gambia</t>
  </si>
  <si>
    <t>Ghana</t>
  </si>
  <si>
    <t>Grenada</t>
  </si>
  <si>
    <t>Guatemala</t>
  </si>
  <si>
    <t>Guinea</t>
  </si>
  <si>
    <t>Guyana</t>
  </si>
  <si>
    <t>Haiti</t>
  </si>
  <si>
    <t>Honduras</t>
  </si>
  <si>
    <t>Hong Kong</t>
  </si>
  <si>
    <t>Iran</t>
  </si>
  <si>
    <t>Israel</t>
  </si>
  <si>
    <t>Japan</t>
  </si>
  <si>
    <t>Kanada</t>
  </si>
  <si>
    <t>Kiribati</t>
  </si>
  <si>
    <t>Lesotho</t>
  </si>
  <si>
    <t>Liberia</t>
  </si>
  <si>
    <t>Liechtenstein</t>
  </si>
  <si>
    <t>Luxemburg</t>
  </si>
  <si>
    <t>Malawi</t>
  </si>
  <si>
    <t>Malaysia</t>
  </si>
  <si>
    <t>Mali</t>
  </si>
  <si>
    <t>Malta</t>
  </si>
  <si>
    <t>Mauritius</t>
  </si>
  <si>
    <t>Mexiko</t>
  </si>
  <si>
    <t>Monaco</t>
  </si>
  <si>
    <t>Namibia</t>
  </si>
  <si>
    <t>Nauru</t>
  </si>
  <si>
    <t>Nepal</t>
  </si>
  <si>
    <t>Nicaragua</t>
  </si>
  <si>
    <t>Niger</t>
  </si>
  <si>
    <t>Nigeria</t>
  </si>
  <si>
    <t>Oman</t>
  </si>
  <si>
    <t>Pakistan</t>
  </si>
  <si>
    <t>Palau</t>
  </si>
  <si>
    <t>Panama</t>
  </si>
  <si>
    <t>Paraguay</t>
  </si>
  <si>
    <t>Peru</t>
  </si>
  <si>
    <t>Portugal</t>
  </si>
  <si>
    <t>Puerto Rico</t>
  </si>
  <si>
    <t>Qatar</t>
  </si>
  <si>
    <t>Saint Lucia</t>
  </si>
  <si>
    <t>Samoa</t>
  </si>
  <si>
    <t>San Marino</t>
  </si>
  <si>
    <t>Senegal</t>
  </si>
  <si>
    <t>Sierra Leone</t>
  </si>
  <si>
    <t>Somalia</t>
  </si>
  <si>
    <t>Sri Lanka</t>
  </si>
  <si>
    <t>Sudan</t>
  </si>
  <si>
    <t>Taiwan</t>
  </si>
  <si>
    <t>Thailand</t>
  </si>
  <si>
    <t>Togo</t>
  </si>
  <si>
    <t>Tonga</t>
  </si>
  <si>
    <t>Turkmenistan</t>
  </si>
  <si>
    <t>Tuvalu</t>
  </si>
  <si>
    <t>Uganda</t>
  </si>
  <si>
    <t>Ukraine</t>
  </si>
  <si>
    <t>Uruguay</t>
  </si>
  <si>
    <t>Vanuatu</t>
  </si>
  <si>
    <t>Venezuela</t>
  </si>
  <si>
    <t>Zimbabwe</t>
  </si>
  <si>
    <t>Datenblatt</t>
  </si>
  <si>
    <t>Bezeichnung</t>
  </si>
  <si>
    <t>Status</t>
  </si>
  <si>
    <t>Fzg</t>
  </si>
  <si>
    <t>EBR</t>
  </si>
  <si>
    <t>VR</t>
  </si>
  <si>
    <t>Run@Rate</t>
  </si>
  <si>
    <t>Namen</t>
  </si>
  <si>
    <t>Fahrzeugprojekt</t>
  </si>
  <si>
    <t xml:space="preserve">
</t>
  </si>
  <si>
    <t xml:space="preserve">
</t>
  </si>
  <si>
    <t>Version</t>
  </si>
  <si>
    <t>General information</t>
  </si>
  <si>
    <t>Date of evaluation:</t>
  </si>
  <si>
    <t>Reason for evaluation</t>
  </si>
  <si>
    <t>Supplier type</t>
  </si>
  <si>
    <t xml:space="preserve">Supplier to be evaluated: </t>
  </si>
  <si>
    <t>Part number:</t>
  </si>
  <si>
    <t>Parts description:</t>
  </si>
  <si>
    <t>Location</t>
  </si>
  <si>
    <t>Country:</t>
  </si>
  <si>
    <t>Address (zip, city, street, No.):</t>
  </si>
  <si>
    <t>Project manager:</t>
  </si>
  <si>
    <t>Supplier number:</t>
  </si>
  <si>
    <t>DUNS-No.:</t>
  </si>
  <si>
    <t>Name of assessor:</t>
  </si>
  <si>
    <t>Department:</t>
  </si>
  <si>
    <t>Please Select…</t>
  </si>
  <si>
    <t>Information about the supplier inspection</t>
  </si>
  <si>
    <t>Date of visit:</t>
  </si>
  <si>
    <t>OEM participants:</t>
  </si>
  <si>
    <t>Supplier participants:</t>
  </si>
  <si>
    <t>Required quantity:</t>
  </si>
  <si>
    <t>Result of capacity evaluation:</t>
  </si>
  <si>
    <t>Information about the supplier</t>
  </si>
  <si>
    <t>Employees:</t>
  </si>
  <si>
    <t>Parent company:</t>
  </si>
  <si>
    <t>Other locations:</t>
  </si>
  <si>
    <t>References/
current supply relationships:</t>
  </si>
  <si>
    <t>Imprint</t>
  </si>
  <si>
    <t>Author</t>
  </si>
  <si>
    <t>Capacity evaluation - overview</t>
  </si>
  <si>
    <t>Overview</t>
  </si>
  <si>
    <t>Shifts/week (nominated)</t>
  </si>
  <si>
    <t>Project</t>
  </si>
  <si>
    <t>Description</t>
  </si>
  <si>
    <t>Veh./week</t>
  </si>
  <si>
    <t>Net requirement</t>
  </si>
  <si>
    <t>Parts/week</t>
  </si>
  <si>
    <t>%-share</t>
  </si>
  <si>
    <t>Nominated Volume</t>
  </si>
  <si>
    <r>
      <rPr>
        <b/>
        <sz val="8"/>
        <rFont val="Calibri"/>
        <family val="2"/>
      </rPr>
      <t>Ø</t>
    </r>
    <r>
      <rPr>
        <b/>
        <sz val="8"/>
        <rFont val="Audi Type"/>
        <family val="2"/>
      </rPr>
      <t xml:space="preserve"> installation rate demands:</t>
    </r>
  </si>
  <si>
    <r>
      <rPr>
        <b/>
        <sz val="8"/>
        <rFont val="Calibri"/>
        <family val="2"/>
      </rPr>
      <t>Ø</t>
    </r>
    <r>
      <rPr>
        <b/>
        <sz val="8"/>
        <rFont val="Audi Type"/>
        <family val="2"/>
      </rPr>
      <t xml:space="preserve"> installation rate nomination:</t>
    </r>
  </si>
  <si>
    <t>Veh excl. Flex.</t>
  </si>
  <si>
    <t>Net requ.</t>
  </si>
  <si>
    <t>Veh incl. Flex.</t>
  </si>
  <si>
    <t>(not on printout)</t>
  </si>
  <si>
    <t>Overall requirement:</t>
  </si>
  <si>
    <t>Nominated total volume</t>
  </si>
  <si>
    <t>Cars/week:</t>
  </si>
  <si>
    <t>Parts/week:</t>
  </si>
  <si>
    <t>Capacity</t>
  </si>
  <si>
    <t>Process step</t>
  </si>
  <si>
    <t>planned</t>
  </si>
  <si>
    <t>proved</t>
  </si>
  <si>
    <t>capacity (parts/week)</t>
  </si>
  <si>
    <t>capacity request</t>
  </si>
  <si>
    <t>requirements met</t>
  </si>
  <si>
    <t>requirements partially met</t>
  </si>
  <si>
    <t>requirements not met</t>
  </si>
  <si>
    <t>Bottleneck capacity</t>
  </si>
  <si>
    <t>Remarks</t>
  </si>
  <si>
    <t>Capacity planning</t>
  </si>
  <si>
    <t>Summary</t>
  </si>
  <si>
    <t>Production process - planning</t>
  </si>
  <si>
    <t>General data</t>
  </si>
  <si>
    <t>Process name</t>
  </si>
  <si>
    <t>Tool designation</t>
  </si>
  <si>
    <t>Number of (identical) tools</t>
  </si>
  <si>
    <r>
      <t>% of parts handled in this process step [</t>
    </r>
    <r>
      <rPr>
        <i/>
        <sz val="10"/>
        <rFont val="Audi Type"/>
        <family val="2"/>
      </rPr>
      <t>%</t>
    </r>
    <r>
      <rPr>
        <sz val="10"/>
        <rFont val="Audi Type"/>
        <family val="2"/>
      </rPr>
      <t>]</t>
    </r>
  </si>
  <si>
    <t>Remark</t>
  </si>
  <si>
    <t>Number of cavities</t>
  </si>
  <si>
    <t>Established production time</t>
  </si>
  <si>
    <t>Shifts/day</t>
  </si>
  <si>
    <t>Shifts/week</t>
  </si>
  <si>
    <r>
      <t>Minutes/shift (excluding breaks, net working time) [</t>
    </r>
    <r>
      <rPr>
        <i/>
        <sz val="10"/>
        <rFont val="Audi Type"/>
        <family val="2"/>
      </rPr>
      <t>min</t>
    </r>
    <r>
      <rPr>
        <sz val="10"/>
        <rFont val="Audi Type"/>
        <family val="2"/>
      </rPr>
      <t>]</t>
    </r>
  </si>
  <si>
    <r>
      <t>Hours/shift (excluding breaks) [</t>
    </r>
    <r>
      <rPr>
        <i/>
        <sz val="10"/>
        <rFont val="Audi Type"/>
        <family val="2"/>
      </rPr>
      <t>h</t>
    </r>
    <r>
      <rPr>
        <sz val="10"/>
        <rFont val="Audi Type"/>
        <family val="2"/>
      </rPr>
      <t>]</t>
    </r>
  </si>
  <si>
    <r>
      <t>Hours/week (excluding breaks) [</t>
    </r>
    <r>
      <rPr>
        <i/>
        <sz val="10"/>
        <rFont val="Audi Type"/>
        <family val="2"/>
      </rPr>
      <t>h/week</t>
    </r>
    <r>
      <rPr>
        <sz val="10"/>
        <rFont val="Audi Type"/>
        <family val="2"/>
      </rPr>
      <t>]</t>
    </r>
  </si>
  <si>
    <t>Process data</t>
  </si>
  <si>
    <t>In total available production time [h/week]</t>
  </si>
  <si>
    <t>Available production time for OEM [h/week]</t>
  </si>
  <si>
    <r>
      <t>Capacity used for other projects [</t>
    </r>
    <r>
      <rPr>
        <i/>
        <sz val="10"/>
        <rFont val="Audi Type"/>
        <family val="2"/>
      </rPr>
      <t>%</t>
    </r>
    <r>
      <rPr>
        <sz val="10"/>
        <rFont val="Audi Type"/>
        <family val="2"/>
      </rPr>
      <t>]</t>
    </r>
  </si>
  <si>
    <t>Production time used for other projects [h/week]</t>
  </si>
  <si>
    <t>Production planning</t>
  </si>
  <si>
    <r>
      <t>Planned cycletime (w/o performance rate) [</t>
    </r>
    <r>
      <rPr>
        <i/>
        <sz val="10"/>
        <rFont val="Audi Type"/>
        <family val="2"/>
      </rPr>
      <t>sec</t>
    </r>
    <r>
      <rPr>
        <sz val="10"/>
        <rFont val="Audi Type"/>
        <family val="2"/>
      </rPr>
      <t>]</t>
    </r>
  </si>
  <si>
    <t>Planned performance rate [%]</t>
  </si>
  <si>
    <t>Planned scrap rate [%]</t>
  </si>
  <si>
    <t>Planned OEE (Overall Equipment Effectiveness) [%]</t>
  </si>
  <si>
    <t>Number of employees</t>
  </si>
  <si>
    <t>Result capacity planning</t>
  </si>
  <si>
    <t>Capacity: parts/shift</t>
  </si>
  <si>
    <t>Capacity: parts/week</t>
  </si>
  <si>
    <t>Capacity: cars/week</t>
  </si>
  <si>
    <t>Deviation to required capacity</t>
  </si>
  <si>
    <t>For nomination required amount of parts</t>
  </si>
  <si>
    <t>For nomination required amount of cars</t>
  </si>
  <si>
    <t>Scrap rate on following process steps</t>
  </si>
  <si>
    <t>For evaluation required capacity:</t>
  </si>
  <si>
    <t>Distribute the available capacity for OEM equally (acording run@rate) on the marked processes:</t>
  </si>
  <si>
    <t>Hours</t>
  </si>
  <si>
    <t>Minutes</t>
  </si>
  <si>
    <r>
      <t xml:space="preserve">Hours </t>
    </r>
    <r>
      <rPr>
        <sz val="10"/>
        <rFont val="Arial"/>
        <family val="2"/>
      </rPr>
      <t xml:space="preserve">↔ </t>
    </r>
    <r>
      <rPr>
        <sz val="10"/>
        <rFont val="Audi Type"/>
        <family val="2"/>
      </rPr>
      <t>Minutes:</t>
    </r>
  </si>
  <si>
    <t>Start [hh:mm]</t>
  </si>
  <si>
    <t>End [hh:mm]</t>
  </si>
  <si>
    <t>Start/End ↔ Minutes:</t>
  </si>
  <si>
    <r>
      <rPr>
        <b/>
        <sz val="8"/>
        <color theme="9"/>
        <rFont val="Audi Type"/>
        <family val="2"/>
      </rPr>
      <t xml:space="preserve">Select following options in QPNi:
</t>
    </r>
    <r>
      <rPr>
        <sz val="8"/>
        <rFont val="Audi Type"/>
        <family val="2"/>
      </rPr>
      <t>"Acceptance w/o non-productive time" &amp; "Calculation flexibility with max. shifts"</t>
    </r>
  </si>
  <si>
    <r>
      <t>Production time [</t>
    </r>
    <r>
      <rPr>
        <i/>
        <sz val="10"/>
        <rFont val="Audi Type"/>
        <family val="2"/>
      </rPr>
      <t>min</t>
    </r>
    <r>
      <rPr>
        <sz val="10"/>
        <rFont val="Audi Type"/>
        <family val="2"/>
      </rPr>
      <t>]</t>
    </r>
  </si>
  <si>
    <r>
      <t>Production time (net, excl. break/interruptions) [</t>
    </r>
    <r>
      <rPr>
        <i/>
        <sz val="10"/>
        <rFont val="Audi Type"/>
        <family val="2"/>
      </rPr>
      <t>min</t>
    </r>
    <r>
      <rPr>
        <sz val="10"/>
        <rFont val="Audi Type"/>
        <family val="2"/>
      </rPr>
      <t>]</t>
    </r>
  </si>
  <si>
    <t>Produced parts</t>
  </si>
  <si>
    <t>ok</t>
  </si>
  <si>
    <t>ok with rework</t>
  </si>
  <si>
    <t>not ok</t>
  </si>
  <si>
    <t>total produced parts</t>
  </si>
  <si>
    <r>
      <t>Scrap [</t>
    </r>
    <r>
      <rPr>
        <i/>
        <sz val="10"/>
        <rFont val="Audi Type"/>
        <family val="2"/>
      </rPr>
      <t>%</t>
    </r>
    <r>
      <rPr>
        <sz val="10"/>
        <rFont val="Audi Type"/>
        <family val="2"/>
      </rPr>
      <t>]</t>
    </r>
  </si>
  <si>
    <t>Performance rate (observed)</t>
  </si>
  <si>
    <t>Quality rate (observed)</t>
  </si>
  <si>
    <t>Result capacity</t>
  </si>
  <si>
    <t>For evaluation required amount of parts</t>
  </si>
  <si>
    <t>For evaluation required amount of vehicles</t>
  </si>
  <si>
    <t>No.</t>
  </si>
  <si>
    <t>Description/comment</t>
  </si>
  <si>
    <t>Action</t>
  </si>
  <si>
    <t>Responsible</t>
  </si>
  <si>
    <t>Date</t>
  </si>
  <si>
    <t>Verification</t>
  </si>
  <si>
    <t>Topic and deviation</t>
  </si>
  <si>
    <t>Precise wording of the action to correct the deviation</t>
  </si>
  <si>
    <t>Contact person at supplier</t>
  </si>
  <si>
    <t>Corrected until</t>
  </si>
  <si>
    <t>Proof of effectiveness (e.g. trainings certificate, working order,…)</t>
  </si>
  <si>
    <t>Bitte auswählen…</t>
  </si>
  <si>
    <t>System availability [%]</t>
  </si>
  <si>
    <r>
      <t xml:space="preserve">Project volume
</t>
    </r>
    <r>
      <rPr>
        <i/>
        <sz val="8"/>
        <rFont val="Audi Type"/>
        <family val="2"/>
      </rPr>
      <t>(cars/week)</t>
    </r>
  </si>
  <si>
    <r>
      <t>In system availability considered time for breaks per shift [</t>
    </r>
    <r>
      <rPr>
        <i/>
        <sz val="10"/>
        <rFont val="Audi Type"/>
        <family val="2"/>
      </rPr>
      <t>min</t>
    </r>
    <r>
      <rPr>
        <sz val="10"/>
        <rFont val="Audi Type"/>
        <family val="2"/>
      </rPr>
      <t>]</t>
    </r>
  </si>
  <si>
    <t>Capacity Calculation</t>
  </si>
  <si>
    <t>Production process</t>
  </si>
  <si>
    <t>Belgium</t>
  </si>
  <si>
    <t>Germany</t>
  </si>
  <si>
    <t>France</t>
  </si>
  <si>
    <t>United Kingdom</t>
  </si>
  <si>
    <t>Italy</t>
  </si>
  <si>
    <t>Netherlands</t>
  </si>
  <si>
    <t>Austria</t>
  </si>
  <si>
    <t>Poland</t>
  </si>
  <si>
    <t>Romania</t>
  </si>
  <si>
    <t>Spain</t>
  </si>
  <si>
    <t>Czech Republic</t>
  </si>
  <si>
    <t>Hungary</t>
  </si>
  <si>
    <t>Requirement (parts/week)</t>
  </si>
  <si>
    <t>lodged flex.:</t>
  </si>
  <si>
    <t>1 = inkl. Flex, 2 = exkl. Flex</t>
  </si>
  <si>
    <t>IST</t>
  </si>
  <si>
    <t>SOLL</t>
  </si>
  <si>
    <t>MUSS</t>
  </si>
  <si>
    <t>OEE</t>
  </si>
  <si>
    <t>etc.</t>
  </si>
  <si>
    <t>Deployment date</t>
  </si>
  <si>
    <t>Change / action</t>
  </si>
  <si>
    <t xml:space="preserve">Selected process: </t>
  </si>
  <si>
    <t>Cycle time
[sec/cycle]</t>
  </si>
  <si>
    <t>Change of
cycle time
[sec/cycle]</t>
  </si>
  <si>
    <t>Availability rate</t>
  </si>
  <si>
    <t>Performance rate</t>
  </si>
  <si>
    <t>Quality rate</t>
  </si>
  <si>
    <t>Available capacity for project [%]</t>
  </si>
  <si>
    <t>Minutes per shift</t>
  </si>
  <si>
    <t>shifts per week</t>
  </si>
  <si>
    <t>Peak production supplier
[pcs/week]</t>
  </si>
  <si>
    <t>Audi demands
[pcs/week]</t>
  </si>
  <si>
    <t>Initial situation</t>
  </si>
  <si>
    <t>1. action: reduction of scrap parts</t>
  </si>
  <si>
    <t>2. action: reduction of cycle time</t>
  </si>
  <si>
    <t>Output quantity
[pcs/week]</t>
  </si>
  <si>
    <t>Nominierung exkl. Flex</t>
  </si>
  <si>
    <t>Nominierung inkl. Flex</t>
  </si>
  <si>
    <t>Notw. Kapa für Prozess, Abnahme</t>
  </si>
  <si>
    <t>Notw. Kapa für Prozess, Plan</t>
  </si>
  <si>
    <t>Bulgaria</t>
  </si>
  <si>
    <t>Macedonia</t>
  </si>
  <si>
    <t>Moldova</t>
  </si>
  <si>
    <t>Serbia</t>
  </si>
  <si>
    <t>Slovakia</t>
  </si>
  <si>
    <t>Slovenia</t>
  </si>
  <si>
    <t>Turkey</t>
  </si>
  <si>
    <t>Albania</t>
  </si>
  <si>
    <t>Algeria</t>
  </si>
  <si>
    <t>Antigua and Barbuda</t>
  </si>
  <si>
    <t>Argentina</t>
  </si>
  <si>
    <t>Armenia</t>
  </si>
  <si>
    <t>Australia</t>
  </si>
  <si>
    <t>Azerbaijan</t>
  </si>
  <si>
    <t>Bahamas</t>
  </si>
  <si>
    <t>Belarus</t>
  </si>
  <si>
    <t>Bolivia</t>
  </si>
  <si>
    <t>Bosnia and Herzegovina</t>
  </si>
  <si>
    <t>Botswana</t>
  </si>
  <si>
    <t>Brazil</t>
  </si>
  <si>
    <t>Burkina Faso</t>
  </si>
  <si>
    <t>Burma</t>
  </si>
  <si>
    <t>Cambodia</t>
  </si>
  <si>
    <t>Cameroon</t>
  </si>
  <si>
    <t>Cape Verde</t>
  </si>
  <si>
    <t>Centralafrican Republic</t>
  </si>
  <si>
    <t>Chad</t>
  </si>
  <si>
    <t>Colombia</t>
  </si>
  <si>
    <t>Comoros</t>
  </si>
  <si>
    <t>Congo</t>
  </si>
  <si>
    <t>Congo, Democratic Republic</t>
  </si>
  <si>
    <t>Croatia</t>
  </si>
  <si>
    <t>Cuba</t>
  </si>
  <si>
    <t>Cyprus</t>
  </si>
  <si>
    <t>Denmark</t>
  </si>
  <si>
    <t>Djibouti</t>
  </si>
  <si>
    <t>Dominica</t>
  </si>
  <si>
    <t>Dominican Republic</t>
  </si>
  <si>
    <t>Egypt</t>
  </si>
  <si>
    <t>Equatorial Guinea</t>
  </si>
  <si>
    <t>Estonia</t>
  </si>
  <si>
    <t>Ethiopia</t>
  </si>
  <si>
    <t>Fiji</t>
  </si>
  <si>
    <t>Finland</t>
  </si>
  <si>
    <t>French Guyana</t>
  </si>
  <si>
    <t>Gabon</t>
  </si>
  <si>
    <t>Georgia</t>
  </si>
  <si>
    <t>Greece</t>
  </si>
  <si>
    <t>Guinea-Bissau</t>
  </si>
  <si>
    <t>Iceland</t>
  </si>
  <si>
    <t>India</t>
  </si>
  <si>
    <t>Indonesia</t>
  </si>
  <si>
    <t>Iraq</t>
  </si>
  <si>
    <t>Ireland</t>
  </si>
  <si>
    <t>Ivory Coast</t>
  </si>
  <si>
    <t>Jamaica</t>
  </si>
  <si>
    <t>Jordan</t>
  </si>
  <si>
    <t>Kazakhstan</t>
  </si>
  <si>
    <t>Kenya</t>
  </si>
  <si>
    <t>Kuweit</t>
  </si>
  <si>
    <t>Kyrgyzstan</t>
  </si>
  <si>
    <t>Lao, People´s Democatic Republic</t>
  </si>
  <si>
    <t>Latvia</t>
  </si>
  <si>
    <t>Lebanon</t>
  </si>
  <si>
    <t>Libya</t>
  </si>
  <si>
    <t>Lithuania</t>
  </si>
  <si>
    <t>Luxembourg</t>
  </si>
  <si>
    <t>Madagascar</t>
  </si>
  <si>
    <t>Maledives</t>
  </si>
  <si>
    <t>Marshall Islands</t>
  </si>
  <si>
    <t>Mauritania</t>
  </si>
  <si>
    <t>Micronesia</t>
  </si>
  <si>
    <t>Mongolia</t>
  </si>
  <si>
    <t>Morocco</t>
  </si>
  <si>
    <t>Mozambique</t>
  </si>
  <si>
    <t>Myanmar</t>
  </si>
  <si>
    <t>New Zealand</t>
  </si>
  <si>
    <t>North Korea</t>
  </si>
  <si>
    <t>North Macedonia</t>
  </si>
  <si>
    <t>Norway</t>
  </si>
  <si>
    <t>Palestine</t>
  </si>
  <si>
    <t>Papua New Guinea</t>
  </si>
  <si>
    <t>Philippines</t>
  </si>
  <si>
    <t>Russia</t>
  </si>
  <si>
    <t>Rwanda</t>
  </si>
  <si>
    <t>Saint Vincent and Grenadines</t>
  </si>
  <si>
    <t>Sao Tome and Principe</t>
  </si>
  <si>
    <t>Saudi Arabia</t>
  </si>
  <si>
    <t>Seychelles</t>
  </si>
  <si>
    <t>Singapore</t>
  </si>
  <si>
    <t>Solomon Islands</t>
  </si>
  <si>
    <t>South Africa</t>
  </si>
  <si>
    <t>South Korea</t>
  </si>
  <si>
    <t>South Sudan</t>
  </si>
  <si>
    <t>Suriname</t>
  </si>
  <si>
    <t>Swaziland</t>
  </si>
  <si>
    <t>Sweden</t>
  </si>
  <si>
    <t>Switzerland</t>
  </si>
  <si>
    <t>Syria</t>
  </si>
  <si>
    <t>Tajikistan</t>
  </si>
  <si>
    <t>Tanzania</t>
  </si>
  <si>
    <t>Timor-Leste</t>
  </si>
  <si>
    <t>Trinidad and Tobago</t>
  </si>
  <si>
    <t>Tunesia</t>
  </si>
  <si>
    <t>United Arab Emirates</t>
  </si>
  <si>
    <t>USA</t>
  </si>
  <si>
    <t>Uzbekistan</t>
  </si>
  <si>
    <t>Vatican</t>
  </si>
  <si>
    <t>Viet Nam</t>
  </si>
  <si>
    <t>Yemen</t>
  </si>
  <si>
    <t>Zambia</t>
  </si>
  <si>
    <t>Tilo Schwaderer, N/BS-4</t>
  </si>
  <si>
    <t>Verified capacity:
(Pre-Check max. "yellow"!)</t>
  </si>
  <si>
    <t>* filename + storage path max. 256 characters</t>
  </si>
  <si>
    <t>For saving or printing please choose one of the following PDF export options *:</t>
  </si>
  <si>
    <t>AU 316x</t>
  </si>
  <si>
    <t>AU 316/2</t>
  </si>
  <si>
    <t>AU 316/4</t>
  </si>
  <si>
    <t>AU651 PA</t>
  </si>
  <si>
    <t>AU651 PA NWB</t>
  </si>
  <si>
    <t>AU651 PA LWB</t>
  </si>
  <si>
    <t>AU651 PA XL</t>
  </si>
  <si>
    <t>AU51x PA</t>
  </si>
  <si>
    <t>AU516 PA</t>
  </si>
  <si>
    <t>AU513 PA</t>
  </si>
  <si>
    <t>AU536/3 PA</t>
  </si>
  <si>
    <t>AU536/0 PA</t>
  </si>
  <si>
    <t>PPE41 Q6-etr + Macan</t>
  </si>
  <si>
    <t>Macan</t>
  </si>
  <si>
    <t>AU 416/2 alle</t>
  </si>
  <si>
    <t>AU 416/2 Q6 e-tron</t>
  </si>
  <si>
    <t>AU 416/2 Q6 e-tr RS</t>
  </si>
  <si>
    <t>AU 416/3 Q6 e-tr SB</t>
  </si>
  <si>
    <t>AU 416/3 Q6 e SB RS</t>
  </si>
  <si>
    <t>AU 38x PA alle</t>
  </si>
  <si>
    <t>AU 38x PA Sportback</t>
  </si>
  <si>
    <t>AU 38x PA PHEV</t>
  </si>
  <si>
    <t>AU 38x PA Allstreet</t>
  </si>
  <si>
    <t>AU 38x PA Limo</t>
  </si>
  <si>
    <t>AU 38x PA RS SB</t>
  </si>
  <si>
    <t>AU 38x PA RS Limo</t>
  </si>
  <si>
    <t>MLB58(W) B10+C9</t>
  </si>
  <si>
    <t>AU 40x B10</t>
  </si>
  <si>
    <t>AU 401 B10 Limo</t>
  </si>
  <si>
    <t>AU 401 B10 RS Limo</t>
  </si>
  <si>
    <t>AU 402 B10 Avant</t>
  </si>
  <si>
    <t>AU 402 B10 RS Avant</t>
  </si>
  <si>
    <t>PPE41A - AU513/x</t>
  </si>
  <si>
    <t>AU513/4</t>
  </si>
  <si>
    <t>AU513/4 RS</t>
  </si>
  <si>
    <t>AU512/4</t>
  </si>
  <si>
    <t>AU512/4 RS</t>
  </si>
  <si>
    <t>AU 436 / MLB42a(W)</t>
  </si>
  <si>
    <t>AU436/0</t>
  </si>
  <si>
    <t>AU436/1</t>
  </si>
  <si>
    <t>AU513/2 PA</t>
  </si>
  <si>
    <t>AU336+SE336</t>
  </si>
  <si>
    <t>AU336/x</t>
  </si>
  <si>
    <t>AU336/0</t>
  </si>
  <si>
    <t>AU336/1</t>
  </si>
  <si>
    <t>SE336/0</t>
  </si>
  <si>
    <t>AU 59x C9</t>
  </si>
  <si>
    <t>AU 591 C9 Limo</t>
  </si>
  <si>
    <t>AU 591 C9 RS Limo</t>
  </si>
  <si>
    <t>AU 592 C9 Avant</t>
  </si>
  <si>
    <t>AU 592 C9 RS Avant</t>
  </si>
  <si>
    <t>AU 592/4 C9 Allroad</t>
  </si>
  <si>
    <t>PPE China</t>
  </si>
  <si>
    <t>AU416/2 Q6 e-tron China</t>
  </si>
  <si>
    <t>AU416/3 Q6 e-tron China</t>
  </si>
  <si>
    <t>AU511/4 A6 e-tron China</t>
  </si>
  <si>
    <t>MLB53a(W) Q7NF+Q9</t>
  </si>
  <si>
    <t>AU546 Q7NF  inkl. RS</t>
  </si>
  <si>
    <t>AU546 Q7 RS</t>
  </si>
  <si>
    <t>AU616 Q9 inkl. RS</t>
  </si>
  <si>
    <t>AU616 Q9 RS</t>
  </si>
  <si>
    <t>AU316/x</t>
  </si>
  <si>
    <t>AU316/2</t>
  </si>
  <si>
    <t>AU316/4</t>
  </si>
  <si>
    <t>SSP51H</t>
  </si>
  <si>
    <t>AU526/1</t>
  </si>
  <si>
    <t>AU526/1 BR</t>
  </si>
  <si>
    <t>AU310/6</t>
  </si>
  <si>
    <t>Bentley D-LUV</t>
  </si>
  <si>
    <t>Bentley D-SUV</t>
  </si>
  <si>
    <t>PPE41H</t>
  </si>
  <si>
    <t>Audi Landjet</t>
  </si>
  <si>
    <t>Sonstiges</t>
  </si>
  <si>
    <t>System availability planned [%]</t>
  </si>
  <si>
    <t>Nominated capacity:</t>
  </si>
  <si>
    <r>
      <t>% of parts handled in this process step [</t>
    </r>
    <r>
      <rPr>
        <i/>
        <sz val="10"/>
        <rFont val="Audi Type"/>
        <family val="2"/>
      </rPr>
      <t>%</t>
    </r>
    <r>
      <rPr>
        <sz val="10"/>
        <rFont val="Audi Type"/>
        <family val="2"/>
      </rPr>
      <t>] (Nomination)</t>
    </r>
  </si>
  <si>
    <r>
      <t>% of parts handled in this process step [</t>
    </r>
    <r>
      <rPr>
        <i/>
        <sz val="10"/>
        <rFont val="Audi Type"/>
        <family val="2"/>
      </rPr>
      <t>%</t>
    </r>
    <r>
      <rPr>
        <sz val="10"/>
        <rFont val="Audi Type"/>
        <family val="2"/>
      </rPr>
      <t>] (SFN)</t>
    </r>
  </si>
  <si>
    <t>Planned breaks included in production time [min]</t>
  </si>
  <si>
    <t>Planned interruptions (set up time etc.)</t>
  </si>
  <si>
    <t>Not planned interruptions (downtime)</t>
  </si>
  <si>
    <r>
      <t xml:space="preserve">Availability rate </t>
    </r>
    <r>
      <rPr>
        <b/>
        <sz val="10"/>
        <rFont val="Audi Type"/>
        <family val="2"/>
      </rPr>
      <t>excluding breaks</t>
    </r>
    <r>
      <rPr>
        <sz val="10"/>
        <rFont val="Audi Type"/>
        <family val="2"/>
      </rPr>
      <t xml:space="preserve"> (observed)</t>
    </r>
  </si>
  <si>
    <r>
      <t>System availability (</t>
    </r>
    <r>
      <rPr>
        <b/>
        <sz val="10"/>
        <rFont val="Audi Type"/>
        <family val="2"/>
      </rPr>
      <t>excluding breaks</t>
    </r>
    <r>
      <rPr>
        <sz val="10"/>
        <rFont val="Audi Type"/>
        <family val="2"/>
      </rPr>
      <t>) [</t>
    </r>
    <r>
      <rPr>
        <i/>
        <sz val="10"/>
        <rFont val="Audi Type"/>
        <family val="2"/>
      </rPr>
      <t>%</t>
    </r>
    <r>
      <rPr>
        <sz val="10"/>
        <rFont val="Audi Type"/>
        <family val="2"/>
      </rPr>
      <t>]</t>
    </r>
  </si>
  <si>
    <t>OEE (Overall Equipment Effectiveness) (observed)</t>
  </si>
  <si>
    <r>
      <t>System availability (breaks not included) [</t>
    </r>
    <r>
      <rPr>
        <i/>
        <sz val="10"/>
        <rFont val="Audi Type"/>
        <family val="2"/>
      </rPr>
      <t>%</t>
    </r>
    <r>
      <rPr>
        <sz val="10"/>
        <rFont val="Audi Type"/>
        <family val="2"/>
      </rPr>
      <t>]</t>
    </r>
  </si>
  <si>
    <r>
      <t>Minutes/shift (breaks not included, net working time) [</t>
    </r>
    <r>
      <rPr>
        <i/>
        <sz val="10"/>
        <rFont val="Audi Type"/>
        <family val="2"/>
      </rPr>
      <t>min</t>
    </r>
    <r>
      <rPr>
        <sz val="10"/>
        <rFont val="Audi Type"/>
        <family val="2"/>
      </rPr>
      <t>]</t>
    </r>
  </si>
  <si>
    <t>Available production time for project [h/week]</t>
  </si>
  <si>
    <t>Cycle time</t>
  </si>
  <si>
    <t>nicht erfüllt</t>
  </si>
  <si>
    <t>erfüllt</t>
  </si>
  <si>
    <t>bedingt
erfüllt</t>
  </si>
  <si>
    <t>The supplier analyses the reasons for the deviations and defines countermeasures, immediate measures and corrective actions including responsibilities and planned dates of introduction. This information must be sent back within 14 days.</t>
  </si>
  <si>
    <t>Prozess 1</t>
  </si>
  <si>
    <t>Prozess 2</t>
  </si>
  <si>
    <t>Prozess 3</t>
  </si>
  <si>
    <t>Prozess 4</t>
  </si>
  <si>
    <t>Prozess 5</t>
  </si>
  <si>
    <t>Prozess 6</t>
  </si>
  <si>
    <t>Prozess 7</t>
  </si>
  <si>
    <t>Prozess 8</t>
  </si>
  <si>
    <t>Prozess 9</t>
  </si>
  <si>
    <t>Prozess 10</t>
  </si>
  <si>
    <t>Prozess 11</t>
  </si>
  <si>
    <t>Prozess 12</t>
  </si>
  <si>
    <t>Schaeffler Trading(Shanghai) Co., Ltd</t>
    <phoneticPr fontId="76" type="noConversion"/>
  </si>
  <si>
    <t>85D 407 621/85D 407 621 A</t>
    <phoneticPr fontId="76" type="noConversion"/>
  </si>
  <si>
    <t>Wheel Bearing</t>
    <phoneticPr fontId="76" type="noConversion"/>
  </si>
  <si>
    <t>China</t>
    <phoneticPr fontId="76" type="noConversion"/>
  </si>
  <si>
    <t>No. 1 Antuo Road,Anting jiading District,
201804 Shanghai</t>
    <phoneticPr fontId="76" type="noConversion"/>
  </si>
  <si>
    <t>Chen, Dongyi</t>
    <phoneticPr fontId="76" type="noConversion"/>
  </si>
  <si>
    <t>00N7422800</t>
    <phoneticPr fontId="76" type="noConversion"/>
  </si>
  <si>
    <t>Li Jiajun (C/OP-5)</t>
    <phoneticPr fontId="76" type="noConversion"/>
  </si>
  <si>
    <t>Audi Supply Chain Great Asia</t>
    <phoneticPr fontId="76" type="noConversion"/>
  </si>
  <si>
    <t>Li, Chunzhi (P/BL)
Przeradzki, Thomas (P/GQ-51)
Li Jiajun (C/OP-5)</t>
    <phoneticPr fontId="76" type="noConversion"/>
  </si>
  <si>
    <t>85D 407 621 A</t>
    <phoneticPr fontId="76" type="noConversion"/>
  </si>
  <si>
    <t>AU416 &amp; AU511 AWD (Driven)</t>
    <phoneticPr fontId="75" type="noConversion"/>
  </si>
  <si>
    <t>AU416 &amp; AU511 RWD (N-Driven)</t>
    <phoneticPr fontId="75" type="noConversion"/>
  </si>
  <si>
    <t>85D 407 621</t>
    <phoneticPr fontId="75" type="noConversion"/>
  </si>
  <si>
    <t>AU416 &amp; AU511 RWD (Driven)</t>
    <phoneticPr fontId="75" type="noConversion"/>
  </si>
  <si>
    <t>85D 407 621 A</t>
    <phoneticPr fontId="75" type="noConversion"/>
  </si>
  <si>
    <t xml:space="preserve"> IR HT</t>
    <phoneticPr fontId="76" type="noConversion"/>
  </si>
  <si>
    <t>IR Grinding</t>
  </si>
  <si>
    <t>AU Grinding</t>
  </si>
  <si>
    <t>FL Grinding</t>
  </si>
  <si>
    <t>MVM1</t>
    <phoneticPr fontId="76" type="noConversion"/>
  </si>
  <si>
    <t>MVM2</t>
    <phoneticPr fontId="76" type="noConversion"/>
  </si>
  <si>
    <t>WNM+PM</t>
    <phoneticPr fontId="76" type="noConversion"/>
  </si>
  <si>
    <r>
      <t>Broaching+</t>
    </r>
    <r>
      <rPr>
        <sz val="10"/>
        <color rgb="FFFF0000"/>
        <rFont val="Audi Type"/>
        <family val="2"/>
      </rPr>
      <t>Run out turning</t>
    </r>
    <r>
      <rPr>
        <sz val="10"/>
        <rFont val="Audi Type"/>
        <family val="2"/>
      </rPr>
      <t>+DMM</t>
    </r>
  </si>
  <si>
    <t>Washing+MPM1</t>
    <phoneticPr fontId="76" type="noConversion"/>
  </si>
  <si>
    <t>MPM2</t>
    <phoneticPr fontId="76" type="noConversion"/>
  </si>
  <si>
    <t>heat treatment</t>
  </si>
  <si>
    <t>grinding and honing</t>
  </si>
  <si>
    <t>Inspection station for P1 &amp; P2</t>
  </si>
  <si>
    <r>
      <rPr>
        <b/>
        <sz val="10"/>
        <rFont val="Audi Type"/>
        <family val="2"/>
      </rPr>
      <t>Ramp-up situation:</t>
    </r>
    <r>
      <rPr>
        <sz val="10"/>
        <rFont val="Audi Type"/>
        <family val="2"/>
      </rPr>
      <t xml:space="preserve">
Run 3 machines in parallel
</t>
    </r>
    <r>
      <rPr>
        <b/>
        <sz val="10"/>
        <rFont val="Audi Type"/>
        <family val="2"/>
      </rPr>
      <t>Series production situation:</t>
    </r>
    <r>
      <rPr>
        <sz val="10"/>
        <rFont val="Audi Type"/>
        <family val="2"/>
      </rPr>
      <t xml:space="preserve">
possible "1+2" structure</t>
    </r>
  </si>
  <si>
    <t>Bottleneck process</t>
  </si>
  <si>
    <t>Inspection station for P3 &amp; P4</t>
  </si>
  <si>
    <t>Inspection station after P5</t>
  </si>
  <si>
    <t>2 tools in (run out truning) each station, but the cycle time recording only identify single station (not each tool)</t>
  </si>
  <si>
    <t>2025/06/12-06/13</t>
    <phoneticPr fontId="76" type="noConversion"/>
  </si>
  <si>
    <t>Whole production line</t>
    <phoneticPr fontId="76" type="noConversion"/>
  </si>
  <si>
    <r>
      <rPr>
        <b/>
        <sz val="10"/>
        <color theme="1"/>
        <rFont val="Audi Type"/>
        <family val="2"/>
      </rPr>
      <t xml:space="preserve">Overview:
Capacity target: 4,003cars (16,012parts)/week (PCA3 capacity target)
- Result: Proved capacity is 18,688parts/week. Successfully passed the PCA3 (R@R2) capacity test.
Details:
</t>
    </r>
    <r>
      <rPr>
        <sz val="10"/>
        <color theme="1"/>
        <rFont val="Audi Type"/>
        <family val="2"/>
      </rPr>
      <t xml:space="preserve">- All machines were turn on in PCA3 on-site checking.
- The interruptions will not be recorded in MES if the stopping time is shorter than 3min. (by MES function setup)
- The running situation is better than PCA3(R@R1), the "Unplanned interruptions" was recorded by 7mins (of nearly 27 hours). (refer to &lt;Record and Calculation sheet&gt;)
- The average C.T. of this R@R2 is 8.8secs (Planned C.T. is 8.5secs).
</t>
    </r>
    <r>
      <rPr>
        <b/>
        <sz val="10"/>
        <color theme="1"/>
        <rFont val="Audi Type"/>
        <family val="2"/>
      </rPr>
      <t>-  "Planned system availability" is 70.4% by below factors (R@R1 is 68.5%):</t>
    </r>
    <r>
      <rPr>
        <sz val="10"/>
        <color theme="1"/>
        <rFont val="Audi Type"/>
        <family val="2"/>
      </rPr>
      <t xml:space="preserve">
1) Breaks were shorter than RR1. (from 65min/shift to 60min/shift)
2) Unplanned interruption was shorter than RR1. (from 17.1min/shift to 3.1min/shift)
3) The "Change Over" (Planned interruption/Setup time) was longer than RR1. (from 145min/shift to 150min/shift)</t>
    </r>
    <phoneticPr fontId="7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</si>
</sst>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0">
    <numFmt numFmtId="176" formatCode="_-* #,##0.00\ _€_-;\-* #,##0.00\ _€_-;_-* &quot;-&quot;??\ _€_-;_-@_-"/>
    <numFmt numFmtId="177" formatCode="0\ &quot;Teile/Woche&quot;"/>
    <numFmt numFmtId="178" formatCode="#"/>
    <numFmt numFmtId="179" formatCode="_-* #,##0\ _€_-;\-* #,##0\ _€_-;_-* &quot;-&quot;??\ _€_-;_-@_-"/>
    <numFmt numFmtId="180" formatCode="0\ &quot;Schichten/Woche&quot;"/>
    <numFmt numFmtId="181" formatCode="#,##0\ &quot;Stk/Woche&quot;"/>
    <numFmt numFmtId="182" formatCode="0\ &quot;min&quot;"/>
    <numFmt numFmtId="183" formatCode="0.00\ &quot;h&quot;"/>
    <numFmt numFmtId="184" formatCode="#,##0\ &quot;min&quot;"/>
    <numFmt numFmtId="185" formatCode="#,##0.00\ &quot;h&quot;"/>
    <numFmt numFmtId="186" formatCode="[$-F400]h:mm:ss\ AM/PM"/>
    <numFmt numFmtId="187" formatCode="h:mm;@"/>
    <numFmt numFmtId="188" formatCode="#,##0.00\ &quot;h/Woche&quot;"/>
    <numFmt numFmtId="189" formatCode="0.0%"/>
    <numFmt numFmtId="190" formatCode="0.0\ &quot;sec&quot;"/>
    <numFmt numFmtId="191" formatCode="[$-409]mmmm\ d\,\ yyyy;@"/>
    <numFmt numFmtId="192" formatCode="0\ &quot;Shifts/week&quot;"/>
    <numFmt numFmtId="193" formatCode="0\ &quot;parts/car&quot;"/>
    <numFmt numFmtId="194" formatCode="#,##0\ &quot;parts/week&quot;"/>
    <numFmt numFmtId="195" formatCode="0.00\ &quot;h/week&quot;"/>
    <numFmt numFmtId="196" formatCode="0\ &quot;pers.&quot;"/>
    <numFmt numFmtId="197" formatCode="#,##0\ &quot;parts/shift&quot;"/>
    <numFmt numFmtId="198" formatCode="#,##0\ &quot;cars/week&quot;"/>
    <numFmt numFmtId="199" formatCode="#,##0\ &quot;parts&quot;"/>
    <numFmt numFmtId="200" formatCode="#,##0.0\ &quot;sec&quot;"/>
    <numFmt numFmtId="201" formatCode="#,##0\ &quot;pcs/week&quot;"/>
    <numFmt numFmtId="202" formatCode="#,##0\ &quot;shifts/week&quot;"/>
    <numFmt numFmtId="203" formatCode="#,##0\ &quot;min/shift&quot;"/>
    <numFmt numFmtId="204" formatCode="#,##0\ &quot;cav&quot;"/>
    <numFmt numFmtId="205" formatCode="#,##0\ &quot;tools&quot;"/>
    <numFmt numFmtId="206" formatCode="mm/dd/yy;@"/>
    <numFmt numFmtId="207" formatCode="0\ &quot;Stk/Fzg&quot;"/>
    <numFmt numFmtId="208" formatCode="#,##0\ &quot;Teile&quot;"/>
    <numFmt numFmtId="209" formatCode="0\ &quot;tool(s)&quot;"/>
    <numFmt numFmtId="210" formatCode="0\ &quot;cavity(s)&quot;"/>
    <numFmt numFmtId="211" formatCode="0.0\ &quot;shift(s)&quot;"/>
    <numFmt numFmtId="212" formatCode="0\ &quot;&lt;OR RW Grinding&gt; station(s)&quot;"/>
    <numFmt numFmtId="213" formatCode="0\ &quot;&lt;FL RW Grinding&gt; station(s)&quot;"/>
    <numFmt numFmtId="214" formatCode="0\ &quot;&lt;Run out truning&gt; station(s)&quot;"/>
    <numFmt numFmtId="215" formatCode="0\ &quot;&lt;Washing&gt; station(s)&quot;"/>
  </numFmts>
  <fonts count="77" x14ac:knownFonts="1">
    <font>
      <sz val="11"/>
      <color theme="1"/>
      <name val="Arial"/>
      <family val="2"/>
      <scheme val="minor"/>
    </font>
    <font>
      <sz val="11"/>
      <color theme="1"/>
      <name val="Audi Type"/>
      <family val="2"/>
    </font>
    <font>
      <sz val="11"/>
      <color theme="1"/>
      <name val="Arial"/>
      <family val="2"/>
      <scheme val="minor"/>
    </font>
    <font>
      <sz val="10"/>
      <color theme="1"/>
      <name val="Audi Type"/>
      <family val="2"/>
    </font>
    <font>
      <b/>
      <sz val="10"/>
      <color theme="1"/>
      <name val="Audi Type"/>
      <family val="2"/>
    </font>
    <font>
      <b/>
      <sz val="11"/>
      <color theme="1"/>
      <name val="Audi Type"/>
      <family val="2"/>
    </font>
    <font>
      <b/>
      <sz val="14"/>
      <color theme="1"/>
      <name val="Audi Type"/>
      <family val="2"/>
    </font>
    <font>
      <b/>
      <sz val="16"/>
      <color theme="1"/>
      <name val="Audi Type"/>
      <family val="2"/>
    </font>
    <font>
      <sz val="10"/>
      <name val="Arial"/>
      <family val="2"/>
    </font>
    <font>
      <sz val="10"/>
      <name val="Audi Type"/>
      <family val="2"/>
    </font>
    <font>
      <b/>
      <sz val="10"/>
      <name val="Audi Type"/>
      <family val="2"/>
    </font>
    <font>
      <sz val="11"/>
      <color theme="1"/>
      <name val="Audi Type"/>
      <family val="2"/>
    </font>
    <font>
      <sz val="10"/>
      <color theme="0"/>
      <name val="Audi Type"/>
      <family val="2"/>
    </font>
    <font>
      <sz val="6"/>
      <color theme="1"/>
      <name val="Audi Type"/>
      <family val="2"/>
    </font>
    <font>
      <sz val="6"/>
      <color theme="0"/>
      <name val="Audi Type"/>
      <family val="2"/>
    </font>
    <font>
      <sz val="16"/>
      <color theme="1"/>
      <name val="Audi Type"/>
      <family val="2"/>
    </font>
    <font>
      <sz val="20"/>
      <color theme="1"/>
      <name val="Audi Type"/>
      <family val="2"/>
    </font>
    <font>
      <b/>
      <sz val="28"/>
      <color theme="1"/>
      <name val="Audi Type"/>
      <family val="2"/>
    </font>
    <font>
      <sz val="2"/>
      <color theme="1"/>
      <name val="Audi Type"/>
      <family val="2"/>
    </font>
    <font>
      <b/>
      <sz val="11"/>
      <color theme="0"/>
      <name val="Audi Type"/>
      <family val="2"/>
    </font>
    <font>
      <sz val="28"/>
      <color theme="1"/>
      <name val="Audi Type"/>
      <family val="2"/>
    </font>
    <font>
      <b/>
      <sz val="12"/>
      <color theme="1"/>
      <name val="Audi Type"/>
      <family val="2"/>
    </font>
    <font>
      <b/>
      <sz val="6"/>
      <color theme="1"/>
      <name val="Audi Type"/>
      <family val="2"/>
    </font>
    <font>
      <b/>
      <sz val="11"/>
      <color rgb="FFFF0000"/>
      <name val="Audi Type"/>
      <family val="2"/>
    </font>
    <font>
      <sz val="14"/>
      <color theme="1"/>
      <name val="Audi Type"/>
      <family val="2"/>
    </font>
    <font>
      <sz val="8"/>
      <color theme="1"/>
      <name val="Audi Type"/>
      <family val="2"/>
    </font>
    <font>
      <b/>
      <sz val="20"/>
      <color theme="1"/>
      <name val="Audi Type"/>
      <family val="2"/>
    </font>
    <font>
      <b/>
      <sz val="6"/>
      <color theme="0"/>
      <name val="Audi Type"/>
      <family val="2"/>
    </font>
    <font>
      <sz val="16"/>
      <color theme="0"/>
      <name val="Audi Type"/>
      <family val="2"/>
    </font>
    <font>
      <sz val="9"/>
      <color indexed="81"/>
      <name val="Tahoma"/>
      <family val="2"/>
    </font>
    <font>
      <b/>
      <sz val="9"/>
      <color indexed="81"/>
      <name val="Tahoma"/>
      <family val="2"/>
    </font>
    <font>
      <b/>
      <sz val="16"/>
      <name val="Audi Type"/>
      <family val="2"/>
    </font>
    <font>
      <b/>
      <sz val="14"/>
      <name val="Audi Type"/>
      <family val="2"/>
    </font>
    <font>
      <sz val="20"/>
      <name val="Audi Type"/>
      <family val="2"/>
    </font>
    <font>
      <sz val="6"/>
      <name val="Audi Type"/>
      <family val="2"/>
    </font>
    <font>
      <sz val="11"/>
      <name val="Audi Type"/>
      <family val="2"/>
    </font>
    <font>
      <sz val="28"/>
      <name val="Audi Type"/>
      <family val="2"/>
    </font>
    <font>
      <sz val="14"/>
      <name val="Audi Type"/>
      <family val="2"/>
    </font>
    <font>
      <u/>
      <sz val="10"/>
      <name val="Audi Type"/>
      <family val="2"/>
    </font>
    <font>
      <b/>
      <sz val="11"/>
      <name val="Audi Type"/>
      <family val="2"/>
    </font>
    <font>
      <i/>
      <sz val="10"/>
      <name val="Audi Type"/>
      <family val="2"/>
    </font>
    <font>
      <i/>
      <sz val="10"/>
      <color theme="1"/>
      <name val="Audi Type"/>
      <family val="2"/>
    </font>
    <font>
      <sz val="8"/>
      <color rgb="FF000000"/>
      <name val="Tahoma"/>
      <family val="2"/>
    </font>
    <font>
      <sz val="1"/>
      <color theme="0"/>
      <name val="Audi Type"/>
      <family val="2"/>
    </font>
    <font>
      <sz val="10"/>
      <color rgb="FFFF0000"/>
      <name val="Audi Type"/>
      <family val="2"/>
    </font>
    <font>
      <sz val="6"/>
      <color rgb="FFFF0000"/>
      <name val="Audi Type"/>
      <family val="2"/>
    </font>
    <font>
      <sz val="20"/>
      <color rgb="FFFF0000"/>
      <name val="Audi Type"/>
      <family val="2"/>
    </font>
    <font>
      <sz val="18"/>
      <color rgb="FFFF0000"/>
      <name val="Audi Type"/>
      <family val="2"/>
    </font>
    <font>
      <sz val="14"/>
      <color rgb="FFFF0000"/>
      <name val="Audi Type"/>
      <family val="2"/>
    </font>
    <font>
      <i/>
      <sz val="8"/>
      <name val="Audi Type"/>
      <family val="2"/>
    </font>
    <font>
      <sz val="8"/>
      <name val="Audi Type"/>
      <family val="2"/>
    </font>
    <font>
      <b/>
      <sz val="8"/>
      <name val="Audi Type"/>
      <family val="2"/>
    </font>
    <font>
      <sz val="24"/>
      <name val="Audi Type"/>
      <family val="2"/>
    </font>
    <font>
      <sz val="18"/>
      <name val="Audi Type"/>
      <family val="2"/>
    </font>
    <font>
      <sz val="11"/>
      <color rgb="FF000000"/>
      <name val="Arial"/>
      <family val="2"/>
    </font>
    <font>
      <sz val="36"/>
      <color theme="1"/>
      <name val="Audi Type"/>
      <family val="2"/>
    </font>
    <font>
      <sz val="30"/>
      <color theme="1"/>
      <name val="Audi Type"/>
      <family val="2"/>
    </font>
    <font>
      <sz val="22"/>
      <name val="Audi Type"/>
      <family val="2"/>
    </font>
    <font>
      <b/>
      <sz val="8"/>
      <color theme="9"/>
      <name val="Audi Type"/>
      <family val="2"/>
    </font>
    <font>
      <sz val="9"/>
      <color indexed="81"/>
      <name val="Segoe UI"/>
      <family val="2"/>
    </font>
    <font>
      <sz val="9"/>
      <color theme="1"/>
      <name val="Audi Type"/>
      <family val="2"/>
    </font>
    <font>
      <b/>
      <sz val="9"/>
      <color theme="1"/>
      <name val="Audi Type"/>
      <family val="2"/>
    </font>
    <font>
      <sz val="3"/>
      <color theme="1"/>
      <name val="Audi Type"/>
      <family val="2"/>
    </font>
    <font>
      <b/>
      <sz val="8"/>
      <color rgb="FFC00000"/>
      <name val="Audi Type"/>
      <family val="2"/>
    </font>
    <font>
      <b/>
      <sz val="8"/>
      <name val="Calibri"/>
      <family val="2"/>
    </font>
    <font>
      <b/>
      <sz val="11"/>
      <color theme="1"/>
      <name val="Arial"/>
      <family val="2"/>
      <scheme val="minor"/>
    </font>
    <font>
      <b/>
      <sz val="9"/>
      <color indexed="81"/>
      <name val="Segoe UI"/>
      <family val="2"/>
    </font>
    <font>
      <b/>
      <sz val="11"/>
      <color theme="0"/>
      <name val="Arial"/>
      <family val="2"/>
      <scheme val="minor"/>
    </font>
    <font>
      <sz val="6"/>
      <color theme="1"/>
      <name val="Arial"/>
      <family val="2"/>
      <scheme val="minor"/>
    </font>
    <font>
      <sz val="40"/>
      <color theme="1"/>
      <name val="Audi Type"/>
      <family val="2"/>
    </font>
    <font>
      <sz val="36"/>
      <color theme="0"/>
      <name val="Audi Type"/>
      <family val="2"/>
    </font>
    <font>
      <b/>
      <sz val="20"/>
      <color theme="0"/>
      <name val="Audi Type"/>
      <family val="2"/>
    </font>
    <font>
      <sz val="9"/>
      <name val="Audi Type"/>
      <family val="2"/>
    </font>
    <font>
      <sz val="3"/>
      <name val="Audi Type"/>
      <family val="2"/>
    </font>
    <font>
      <sz val="8"/>
      <name val="Arial"/>
      <family val="2"/>
      <scheme val="minor"/>
    </font>
    <font>
      <sz val="9"/>
      <name val="DengXian"/>
      <family val="3"/>
      <charset val="134"/>
      <scheme val="minor"/>
    </font>
    <font>
      <sz val="9"/>
      <name val="Arial"/>
      <family val="3"/>
      <charset val="134"/>
      <scheme val="minor"/>
    </font>
  </fonts>
  <fills count="1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8" tint="0.79998168889431442"/>
        <bgColor indexed="64"/>
      </patternFill>
    </fill>
    <fill>
      <patternFill patternType="solid">
        <fgColor theme="2"/>
        <bgColor indexed="64"/>
      </patternFill>
    </fill>
    <fill>
      <patternFill patternType="solid">
        <fgColor theme="4"/>
        <bgColor indexed="64"/>
      </patternFill>
    </fill>
    <fill>
      <patternFill patternType="solid">
        <fgColor theme="9" tint="0.79998168889431442"/>
        <bgColor indexed="64"/>
      </patternFill>
    </fill>
    <fill>
      <patternFill patternType="solid">
        <fgColor theme="2" tint="0.79998168889431442"/>
        <bgColor indexed="64"/>
      </patternFill>
    </fill>
    <fill>
      <patternFill patternType="solid">
        <fgColor theme="0" tint="-0.14996795556505021"/>
        <bgColor indexed="64"/>
      </patternFill>
    </fill>
    <fill>
      <patternFill patternType="solid">
        <fgColor rgb="FFFFFF00"/>
        <bgColor indexed="64"/>
      </patternFill>
    </fill>
    <fill>
      <patternFill patternType="solid">
        <fgColor rgb="FF00B0F0"/>
        <bgColor indexed="64"/>
      </patternFill>
    </fill>
    <fill>
      <patternFill patternType="solid">
        <fgColor theme="7" tint="-0.249977111117893"/>
        <bgColor indexed="64"/>
      </patternFill>
    </fill>
  </fills>
  <borders count="9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hair">
        <color auto="1"/>
      </bottom>
      <diagonal/>
    </border>
    <border>
      <left/>
      <right/>
      <top style="hair">
        <color auto="1"/>
      </top>
      <bottom style="hair">
        <color auto="1"/>
      </bottom>
      <diagonal/>
    </border>
    <border>
      <left/>
      <right/>
      <top style="hair">
        <color auto="1"/>
      </top>
      <bottom/>
      <diagonal/>
    </border>
    <border>
      <left/>
      <right/>
      <top style="medium">
        <color indexed="64"/>
      </top>
      <bottom style="medium">
        <color indexed="64"/>
      </bottom>
      <diagonal/>
    </border>
    <border>
      <left/>
      <right/>
      <top style="thin">
        <color indexed="64"/>
      </top>
      <bottom/>
      <diagonal/>
    </border>
    <border>
      <left/>
      <right style="hair">
        <color auto="1"/>
      </right>
      <top/>
      <bottom style="hair">
        <color auto="1"/>
      </bottom>
      <diagonal/>
    </border>
    <border>
      <left/>
      <right style="hair">
        <color auto="1"/>
      </right>
      <top style="hair">
        <color auto="1"/>
      </top>
      <bottom style="hair">
        <color auto="1"/>
      </bottom>
      <diagonal/>
    </border>
    <border>
      <left/>
      <right style="hair">
        <color auto="1"/>
      </right>
      <top style="hair">
        <color auto="1"/>
      </top>
      <bottom/>
      <diagonal/>
    </border>
    <border>
      <left/>
      <right/>
      <top style="medium">
        <color indexed="64"/>
      </top>
      <bottom style="hair">
        <color indexed="64"/>
      </bottom>
      <diagonal/>
    </border>
    <border>
      <left style="medium">
        <color indexed="64"/>
      </left>
      <right/>
      <top/>
      <bottom style="medium">
        <color theme="0"/>
      </bottom>
      <diagonal/>
    </border>
    <border>
      <left/>
      <right/>
      <top/>
      <bottom style="medium">
        <color theme="0"/>
      </bottom>
      <diagonal/>
    </border>
    <border>
      <left/>
      <right style="medium">
        <color indexed="64"/>
      </right>
      <top/>
      <bottom style="medium">
        <color theme="0"/>
      </bottom>
      <diagonal/>
    </border>
    <border>
      <left/>
      <right/>
      <top style="thin">
        <color indexed="64"/>
      </top>
      <bottom style="thin">
        <color indexed="64"/>
      </bottom>
      <diagonal/>
    </border>
    <border>
      <left style="medium">
        <color indexed="64"/>
      </left>
      <right style="medium">
        <color indexed="64"/>
      </right>
      <top/>
      <bottom/>
      <diagonal/>
    </border>
    <border>
      <left style="hair">
        <color auto="1"/>
      </left>
      <right/>
      <top/>
      <bottom/>
      <diagonal/>
    </border>
    <border>
      <left style="hair">
        <color auto="1"/>
      </left>
      <right/>
      <top/>
      <bottom style="hair">
        <color auto="1"/>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thin">
        <color indexed="64"/>
      </left>
      <right/>
      <top/>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right style="thin">
        <color auto="1"/>
      </right>
      <top style="hair">
        <color indexed="64"/>
      </top>
      <bottom style="hair">
        <color indexed="64"/>
      </bottom>
      <diagonal/>
    </border>
    <border>
      <left/>
      <right style="thin">
        <color auto="1"/>
      </right>
      <top style="hair">
        <color indexed="64"/>
      </top>
      <bottom/>
      <diagonal/>
    </border>
    <border>
      <left/>
      <right style="thin">
        <color indexed="64"/>
      </right>
      <top/>
      <bottom style="thin">
        <color indexed="64"/>
      </bottom>
      <diagonal/>
    </border>
    <border>
      <left/>
      <right style="hair">
        <color auto="1"/>
      </right>
      <top/>
      <bottom/>
      <diagonal/>
    </border>
    <border>
      <left style="hair">
        <color auto="1"/>
      </left>
      <right style="hair">
        <color auto="1"/>
      </right>
      <top/>
      <bottom/>
      <diagonal/>
    </border>
    <border>
      <left style="hair">
        <color auto="1"/>
      </left>
      <right style="hair">
        <color auto="1"/>
      </right>
      <top/>
      <bottom style="hair">
        <color auto="1"/>
      </bottom>
      <diagonal/>
    </border>
    <border>
      <left/>
      <right/>
      <top style="hair">
        <color auto="1"/>
      </top>
      <bottom style="medium">
        <color indexed="64"/>
      </bottom>
      <diagonal/>
    </border>
    <border>
      <left style="medium">
        <color indexed="64"/>
      </left>
      <right style="hair">
        <color indexed="64"/>
      </right>
      <top/>
      <bottom style="medium">
        <color indexed="64"/>
      </bottom>
      <diagonal/>
    </border>
    <border>
      <left style="medium">
        <color indexed="64"/>
      </left>
      <right style="hair">
        <color indexed="64"/>
      </right>
      <top style="medium">
        <color indexed="64"/>
      </top>
      <bottom style="hair">
        <color indexed="64"/>
      </bottom>
      <diagonal/>
    </border>
    <border>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right style="hair">
        <color indexed="64"/>
      </right>
      <top/>
      <bottom style="medium">
        <color indexed="64"/>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bottom style="medium">
        <color indexed="64"/>
      </bottom>
      <diagonal/>
    </border>
    <border>
      <left style="hair">
        <color indexed="64"/>
      </left>
      <right/>
      <top style="hair">
        <color indexed="64"/>
      </top>
      <bottom style="medium">
        <color indexed="64"/>
      </bottom>
      <diagonal/>
    </border>
    <border>
      <left style="thin">
        <color indexed="64"/>
      </left>
      <right/>
      <top/>
      <bottom style="thin">
        <color indexed="64"/>
      </bottom>
      <diagonal/>
    </border>
    <border>
      <left style="thin">
        <color indexed="64"/>
      </left>
      <right/>
      <top/>
      <bottom style="hair">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medium">
        <color indexed="64"/>
      </top>
      <bottom style="medium">
        <color indexed="64"/>
      </bottom>
      <diagonal/>
    </border>
    <border>
      <left/>
      <right style="thin">
        <color auto="1"/>
      </right>
      <top style="thin">
        <color indexed="64"/>
      </top>
      <bottom style="hair">
        <color indexed="64"/>
      </bottom>
      <diagonal/>
    </border>
    <border>
      <left style="hair">
        <color indexed="64"/>
      </left>
      <right/>
      <top style="medium">
        <color indexed="64"/>
      </top>
      <bottom style="hair">
        <color indexed="64"/>
      </bottom>
      <diagonal/>
    </border>
    <border>
      <left style="hair">
        <color indexed="64"/>
      </left>
      <right/>
      <top/>
      <bottom style="medium">
        <color indexed="64"/>
      </bottom>
      <diagonal/>
    </border>
    <border>
      <left style="hair">
        <color theme="0" tint="-0.34998626667073579"/>
      </left>
      <right style="hair">
        <color auto="1"/>
      </right>
      <top/>
      <bottom style="hair">
        <color auto="1"/>
      </bottom>
      <diagonal/>
    </border>
    <border>
      <left style="hair">
        <color theme="0" tint="-0.34998626667073579"/>
      </left>
      <right style="hair">
        <color auto="1"/>
      </right>
      <top style="hair">
        <color auto="1"/>
      </top>
      <bottom style="hair">
        <color auto="1"/>
      </bottom>
      <diagonal/>
    </border>
    <border>
      <left style="hair">
        <color theme="0" tint="-0.34998626667073579"/>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auto="1"/>
      </top>
      <bottom style="hair">
        <color auto="1"/>
      </bottom>
      <diagonal/>
    </border>
    <border>
      <left style="thin">
        <color indexed="64"/>
      </left>
      <right style="thin">
        <color indexed="64"/>
      </right>
      <top style="hair">
        <color auto="1"/>
      </top>
      <bottom/>
      <diagonal/>
    </border>
    <border>
      <left/>
      <right/>
      <top style="medium">
        <color indexed="64"/>
      </top>
      <bottom style="thin">
        <color indexed="64"/>
      </bottom>
      <diagonal/>
    </border>
    <border>
      <left style="medium">
        <color indexed="64"/>
      </left>
      <right style="thin">
        <color indexed="64"/>
      </right>
      <top/>
      <bottom/>
      <diagonal/>
    </border>
    <border>
      <left style="hair">
        <color indexed="64"/>
      </left>
      <right style="hair">
        <color indexed="64"/>
      </right>
      <top style="hair">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n">
        <color indexed="64"/>
      </left>
      <right style="thin">
        <color indexed="64"/>
      </right>
      <top/>
      <bottom style="thin">
        <color indexed="64"/>
      </bottom>
      <diagonal/>
    </border>
    <border>
      <left style="thick">
        <color indexed="64"/>
      </left>
      <right style="thick">
        <color indexed="64"/>
      </right>
      <top/>
      <bottom style="thin">
        <color indexed="64"/>
      </bottom>
      <diagonal/>
    </border>
    <border>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style="thick">
        <color indexed="64"/>
      </left>
      <right style="thin">
        <color indexed="64"/>
      </right>
      <top style="thin">
        <color indexed="64"/>
      </top>
      <bottom style="dotted">
        <color indexed="64"/>
      </bottom>
      <diagonal/>
    </border>
    <border>
      <left style="thin">
        <color indexed="64"/>
      </left>
      <right style="thick">
        <color indexed="64"/>
      </right>
      <top style="thin">
        <color indexed="64"/>
      </top>
      <bottom style="dotted">
        <color indexed="64"/>
      </bottom>
      <diagonal/>
    </border>
    <border>
      <left style="thin">
        <color indexed="64"/>
      </left>
      <right style="thin">
        <color indexed="64"/>
      </right>
      <top style="thin">
        <color indexed="64"/>
      </top>
      <bottom style="dotted">
        <color indexed="64"/>
      </bottom>
      <diagonal/>
    </border>
    <border>
      <left style="thick">
        <color indexed="64"/>
      </left>
      <right style="thick">
        <color indexed="64"/>
      </right>
      <top style="thin">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thick">
        <color indexed="64"/>
      </left>
      <right style="thin">
        <color indexed="64"/>
      </right>
      <top style="dotted">
        <color indexed="64"/>
      </top>
      <bottom style="dotted">
        <color indexed="64"/>
      </bottom>
      <diagonal/>
    </border>
    <border>
      <left style="thin">
        <color indexed="64"/>
      </left>
      <right style="thick">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ck">
        <color indexed="64"/>
      </left>
      <right style="thick">
        <color indexed="64"/>
      </right>
      <top style="dotted">
        <color indexed="64"/>
      </top>
      <bottom style="dotted">
        <color indexed="64"/>
      </bottom>
      <diagonal/>
    </border>
    <border>
      <left/>
      <right style="thin">
        <color indexed="64"/>
      </right>
      <top style="dotted">
        <color indexed="64"/>
      </top>
      <bottom/>
      <diagonal/>
    </border>
    <border>
      <left style="thin">
        <color indexed="64"/>
      </left>
      <right/>
      <top style="dotted">
        <color indexed="64"/>
      </top>
      <bottom/>
      <diagonal/>
    </border>
    <border>
      <left style="thick">
        <color indexed="64"/>
      </left>
      <right style="thin">
        <color indexed="64"/>
      </right>
      <top style="dotted">
        <color indexed="64"/>
      </top>
      <bottom/>
      <diagonal/>
    </border>
    <border>
      <left style="thin">
        <color indexed="64"/>
      </left>
      <right style="thick">
        <color indexed="64"/>
      </right>
      <top style="dotted">
        <color indexed="64"/>
      </top>
      <bottom/>
      <diagonal/>
    </border>
    <border>
      <left style="thin">
        <color indexed="64"/>
      </left>
      <right style="thin">
        <color indexed="64"/>
      </right>
      <top style="dotted">
        <color indexed="64"/>
      </top>
      <bottom/>
      <diagonal/>
    </border>
    <border>
      <left style="thick">
        <color indexed="64"/>
      </left>
      <right style="thick">
        <color indexed="64"/>
      </right>
      <top style="dotted">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diagonal/>
    </border>
  </borders>
  <cellStyleXfs count="4">
    <xf numFmtId="0" fontId="0" fillId="0" borderId="0"/>
    <xf numFmtId="9" fontId="2" fillId="0" borderId="0" applyFont="0" applyFill="0" applyBorder="0" applyAlignment="0" applyProtection="0"/>
    <xf numFmtId="0" fontId="8" fillId="0" borderId="0"/>
    <xf numFmtId="176" fontId="2" fillId="0" borderId="0" applyFont="0" applyFill="0" applyBorder="0" applyAlignment="0" applyProtection="0"/>
  </cellStyleXfs>
  <cellXfs count="588">
    <xf numFmtId="0" fontId="0" fillId="0" borderId="0" xfId="0"/>
    <xf numFmtId="0" fontId="3" fillId="0" borderId="0" xfId="0" applyFont="1"/>
    <xf numFmtId="0" fontId="3" fillId="3" borderId="0" xfId="0" applyFont="1" applyFill="1"/>
    <xf numFmtId="0" fontId="3" fillId="3" borderId="4" xfId="0" applyFont="1" applyFill="1" applyBorder="1"/>
    <xf numFmtId="0" fontId="6" fillId="3" borderId="5"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3" fillId="3" borderId="9" xfId="0" applyFont="1" applyFill="1" applyBorder="1"/>
    <xf numFmtId="0" fontId="6" fillId="3" borderId="0" xfId="0" applyFont="1" applyFill="1"/>
    <xf numFmtId="49" fontId="10" fillId="0" borderId="0" xfId="2" applyNumberFormat="1" applyFont="1" applyProtection="1">
      <protection hidden="1"/>
    </xf>
    <xf numFmtId="49" fontId="9" fillId="0" borderId="0" xfId="2" applyNumberFormat="1" applyFont="1" applyProtection="1">
      <protection hidden="1"/>
    </xf>
    <xf numFmtId="49" fontId="9" fillId="0" borderId="0" xfId="2" applyNumberFormat="1" applyFont="1" applyAlignment="1">
      <alignment wrapText="1"/>
    </xf>
    <xf numFmtId="0" fontId="3" fillId="3" borderId="0" xfId="0" applyFont="1" applyFill="1" applyAlignment="1">
      <alignment horizontal="left" vertical="center"/>
    </xf>
    <xf numFmtId="0" fontId="3" fillId="3" borderId="0" xfId="0" applyFont="1" applyFill="1" applyAlignment="1">
      <alignment vertical="top"/>
    </xf>
    <xf numFmtId="0" fontId="3" fillId="3" borderId="0" xfId="0" applyFont="1" applyFill="1" applyAlignment="1">
      <alignment vertical="center"/>
    </xf>
    <xf numFmtId="0" fontId="3" fillId="3" borderId="0" xfId="0" applyFont="1" applyFill="1" applyAlignment="1">
      <alignment vertical="top" wrapText="1"/>
    </xf>
    <xf numFmtId="49" fontId="12" fillId="3" borderId="0" xfId="0" applyNumberFormat="1" applyFont="1" applyFill="1"/>
    <xf numFmtId="0" fontId="7" fillId="3" borderId="0" xfId="0" applyFont="1" applyFill="1" applyAlignment="1">
      <alignment horizontal="center" vertical="center"/>
    </xf>
    <xf numFmtId="0" fontId="3" fillId="2" borderId="1" xfId="0" applyFont="1" applyFill="1" applyBorder="1" applyAlignment="1" applyProtection="1">
      <alignment horizontal="left" vertical="center"/>
      <protection locked="0"/>
    </xf>
    <xf numFmtId="0" fontId="13" fillId="3" borderId="7" xfId="0" applyFont="1" applyFill="1" applyBorder="1"/>
    <xf numFmtId="0" fontId="13" fillId="3" borderId="0" xfId="0" applyFont="1" applyFill="1"/>
    <xf numFmtId="0" fontId="13" fillId="3" borderId="8" xfId="0" applyFont="1" applyFill="1" applyBorder="1"/>
    <xf numFmtId="49" fontId="14" fillId="3" borderId="0" xfId="0" applyNumberFormat="1" applyFont="1" applyFill="1"/>
    <xf numFmtId="0" fontId="13" fillId="3" borderId="0" xfId="0" applyFont="1" applyFill="1" applyAlignment="1">
      <alignment vertical="top"/>
    </xf>
    <xf numFmtId="0" fontId="13" fillId="3" borderId="0" xfId="0" applyFont="1" applyFill="1" applyAlignment="1">
      <alignment horizontal="left" vertical="center"/>
    </xf>
    <xf numFmtId="0" fontId="13" fillId="3" borderId="9" xfId="0" applyFont="1" applyFill="1" applyBorder="1"/>
    <xf numFmtId="0" fontId="13" fillId="3" borderId="10" xfId="0" applyFont="1" applyFill="1" applyBorder="1"/>
    <xf numFmtId="0" fontId="13" fillId="3" borderId="10" xfId="0" applyFont="1" applyFill="1" applyBorder="1" applyAlignment="1">
      <alignment horizontal="left" vertical="center"/>
    </xf>
    <xf numFmtId="0" fontId="13" fillId="3" borderId="11" xfId="0" applyFont="1" applyFill="1" applyBorder="1"/>
    <xf numFmtId="0" fontId="13" fillId="3" borderId="0" xfId="0" applyFont="1" applyFill="1" applyAlignment="1">
      <alignment vertical="center"/>
    </xf>
    <xf numFmtId="0" fontId="16" fillId="3" borderId="5" xfId="0" applyFont="1" applyFill="1" applyBorder="1"/>
    <xf numFmtId="0" fontId="16" fillId="3" borderId="0" xfId="0" applyFont="1" applyFill="1" applyAlignment="1">
      <alignment horizontal="left" vertical="center"/>
    </xf>
    <xf numFmtId="0" fontId="17" fillId="3" borderId="0" xfId="0" applyFont="1" applyFill="1" applyAlignment="1">
      <alignment horizontal="center" vertical="center"/>
    </xf>
    <xf numFmtId="0" fontId="15" fillId="3" borderId="8" xfId="0" applyFont="1" applyFill="1" applyBorder="1"/>
    <xf numFmtId="0" fontId="16" fillId="3" borderId="8" xfId="0" applyFont="1" applyFill="1" applyBorder="1"/>
    <xf numFmtId="0" fontId="4" fillId="3" borderId="0" xfId="0" applyFont="1" applyFill="1" applyAlignment="1">
      <alignment vertical="top"/>
    </xf>
    <xf numFmtId="0" fontId="18" fillId="3" borderId="7" xfId="0" applyFont="1" applyFill="1" applyBorder="1"/>
    <xf numFmtId="0" fontId="18" fillId="3" borderId="8" xfId="0" applyFont="1" applyFill="1" applyBorder="1"/>
    <xf numFmtId="0" fontId="18" fillId="3" borderId="0" xfId="0" applyFont="1" applyFill="1"/>
    <xf numFmtId="0" fontId="20" fillId="3" borderId="0" xfId="0" applyFont="1" applyFill="1"/>
    <xf numFmtId="0" fontId="3" fillId="3" borderId="0" xfId="0" applyFont="1" applyFill="1" applyAlignment="1">
      <alignment wrapText="1"/>
    </xf>
    <xf numFmtId="0" fontId="13" fillId="3" borderId="4" xfId="0" applyFont="1" applyFill="1" applyBorder="1"/>
    <xf numFmtId="0" fontId="13" fillId="3" borderId="5" xfId="0" applyFont="1" applyFill="1" applyBorder="1"/>
    <xf numFmtId="0" fontId="13" fillId="3" borderId="6" xfId="0" applyFont="1" applyFill="1" applyBorder="1"/>
    <xf numFmtId="0" fontId="13" fillId="3" borderId="10" xfId="0" applyFont="1" applyFill="1" applyBorder="1" applyAlignment="1">
      <alignment horizontal="left" vertical="top"/>
    </xf>
    <xf numFmtId="0" fontId="16" fillId="3" borderId="6" xfId="0" applyFont="1" applyFill="1" applyBorder="1"/>
    <xf numFmtId="0" fontId="4" fillId="0" borderId="0" xfId="0" applyFont="1"/>
    <xf numFmtId="0" fontId="3" fillId="3" borderId="10" xfId="0" applyFont="1" applyFill="1" applyBorder="1"/>
    <xf numFmtId="0" fontId="11" fillId="3" borderId="0" xfId="0" applyFont="1" applyFill="1"/>
    <xf numFmtId="0" fontId="11" fillId="3" borderId="4" xfId="0" applyFont="1" applyFill="1" applyBorder="1"/>
    <xf numFmtId="0" fontId="11" fillId="3" borderId="7" xfId="0" applyFont="1" applyFill="1" applyBorder="1"/>
    <xf numFmtId="0" fontId="11" fillId="3" borderId="8" xfId="0" applyFont="1" applyFill="1" applyBorder="1"/>
    <xf numFmtId="0" fontId="11" fillId="3" borderId="16" xfId="0" applyFont="1" applyFill="1" applyBorder="1" applyAlignment="1">
      <alignment vertical="top"/>
    </xf>
    <xf numFmtId="14" fontId="13" fillId="3" borderId="5" xfId="0" applyNumberFormat="1" applyFont="1" applyFill="1" applyBorder="1"/>
    <xf numFmtId="14" fontId="13" fillId="3" borderId="5" xfId="0" applyNumberFormat="1" applyFont="1" applyFill="1" applyBorder="1" applyAlignment="1">
      <alignment horizontal="left"/>
    </xf>
    <xf numFmtId="0" fontId="11" fillId="3" borderId="23" xfId="0" applyFont="1" applyFill="1" applyBorder="1" applyAlignment="1">
      <alignment vertical="top"/>
    </xf>
    <xf numFmtId="49" fontId="11" fillId="3" borderId="16" xfId="0" applyNumberFormat="1" applyFont="1" applyFill="1" applyBorder="1" applyAlignment="1">
      <alignment vertical="top"/>
    </xf>
    <xf numFmtId="0" fontId="3" fillId="5" borderId="0" xfId="0" applyFont="1" applyFill="1"/>
    <xf numFmtId="0" fontId="12" fillId="6" borderId="7" xfId="0" applyFont="1" applyFill="1" applyBorder="1"/>
    <xf numFmtId="0" fontId="12" fillId="6" borderId="8" xfId="0" applyFont="1" applyFill="1" applyBorder="1"/>
    <xf numFmtId="0" fontId="14" fillId="6" borderId="7" xfId="0" applyFont="1" applyFill="1" applyBorder="1"/>
    <xf numFmtId="0" fontId="14" fillId="6" borderId="8" xfId="0" applyFont="1" applyFill="1" applyBorder="1"/>
    <xf numFmtId="0" fontId="24" fillId="3" borderId="8" xfId="0" applyFont="1" applyFill="1" applyBorder="1"/>
    <xf numFmtId="9" fontId="3" fillId="0" borderId="0" xfId="0" applyNumberFormat="1" applyFont="1" applyAlignment="1">
      <alignment horizontal="left"/>
    </xf>
    <xf numFmtId="0" fontId="26" fillId="3" borderId="0" xfId="0" applyFont="1" applyFill="1" applyAlignment="1">
      <alignment horizontal="center" vertical="center"/>
    </xf>
    <xf numFmtId="0" fontId="4" fillId="3" borderId="0" xfId="0" applyFont="1" applyFill="1" applyAlignment="1">
      <alignment horizontal="center" vertical="center"/>
    </xf>
    <xf numFmtId="0" fontId="22" fillId="3" borderId="0" xfId="0" applyFont="1" applyFill="1" applyAlignment="1">
      <alignment horizontal="center" vertical="center"/>
    </xf>
    <xf numFmtId="0" fontId="22" fillId="3" borderId="7" xfId="0" applyFont="1" applyFill="1" applyBorder="1" applyAlignment="1">
      <alignment horizontal="center" vertical="center"/>
    </xf>
    <xf numFmtId="0" fontId="22" fillId="3" borderId="8"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3" fillId="3" borderId="27" xfId="0" applyFont="1" applyFill="1" applyBorder="1" applyAlignment="1">
      <alignment vertical="top"/>
    </xf>
    <xf numFmtId="0" fontId="3" fillId="3" borderId="27" xfId="0" applyFont="1" applyFill="1" applyBorder="1"/>
    <xf numFmtId="0" fontId="3" fillId="3" borderId="27" xfId="0" applyFont="1" applyFill="1" applyBorder="1" applyAlignment="1">
      <alignment horizontal="left" vertical="center"/>
    </xf>
    <xf numFmtId="0" fontId="14" fillId="3" borderId="0" xfId="0" applyFont="1" applyFill="1"/>
    <xf numFmtId="0" fontId="13" fillId="3" borderId="0" xfId="0" applyFont="1" applyFill="1" applyAlignment="1" applyProtection="1">
      <alignment horizontal="left" vertical="center" wrapText="1"/>
      <protection locked="0"/>
    </xf>
    <xf numFmtId="0" fontId="3" fillId="3" borderId="0" xfId="0" applyFont="1" applyFill="1" applyAlignment="1">
      <alignment vertical="center" wrapText="1"/>
    </xf>
    <xf numFmtId="10" fontId="27" fillId="3" borderId="0" xfId="1" applyNumberFormat="1" applyFont="1" applyFill="1" applyBorder="1" applyAlignment="1">
      <alignment horizontal="center" vertical="center"/>
    </xf>
    <xf numFmtId="1" fontId="19" fillId="3" borderId="1" xfId="0" applyNumberFormat="1" applyFont="1" applyFill="1" applyBorder="1" applyAlignment="1">
      <alignment horizontal="center" vertical="center" wrapText="1"/>
    </xf>
    <xf numFmtId="0" fontId="4" fillId="0" borderId="0" xfId="0" applyFont="1" applyAlignment="1">
      <alignment horizontal="left"/>
    </xf>
    <xf numFmtId="0" fontId="28" fillId="3" borderId="8" xfId="0" applyFont="1" applyFill="1" applyBorder="1"/>
    <xf numFmtId="0" fontId="4" fillId="3" borderId="0" xfId="0" applyFont="1" applyFill="1" applyAlignment="1">
      <alignment vertical="center"/>
    </xf>
    <xf numFmtId="179" fontId="13" fillId="3" borderId="0" xfId="3" applyNumberFormat="1" applyFont="1" applyFill="1" applyBorder="1" applyAlignment="1">
      <alignment horizontal="center"/>
    </xf>
    <xf numFmtId="0" fontId="5" fillId="3" borderId="0" xfId="0" applyFont="1" applyFill="1" applyAlignment="1">
      <alignment horizontal="right" vertical="center"/>
    </xf>
    <xf numFmtId="179" fontId="5" fillId="3" borderId="1" xfId="3" applyNumberFormat="1" applyFont="1" applyFill="1" applyBorder="1" applyAlignment="1">
      <alignment horizontal="center" vertical="center"/>
    </xf>
    <xf numFmtId="0" fontId="25" fillId="0" borderId="0" xfId="0" applyFont="1" applyAlignment="1">
      <alignment horizontal="center" vertical="center"/>
    </xf>
    <xf numFmtId="0" fontId="25" fillId="0" borderId="0" xfId="0" applyFont="1" applyAlignment="1">
      <alignment horizontal="center"/>
    </xf>
    <xf numFmtId="0" fontId="9" fillId="3" borderId="0" xfId="0" applyFont="1" applyFill="1"/>
    <xf numFmtId="0" fontId="9" fillId="3" borderId="4" xfId="0" applyFont="1" applyFill="1" applyBorder="1"/>
    <xf numFmtId="0" fontId="32" fillId="3" borderId="5" xfId="0" applyFont="1" applyFill="1" applyBorder="1"/>
    <xf numFmtId="0" fontId="9" fillId="3" borderId="5" xfId="0" applyFont="1" applyFill="1" applyBorder="1"/>
    <xf numFmtId="0" fontId="33" fillId="3" borderId="5" xfId="0" applyFont="1" applyFill="1" applyBorder="1"/>
    <xf numFmtId="0" fontId="9" fillId="3" borderId="6" xfId="0" applyFont="1" applyFill="1" applyBorder="1"/>
    <xf numFmtId="0" fontId="34" fillId="3" borderId="7" xfId="0" applyFont="1" applyFill="1" applyBorder="1"/>
    <xf numFmtId="0" fontId="34" fillId="3" borderId="0" xfId="0" applyFont="1" applyFill="1"/>
    <xf numFmtId="0" fontId="34" fillId="3" borderId="8" xfId="0" applyFont="1" applyFill="1" applyBorder="1"/>
    <xf numFmtId="0" fontId="9" fillId="3" borderId="7" xfId="0" applyFont="1" applyFill="1" applyBorder="1"/>
    <xf numFmtId="0" fontId="35" fillId="3" borderId="8" xfId="0" applyFont="1" applyFill="1" applyBorder="1"/>
    <xf numFmtId="0" fontId="36" fillId="3" borderId="0" xfId="0" applyFont="1" applyFill="1"/>
    <xf numFmtId="0" fontId="9" fillId="3" borderId="15" xfId="0" applyFont="1" applyFill="1" applyBorder="1" applyAlignment="1">
      <alignment vertical="center"/>
    </xf>
    <xf numFmtId="0" fontId="9" fillId="3" borderId="16" xfId="0" applyFont="1" applyFill="1" applyBorder="1" applyAlignment="1">
      <alignment vertical="center"/>
    </xf>
    <xf numFmtId="0" fontId="3" fillId="3" borderId="16" xfId="0" applyFont="1" applyFill="1" applyBorder="1" applyAlignment="1">
      <alignment vertical="center"/>
    </xf>
    <xf numFmtId="0" fontId="9" fillId="3" borderId="0" xfId="0" applyFont="1" applyFill="1" applyAlignment="1">
      <alignment vertical="center"/>
    </xf>
    <xf numFmtId="0" fontId="9" fillId="3" borderId="8" xfId="0" applyFont="1" applyFill="1" applyBorder="1"/>
    <xf numFmtId="0" fontId="34" fillId="3" borderId="0" xfId="0" applyFont="1" applyFill="1" applyAlignment="1">
      <alignment vertical="center"/>
    </xf>
    <xf numFmtId="0" fontId="9" fillId="3" borderId="43" xfId="0" applyFont="1" applyFill="1" applyBorder="1" applyAlignment="1">
      <alignment vertical="center"/>
    </xf>
    <xf numFmtId="0" fontId="34" fillId="3" borderId="43" xfId="0" applyFont="1" applyFill="1" applyBorder="1" applyAlignment="1">
      <alignment vertical="center"/>
    </xf>
    <xf numFmtId="0" fontId="9" fillId="3" borderId="20" xfId="0" applyFont="1" applyFill="1" applyBorder="1" applyAlignment="1">
      <alignment vertical="center"/>
    </xf>
    <xf numFmtId="0" fontId="9" fillId="3" borderId="21" xfId="0" applyFont="1" applyFill="1" applyBorder="1" applyAlignment="1">
      <alignment vertical="center"/>
    </xf>
    <xf numFmtId="0" fontId="9" fillId="3" borderId="22" xfId="0" applyFont="1" applyFill="1" applyBorder="1" applyAlignment="1">
      <alignment vertical="center"/>
    </xf>
    <xf numFmtId="0" fontId="38" fillId="3" borderId="21" xfId="0" applyFont="1" applyFill="1" applyBorder="1" applyAlignment="1">
      <alignment vertical="center"/>
    </xf>
    <xf numFmtId="0" fontId="9" fillId="3" borderId="44" xfId="0" applyFont="1" applyFill="1" applyBorder="1" applyAlignment="1">
      <alignment vertical="center"/>
    </xf>
    <xf numFmtId="0" fontId="9" fillId="3" borderId="29" xfId="0" applyFont="1" applyFill="1" applyBorder="1" applyAlignment="1">
      <alignment vertical="center"/>
    </xf>
    <xf numFmtId="0" fontId="9" fillId="3" borderId="21" xfId="0" applyFont="1" applyFill="1" applyBorder="1" applyAlignment="1">
      <alignment horizontal="left" vertical="center" indent="3"/>
    </xf>
    <xf numFmtId="0" fontId="37" fillId="3" borderId="8" xfId="0" applyFont="1" applyFill="1" applyBorder="1"/>
    <xf numFmtId="0" fontId="12" fillId="3" borderId="7" xfId="0" applyFont="1" applyFill="1" applyBorder="1"/>
    <xf numFmtId="0" fontId="12" fillId="3" borderId="0" xfId="0" applyFont="1" applyFill="1"/>
    <xf numFmtId="0" fontId="37" fillId="3" borderId="8" xfId="0" applyFont="1" applyFill="1" applyBorder="1" applyAlignment="1">
      <alignment vertical="top"/>
    </xf>
    <xf numFmtId="0" fontId="39" fillId="3" borderId="43" xfId="0" applyFont="1" applyFill="1" applyBorder="1" applyAlignment="1">
      <alignment vertical="top"/>
    </xf>
    <xf numFmtId="0" fontId="39" fillId="3" borderId="0" xfId="0" applyFont="1" applyFill="1" applyAlignment="1">
      <alignment vertical="top"/>
    </xf>
    <xf numFmtId="0" fontId="34" fillId="3" borderId="9" xfId="0" applyFont="1" applyFill="1" applyBorder="1"/>
    <xf numFmtId="0" fontId="34" fillId="3" borderId="10" xfId="0" applyFont="1" applyFill="1" applyBorder="1"/>
    <xf numFmtId="0" fontId="34" fillId="3" borderId="11" xfId="0" applyFont="1" applyFill="1" applyBorder="1"/>
    <xf numFmtId="0" fontId="3" fillId="3" borderId="17" xfId="0" applyFont="1" applyFill="1" applyBorder="1" applyAlignment="1">
      <alignment vertical="top"/>
    </xf>
    <xf numFmtId="0" fontId="34" fillId="3" borderId="44" xfId="0" applyFont="1" applyFill="1" applyBorder="1" applyAlignment="1">
      <alignment horizontal="right" vertical="center"/>
    </xf>
    <xf numFmtId="0" fontId="34" fillId="3" borderId="29" xfId="0" applyFont="1" applyFill="1" applyBorder="1" applyAlignment="1">
      <alignment horizontal="right" vertical="center"/>
    </xf>
    <xf numFmtId="0" fontId="9" fillId="3" borderId="44" xfId="0" applyFont="1" applyFill="1" applyBorder="1" applyAlignment="1">
      <alignment horizontal="right" vertical="center"/>
    </xf>
    <xf numFmtId="0" fontId="9" fillId="3" borderId="29" xfId="0" applyFont="1" applyFill="1" applyBorder="1" applyAlignment="1">
      <alignment horizontal="right" vertical="center"/>
    </xf>
    <xf numFmtId="182" fontId="9" fillId="2" borderId="35" xfId="0" applyNumberFormat="1" applyFont="1" applyFill="1" applyBorder="1" applyAlignment="1" applyProtection="1">
      <alignment horizontal="right" vertical="center"/>
      <protection locked="0"/>
    </xf>
    <xf numFmtId="183" fontId="9" fillId="3" borderId="35" xfId="0" applyNumberFormat="1" applyFont="1" applyFill="1" applyBorder="1" applyAlignment="1">
      <alignment horizontal="right" vertical="center"/>
    </xf>
    <xf numFmtId="183" fontId="9" fillId="3" borderId="38" xfId="0" applyNumberFormat="1" applyFont="1" applyFill="1" applyBorder="1" applyAlignment="1">
      <alignment horizontal="right" vertical="center"/>
    </xf>
    <xf numFmtId="10" fontId="9" fillId="2" borderId="45" xfId="1" applyNumberFormat="1" applyFont="1" applyFill="1" applyBorder="1" applyAlignment="1" applyProtection="1">
      <alignment horizontal="right" vertical="center"/>
      <protection locked="0"/>
    </xf>
    <xf numFmtId="182" fontId="9" fillId="2" borderId="45" xfId="0" applyNumberFormat="1" applyFont="1" applyFill="1" applyBorder="1" applyAlignment="1" applyProtection="1">
      <alignment horizontal="right" vertical="center"/>
      <protection locked="0"/>
    </xf>
    <xf numFmtId="0" fontId="9" fillId="3" borderId="35" xfId="0" applyFont="1" applyFill="1" applyBorder="1" applyAlignment="1">
      <alignment horizontal="right" vertical="center"/>
    </xf>
    <xf numFmtId="10" fontId="9" fillId="3" borderId="35" xfId="1" applyNumberFormat="1" applyFont="1" applyFill="1" applyBorder="1" applyAlignment="1">
      <alignment horizontal="right" vertical="center"/>
    </xf>
    <xf numFmtId="10" fontId="9" fillId="3" borderId="36" xfId="1" applyNumberFormat="1" applyFont="1" applyFill="1" applyBorder="1" applyAlignment="1">
      <alignment horizontal="right" vertical="center"/>
    </xf>
    <xf numFmtId="10" fontId="9" fillId="3" borderId="39" xfId="1" applyNumberFormat="1" applyFont="1" applyFill="1" applyBorder="1" applyAlignment="1">
      <alignment horizontal="right" vertical="center"/>
    </xf>
    <xf numFmtId="0" fontId="34" fillId="3" borderId="0" xfId="0" applyFont="1" applyFill="1" applyAlignment="1">
      <alignment horizontal="right" vertical="center"/>
    </xf>
    <xf numFmtId="2" fontId="9" fillId="3" borderId="0" xfId="0" applyNumberFormat="1" applyFont="1" applyFill="1"/>
    <xf numFmtId="187" fontId="9" fillId="7" borderId="10" xfId="0" applyNumberFormat="1" applyFont="1" applyFill="1" applyBorder="1" applyAlignment="1" applyProtection="1">
      <alignment horizontal="center" vertical="center"/>
      <protection locked="0"/>
    </xf>
    <xf numFmtId="184" fontId="9" fillId="7" borderId="11" xfId="0" applyNumberFormat="1" applyFont="1" applyFill="1" applyBorder="1" applyAlignment="1" applyProtection="1">
      <alignment horizontal="center" vertical="center"/>
      <protection locked="0"/>
    </xf>
    <xf numFmtId="185" fontId="9" fillId="7" borderId="10" xfId="0" applyNumberFormat="1" applyFont="1" applyFill="1" applyBorder="1" applyAlignment="1" applyProtection="1">
      <alignment horizontal="center" vertical="center"/>
      <protection locked="0"/>
    </xf>
    <xf numFmtId="186" fontId="13" fillId="3" borderId="10" xfId="0" applyNumberFormat="1" applyFont="1" applyFill="1" applyBorder="1" applyAlignment="1">
      <alignment vertical="center"/>
    </xf>
    <xf numFmtId="177" fontId="9" fillId="7" borderId="48" xfId="0" applyNumberFormat="1" applyFont="1" applyFill="1" applyBorder="1" applyAlignment="1">
      <alignment horizontal="left" vertical="center" wrapText="1"/>
    </xf>
    <xf numFmtId="185" fontId="10" fillId="7" borderId="23" xfId="0" applyNumberFormat="1" applyFont="1" applyFill="1" applyBorder="1" applyAlignment="1">
      <alignment horizontal="center" vertical="center"/>
    </xf>
    <xf numFmtId="184" fontId="10" fillId="7" borderId="23" xfId="0" applyNumberFormat="1" applyFont="1" applyFill="1" applyBorder="1" applyAlignment="1">
      <alignment horizontal="center" vertical="center"/>
    </xf>
    <xf numFmtId="184" fontId="10" fillId="7" borderId="49" xfId="0" applyNumberFormat="1" applyFont="1" applyFill="1" applyBorder="1" applyAlignment="1">
      <alignment horizontal="center" vertical="center"/>
    </xf>
    <xf numFmtId="177" fontId="9" fillId="7" borderId="47" xfId="0" applyNumberFormat="1" applyFont="1" applyFill="1" applyBorder="1" applyAlignment="1">
      <alignment horizontal="left" vertical="center" wrapText="1"/>
    </xf>
    <xf numFmtId="181" fontId="10" fillId="7" borderId="48" xfId="3" applyNumberFormat="1" applyFont="1" applyFill="1" applyBorder="1" applyAlignment="1" applyProtection="1">
      <alignment vertical="center"/>
    </xf>
    <xf numFmtId="0" fontId="9" fillId="3" borderId="46" xfId="0" applyFont="1" applyFill="1" applyBorder="1"/>
    <xf numFmtId="181" fontId="9" fillId="3" borderId="17" xfId="3" applyNumberFormat="1" applyFont="1" applyFill="1" applyBorder="1" applyAlignment="1" applyProtection="1">
      <alignment vertical="center"/>
    </xf>
    <xf numFmtId="181" fontId="9" fillId="3" borderId="0" xfId="3" applyNumberFormat="1" applyFont="1" applyFill="1" applyBorder="1" applyAlignment="1" applyProtection="1">
      <alignment horizontal="center"/>
    </xf>
    <xf numFmtId="184" fontId="9" fillId="3" borderId="10" xfId="0" applyNumberFormat="1" applyFont="1" applyFill="1" applyBorder="1" applyAlignment="1">
      <alignment horizontal="center" vertical="center"/>
    </xf>
    <xf numFmtId="177" fontId="34" fillId="3" borderId="10" xfId="0" applyNumberFormat="1" applyFont="1" applyFill="1" applyBorder="1" applyAlignment="1">
      <alignment horizontal="left" vertical="center"/>
    </xf>
    <xf numFmtId="0" fontId="12" fillId="3" borderId="0" xfId="0" applyFont="1" applyFill="1" applyAlignment="1">
      <alignment wrapText="1"/>
    </xf>
    <xf numFmtId="9" fontId="3" fillId="2" borderId="35" xfId="1" applyFont="1" applyFill="1" applyBorder="1" applyAlignment="1" applyProtection="1">
      <alignment horizontal="right" vertical="center"/>
      <protection locked="0"/>
    </xf>
    <xf numFmtId="9" fontId="3" fillId="2" borderId="36" xfId="1" applyFont="1" applyFill="1" applyBorder="1" applyAlignment="1" applyProtection="1">
      <alignment horizontal="right" vertical="center"/>
      <protection locked="0"/>
    </xf>
    <xf numFmtId="0" fontId="9" fillId="2" borderId="20" xfId="0" applyFont="1" applyFill="1" applyBorder="1" applyAlignment="1">
      <alignment vertical="top"/>
    </xf>
    <xf numFmtId="0" fontId="9" fillId="2" borderId="21" xfId="0" applyFont="1" applyFill="1" applyBorder="1" applyAlignment="1">
      <alignment vertical="top"/>
    </xf>
    <xf numFmtId="0" fontId="9" fillId="2" borderId="22" xfId="0" applyFont="1" applyFill="1" applyBorder="1" applyAlignment="1">
      <alignment vertical="top"/>
    </xf>
    <xf numFmtId="0" fontId="9" fillId="2" borderId="20" xfId="0" applyFont="1" applyFill="1" applyBorder="1" applyAlignment="1">
      <alignment vertical="center"/>
    </xf>
    <xf numFmtId="0" fontId="9" fillId="2" borderId="21" xfId="0" applyFont="1" applyFill="1" applyBorder="1" applyAlignment="1">
      <alignment vertical="center"/>
    </xf>
    <xf numFmtId="0" fontId="9" fillId="2" borderId="21" xfId="0" applyFont="1" applyFill="1" applyBorder="1" applyAlignment="1">
      <alignment horizontal="left" vertical="center" indent="3"/>
    </xf>
    <xf numFmtId="188" fontId="34" fillId="3" borderId="44" xfId="1" applyNumberFormat="1" applyFont="1" applyFill="1" applyBorder="1" applyAlignment="1" applyProtection="1">
      <alignment horizontal="right" vertical="center"/>
    </xf>
    <xf numFmtId="188" fontId="34" fillId="3" borderId="29" xfId="1" applyNumberFormat="1" applyFont="1" applyFill="1" applyBorder="1" applyAlignment="1" applyProtection="1">
      <alignment horizontal="right" vertical="center"/>
    </xf>
    <xf numFmtId="10" fontId="9" fillId="3" borderId="35" xfId="1" applyNumberFormat="1" applyFont="1" applyFill="1" applyBorder="1" applyAlignment="1" applyProtection="1">
      <alignment horizontal="right" vertical="center"/>
    </xf>
    <xf numFmtId="0" fontId="9" fillId="2" borderId="21" xfId="0" applyFont="1" applyFill="1" applyBorder="1" applyAlignment="1">
      <alignment vertical="center" wrapText="1"/>
    </xf>
    <xf numFmtId="182" fontId="9" fillId="3" borderId="35" xfId="0" applyNumberFormat="1" applyFont="1" applyFill="1" applyBorder="1" applyAlignment="1">
      <alignment horizontal="right" vertical="center"/>
    </xf>
    <xf numFmtId="10" fontId="9" fillId="3" borderId="45" xfId="1" applyNumberFormat="1" applyFont="1" applyFill="1" applyBorder="1" applyAlignment="1" applyProtection="1">
      <alignment horizontal="right" vertical="center"/>
    </xf>
    <xf numFmtId="0" fontId="9" fillId="2" borderId="20" xfId="0" applyFont="1" applyFill="1" applyBorder="1" applyAlignment="1">
      <alignment vertical="center" wrapText="1"/>
    </xf>
    <xf numFmtId="0" fontId="3" fillId="0" borderId="0" xfId="0" applyFont="1" applyAlignment="1">
      <alignment horizontal="left"/>
    </xf>
    <xf numFmtId="0" fontId="41" fillId="0" borderId="0" xfId="0" applyFont="1"/>
    <xf numFmtId="0" fontId="12" fillId="3" borderId="4" xfId="0" applyFont="1" applyFill="1" applyBorder="1"/>
    <xf numFmtId="10" fontId="9" fillId="3" borderId="38" xfId="1" applyNumberFormat="1" applyFont="1" applyFill="1" applyBorder="1" applyAlignment="1" applyProtection="1">
      <alignment horizontal="right" vertical="center"/>
    </xf>
    <xf numFmtId="182" fontId="9" fillId="3" borderId="38" xfId="0" applyNumberFormat="1" applyFont="1" applyFill="1" applyBorder="1" applyAlignment="1">
      <alignment horizontal="right" vertical="center"/>
    </xf>
    <xf numFmtId="0" fontId="9" fillId="3" borderId="38" xfId="0" applyFont="1" applyFill="1" applyBorder="1" applyAlignment="1">
      <alignment horizontal="right" vertical="center"/>
    </xf>
    <xf numFmtId="10" fontId="9" fillId="3" borderId="38" xfId="1" applyNumberFormat="1" applyFont="1" applyFill="1" applyBorder="1" applyAlignment="1">
      <alignment horizontal="right" vertical="center"/>
    </xf>
    <xf numFmtId="0" fontId="5" fillId="0" borderId="0" xfId="0" applyFont="1"/>
    <xf numFmtId="0" fontId="37" fillId="3" borderId="6" xfId="0" applyFont="1" applyFill="1" applyBorder="1"/>
    <xf numFmtId="0" fontId="9" fillId="3" borderId="9" xfId="0" applyFont="1" applyFill="1" applyBorder="1"/>
    <xf numFmtId="0" fontId="37" fillId="3" borderId="11" xfId="0" applyFont="1" applyFill="1" applyBorder="1"/>
    <xf numFmtId="0" fontId="39" fillId="3" borderId="50" xfId="0" applyFont="1" applyFill="1" applyBorder="1" applyAlignment="1">
      <alignment vertical="center"/>
    </xf>
    <xf numFmtId="0" fontId="39" fillId="3" borderId="51" xfId="0" applyFont="1" applyFill="1" applyBorder="1" applyAlignment="1">
      <alignment vertical="center"/>
    </xf>
    <xf numFmtId="0" fontId="43" fillId="6" borderId="0" xfId="0" applyFont="1" applyFill="1" applyAlignment="1">
      <alignment horizontal="left" vertical="top" wrapText="1"/>
    </xf>
    <xf numFmtId="0" fontId="43" fillId="6" borderId="0" xfId="0" applyFont="1" applyFill="1"/>
    <xf numFmtId="0" fontId="12" fillId="6" borderId="7" xfId="0" applyFont="1" applyFill="1" applyBorder="1" applyAlignment="1">
      <alignment horizontal="left" vertical="top" wrapText="1"/>
    </xf>
    <xf numFmtId="0" fontId="12" fillId="6" borderId="8" xfId="0" applyFont="1" applyFill="1" applyBorder="1" applyAlignment="1">
      <alignment horizontal="left" vertical="top" wrapText="1"/>
    </xf>
    <xf numFmtId="0" fontId="14" fillId="6" borderId="0" xfId="0" applyFont="1" applyFill="1"/>
    <xf numFmtId="0" fontId="13" fillId="6" borderId="0" xfId="0" applyFont="1" applyFill="1"/>
    <xf numFmtId="0" fontId="13" fillId="6" borderId="7" xfId="0" applyFont="1" applyFill="1" applyBorder="1"/>
    <xf numFmtId="0" fontId="13" fillId="6" borderId="8" xfId="0" applyFont="1" applyFill="1" applyBorder="1"/>
    <xf numFmtId="0" fontId="3" fillId="6" borderId="9" xfId="0" applyFont="1" applyFill="1" applyBorder="1"/>
    <xf numFmtId="0" fontId="3" fillId="6" borderId="10" xfId="0" applyFont="1" applyFill="1" applyBorder="1"/>
    <xf numFmtId="0" fontId="3" fillId="6" borderId="11" xfId="0" applyFont="1" applyFill="1" applyBorder="1"/>
    <xf numFmtId="0" fontId="12" fillId="6" borderId="24" xfId="0" applyFont="1" applyFill="1" applyBorder="1"/>
    <xf numFmtId="0" fontId="43" fillId="6" borderId="25" xfId="0" applyFont="1" applyFill="1" applyBorder="1"/>
    <xf numFmtId="0" fontId="12" fillId="6" borderId="26" xfId="0" applyFont="1" applyFill="1" applyBorder="1"/>
    <xf numFmtId="0" fontId="27" fillId="3" borderId="0" xfId="0" applyFont="1" applyFill="1" applyAlignment="1">
      <alignment vertical="center"/>
    </xf>
    <xf numFmtId="10" fontId="9" fillId="2" borderId="36" xfId="0" applyNumberFormat="1" applyFont="1" applyFill="1" applyBorder="1" applyAlignment="1" applyProtection="1">
      <alignment horizontal="right" vertical="top" wrapText="1"/>
      <protection locked="0"/>
    </xf>
    <xf numFmtId="0" fontId="44" fillId="3" borderId="7" xfId="0" applyFont="1" applyFill="1" applyBorder="1"/>
    <xf numFmtId="0" fontId="45" fillId="3" borderId="7" xfId="0" applyFont="1" applyFill="1" applyBorder="1"/>
    <xf numFmtId="0" fontId="46" fillId="3" borderId="6" xfId="0" applyFont="1" applyFill="1" applyBorder="1"/>
    <xf numFmtId="0" fontId="44" fillId="3" borderId="0" xfId="0" applyFont="1" applyFill="1"/>
    <xf numFmtId="0" fontId="48" fillId="3" borderId="8" xfId="0" applyFont="1" applyFill="1" applyBorder="1"/>
    <xf numFmtId="0" fontId="45" fillId="3" borderId="8" xfId="0" applyFont="1" applyFill="1" applyBorder="1"/>
    <xf numFmtId="0" fontId="45" fillId="3" borderId="0" xfId="0" applyFont="1" applyFill="1"/>
    <xf numFmtId="0" fontId="45" fillId="3" borderId="11" xfId="0" applyFont="1" applyFill="1" applyBorder="1"/>
    <xf numFmtId="0" fontId="34" fillId="3" borderId="55" xfId="0" applyFont="1" applyFill="1" applyBorder="1"/>
    <xf numFmtId="0" fontId="34" fillId="3" borderId="42" xfId="0" applyFont="1" applyFill="1" applyBorder="1"/>
    <xf numFmtId="0" fontId="34" fillId="3" borderId="12" xfId="0" applyFont="1" applyFill="1" applyBorder="1"/>
    <xf numFmtId="0" fontId="51" fillId="3" borderId="19" xfId="0" applyFont="1" applyFill="1" applyBorder="1"/>
    <xf numFmtId="179" fontId="34" fillId="3" borderId="37" xfId="3" applyNumberFormat="1" applyFont="1" applyFill="1" applyBorder="1"/>
    <xf numFmtId="179" fontId="9" fillId="3" borderId="0" xfId="3" applyNumberFormat="1" applyFont="1" applyFill="1" applyBorder="1"/>
    <xf numFmtId="179" fontId="10" fillId="3" borderId="60" xfId="3" applyNumberFormat="1" applyFont="1" applyFill="1" applyBorder="1"/>
    <xf numFmtId="179" fontId="10" fillId="3" borderId="18" xfId="3" applyNumberFormat="1" applyFont="1" applyFill="1" applyBorder="1"/>
    <xf numFmtId="179" fontId="10" fillId="3" borderId="2" xfId="3" applyNumberFormat="1" applyFont="1" applyFill="1" applyBorder="1"/>
    <xf numFmtId="0" fontId="23" fillId="3" borderId="5" xfId="0" applyFont="1" applyFill="1" applyBorder="1"/>
    <xf numFmtId="0" fontId="9" fillId="3" borderId="0" xfId="0" applyFont="1" applyFill="1" applyAlignment="1">
      <alignment vertical="top"/>
    </xf>
    <xf numFmtId="0" fontId="34" fillId="3" borderId="10" xfId="0" applyFont="1" applyFill="1" applyBorder="1" applyAlignment="1" applyProtection="1">
      <alignment horizontal="left" vertical="center"/>
      <protection locked="0"/>
    </xf>
    <xf numFmtId="0" fontId="3" fillId="3" borderId="17" xfId="0" applyFont="1" applyFill="1" applyBorder="1" applyAlignment="1">
      <alignment vertical="center"/>
    </xf>
    <xf numFmtId="180" fontId="23" fillId="3" borderId="17" xfId="0" applyNumberFormat="1" applyFont="1" applyFill="1" applyBorder="1" applyAlignment="1">
      <alignment horizontal="left" vertical="center"/>
    </xf>
    <xf numFmtId="0" fontId="52" fillId="3" borderId="8" xfId="0" applyFont="1" applyFill="1" applyBorder="1"/>
    <xf numFmtId="0" fontId="53" fillId="3" borderId="8" xfId="0" applyFont="1" applyFill="1" applyBorder="1"/>
    <xf numFmtId="0" fontId="14" fillId="3" borderId="9" xfId="0" applyFont="1" applyFill="1" applyBorder="1"/>
    <xf numFmtId="0" fontId="12" fillId="3" borderId="10" xfId="0" applyFont="1" applyFill="1" applyBorder="1" applyAlignment="1" applyProtection="1">
      <alignment vertical="top"/>
      <protection locked="0"/>
    </xf>
    <xf numFmtId="0" fontId="14" fillId="3" borderId="10" xfId="0" applyFont="1" applyFill="1" applyBorder="1" applyAlignment="1" applyProtection="1">
      <alignment horizontal="left" vertical="center"/>
      <protection locked="0"/>
    </xf>
    <xf numFmtId="0" fontId="11" fillId="0" borderId="0" xfId="0" applyFont="1"/>
    <xf numFmtId="179" fontId="3" fillId="3" borderId="15" xfId="3" applyNumberFormat="1" applyFont="1" applyFill="1" applyBorder="1" applyAlignment="1">
      <alignment horizontal="left" vertical="center"/>
    </xf>
    <xf numFmtId="179" fontId="3" fillId="3" borderId="0" xfId="3" applyNumberFormat="1" applyFont="1" applyFill="1"/>
    <xf numFmtId="179" fontId="3" fillId="3" borderId="0" xfId="3" applyNumberFormat="1" applyFont="1" applyFill="1" applyBorder="1"/>
    <xf numFmtId="179" fontId="4" fillId="3" borderId="0" xfId="3" applyNumberFormat="1" applyFont="1" applyFill="1" applyBorder="1"/>
    <xf numFmtId="0" fontId="4" fillId="3" borderId="0" xfId="0" applyFont="1" applyFill="1"/>
    <xf numFmtId="179" fontId="4" fillId="3" borderId="0" xfId="0" applyNumberFormat="1" applyFont="1" applyFill="1"/>
    <xf numFmtId="179" fontId="3" fillId="3" borderId="33" xfId="3" applyNumberFormat="1" applyFont="1" applyFill="1" applyBorder="1" applyAlignment="1" applyProtection="1">
      <alignment horizontal="center" vertical="center"/>
    </xf>
    <xf numFmtId="179" fontId="3" fillId="3" borderId="16" xfId="3" applyNumberFormat="1" applyFont="1" applyFill="1" applyBorder="1" applyAlignment="1" applyProtection="1">
      <alignment horizontal="center" vertical="center"/>
    </xf>
    <xf numFmtId="9" fontId="3" fillId="3" borderId="16" xfId="1" applyFont="1" applyFill="1" applyBorder="1" applyAlignment="1" applyProtection="1">
      <alignment vertical="center"/>
    </xf>
    <xf numFmtId="179" fontId="3" fillId="3" borderId="34" xfId="3" applyNumberFormat="1" applyFont="1" applyFill="1" applyBorder="1" applyAlignment="1" applyProtection="1">
      <alignment horizontal="center" vertical="center"/>
    </xf>
    <xf numFmtId="179" fontId="3" fillId="3" borderId="17" xfId="3" applyNumberFormat="1" applyFont="1" applyFill="1" applyBorder="1" applyAlignment="1" applyProtection="1">
      <alignment horizontal="center" vertical="center"/>
    </xf>
    <xf numFmtId="9" fontId="3" fillId="3" borderId="17" xfId="1" applyFont="1" applyFill="1" applyBorder="1" applyAlignment="1" applyProtection="1">
      <alignment vertical="center"/>
    </xf>
    <xf numFmtId="0" fontId="5" fillId="3" borderId="0" xfId="0" applyFont="1" applyFill="1" applyAlignment="1">
      <alignment vertical="top"/>
    </xf>
    <xf numFmtId="0" fontId="41" fillId="3" borderId="7" xfId="0" applyFont="1" applyFill="1" applyBorder="1" applyAlignment="1">
      <alignment wrapText="1"/>
    </xf>
    <xf numFmtId="0" fontId="41" fillId="3" borderId="0" xfId="0" applyFont="1" applyFill="1" applyAlignment="1">
      <alignment vertical="top" wrapText="1"/>
    </xf>
    <xf numFmtId="0" fontId="41" fillId="3" borderId="8" xfId="0" applyFont="1" applyFill="1" applyBorder="1" applyAlignment="1">
      <alignment wrapText="1"/>
    </xf>
    <xf numFmtId="0" fontId="13" fillId="3" borderId="10" xfId="0" applyFont="1" applyFill="1" applyBorder="1" applyAlignment="1">
      <alignment wrapText="1"/>
    </xf>
    <xf numFmtId="0" fontId="11" fillId="3" borderId="16" xfId="0" applyFont="1" applyFill="1" applyBorder="1" applyAlignment="1">
      <alignment vertical="top" wrapText="1"/>
    </xf>
    <xf numFmtId="49" fontId="11" fillId="3" borderId="16" xfId="0" applyNumberFormat="1" applyFont="1" applyFill="1" applyBorder="1" applyAlignment="1">
      <alignment vertical="top" wrapText="1"/>
    </xf>
    <xf numFmtId="14" fontId="11" fillId="3" borderId="16" xfId="0" applyNumberFormat="1" applyFont="1" applyFill="1" applyBorder="1" applyAlignment="1">
      <alignment vertical="top"/>
    </xf>
    <xf numFmtId="0" fontId="12" fillId="3" borderId="27" xfId="0" applyFont="1" applyFill="1" applyBorder="1" applyAlignment="1">
      <alignment horizontal="center" vertical="top"/>
    </xf>
    <xf numFmtId="49" fontId="9" fillId="3" borderId="0" xfId="0" applyNumberFormat="1" applyFont="1" applyFill="1" applyAlignment="1">
      <alignment horizontal="left" vertical="center"/>
    </xf>
    <xf numFmtId="0" fontId="9" fillId="3" borderId="0" xfId="0" applyFont="1" applyFill="1" applyAlignment="1">
      <alignment horizontal="left" vertical="center"/>
    </xf>
    <xf numFmtId="180" fontId="23" fillId="3" borderId="0" xfId="0" applyNumberFormat="1" applyFont="1" applyFill="1" applyAlignment="1">
      <alignment horizontal="left" vertical="center"/>
    </xf>
    <xf numFmtId="181" fontId="9" fillId="3" borderId="0" xfId="3" applyNumberFormat="1" applyFont="1" applyFill="1" applyBorder="1" applyAlignment="1" applyProtection="1">
      <alignment vertical="center"/>
    </xf>
    <xf numFmtId="179" fontId="9" fillId="3" borderId="61" xfId="3" applyNumberFormat="1" applyFont="1" applyFill="1" applyBorder="1" applyProtection="1"/>
    <xf numFmtId="179" fontId="9" fillId="3" borderId="32" xfId="3" applyNumberFormat="1" applyFont="1" applyFill="1" applyBorder="1" applyProtection="1"/>
    <xf numFmtId="179" fontId="9" fillId="3" borderId="40" xfId="3" applyNumberFormat="1" applyFont="1" applyFill="1" applyBorder="1" applyProtection="1"/>
    <xf numFmtId="179" fontId="9" fillId="3" borderId="16" xfId="3" applyNumberFormat="1" applyFont="1" applyFill="1" applyBorder="1" applyProtection="1"/>
    <xf numFmtId="179" fontId="9" fillId="3" borderId="41" xfId="3" applyNumberFormat="1" applyFont="1" applyFill="1" applyBorder="1" applyProtection="1"/>
    <xf numFmtId="179" fontId="9" fillId="3" borderId="17" xfId="3" applyNumberFormat="1" applyFont="1" applyFill="1" applyBorder="1" applyProtection="1"/>
    <xf numFmtId="0" fontId="6" fillId="0" borderId="0" xfId="0" applyFont="1" applyAlignment="1">
      <alignment horizontal="left"/>
    </xf>
    <xf numFmtId="179" fontId="34" fillId="3" borderId="10" xfId="3" applyNumberFormat="1" applyFont="1" applyFill="1" applyBorder="1"/>
    <xf numFmtId="179" fontId="3" fillId="3" borderId="20" xfId="3" applyNumberFormat="1" applyFont="1" applyFill="1" applyBorder="1" applyAlignment="1">
      <alignment horizontal="left" vertical="center"/>
    </xf>
    <xf numFmtId="0" fontId="9" fillId="3" borderId="17" xfId="0" applyFont="1" applyFill="1" applyBorder="1"/>
    <xf numFmtId="181" fontId="10" fillId="3" borderId="0" xfId="3" applyNumberFormat="1" applyFont="1" applyFill="1" applyBorder="1" applyAlignment="1" applyProtection="1">
      <alignment vertical="center"/>
    </xf>
    <xf numFmtId="181" fontId="10" fillId="3" borderId="0" xfId="3" applyNumberFormat="1" applyFont="1" applyFill="1" applyBorder="1" applyAlignment="1" applyProtection="1">
      <alignment horizontal="center"/>
    </xf>
    <xf numFmtId="177" fontId="9" fillId="3" borderId="0" xfId="0" applyNumberFormat="1" applyFont="1" applyFill="1" applyAlignment="1">
      <alignment horizontal="left" vertical="center" wrapText="1"/>
    </xf>
    <xf numFmtId="185" fontId="9" fillId="3" borderId="0" xfId="0" applyNumberFormat="1" applyFont="1" applyFill="1" applyAlignment="1" applyProtection="1">
      <alignment horizontal="center" vertical="center"/>
      <protection locked="0"/>
    </xf>
    <xf numFmtId="184" fontId="9" fillId="3" borderId="0" xfId="0" applyNumberFormat="1" applyFont="1" applyFill="1" applyAlignment="1" applyProtection="1">
      <alignment horizontal="center" vertical="center"/>
      <protection locked="0"/>
    </xf>
    <xf numFmtId="184" fontId="9" fillId="3" borderId="0" xfId="0" applyNumberFormat="1" applyFont="1" applyFill="1" applyAlignment="1">
      <alignment horizontal="center" vertical="center"/>
    </xf>
    <xf numFmtId="185" fontId="10" fillId="3" borderId="0" xfId="0" applyNumberFormat="1" applyFont="1" applyFill="1" applyAlignment="1">
      <alignment horizontal="center" vertical="center"/>
    </xf>
    <xf numFmtId="184" fontId="10" fillId="3" borderId="0" xfId="0" applyNumberFormat="1" applyFont="1" applyFill="1" applyAlignment="1">
      <alignment horizontal="center" vertical="center"/>
    </xf>
    <xf numFmtId="187" fontId="9" fillId="3" borderId="0" xfId="0" applyNumberFormat="1" applyFont="1" applyFill="1" applyAlignment="1" applyProtection="1">
      <alignment horizontal="center" vertical="center"/>
      <protection locked="0"/>
    </xf>
    <xf numFmtId="189" fontId="9" fillId="2" borderId="35" xfId="1" applyNumberFormat="1" applyFont="1" applyFill="1" applyBorder="1" applyAlignment="1" applyProtection="1">
      <alignment horizontal="right" vertical="center"/>
      <protection locked="0"/>
    </xf>
    <xf numFmtId="190" fontId="9" fillId="2" borderId="45" xfId="0" applyNumberFormat="1" applyFont="1" applyFill="1" applyBorder="1" applyAlignment="1" applyProtection="1">
      <alignment horizontal="right" vertical="center"/>
      <protection locked="0"/>
    </xf>
    <xf numFmtId="10" fontId="9" fillId="3" borderId="30" xfId="1" applyNumberFormat="1" applyFont="1" applyFill="1" applyBorder="1" applyAlignment="1" applyProtection="1">
      <alignment horizontal="right" vertical="center"/>
    </xf>
    <xf numFmtId="179" fontId="9" fillId="2" borderId="31" xfId="3" applyNumberFormat="1" applyFont="1" applyFill="1" applyBorder="1" applyProtection="1">
      <protection locked="0"/>
    </xf>
    <xf numFmtId="179" fontId="9" fillId="2" borderId="33" xfId="3" applyNumberFormat="1" applyFont="1" applyFill="1" applyBorder="1" applyProtection="1">
      <protection locked="0"/>
    </xf>
    <xf numFmtId="179" fontId="9" fillId="2" borderId="34" xfId="3" applyNumberFormat="1" applyFont="1" applyFill="1" applyBorder="1" applyProtection="1">
      <protection locked="0"/>
    </xf>
    <xf numFmtId="0" fontId="55" fillId="3" borderId="11" xfId="0" applyFont="1" applyFill="1" applyBorder="1"/>
    <xf numFmtId="0" fontId="44" fillId="3" borderId="7" xfId="0" applyFont="1" applyFill="1" applyBorder="1" applyAlignment="1">
      <alignment vertical="center"/>
    </xf>
    <xf numFmtId="0" fontId="47" fillId="3" borderId="8" xfId="0" applyFont="1" applyFill="1" applyBorder="1" applyAlignment="1">
      <alignment vertical="center"/>
    </xf>
    <xf numFmtId="0" fontId="10" fillId="3" borderId="55" xfId="0" applyFont="1" applyFill="1" applyBorder="1" applyAlignment="1">
      <alignment vertical="center"/>
    </xf>
    <xf numFmtId="0" fontId="10" fillId="3" borderId="42" xfId="0" applyFont="1" applyFill="1" applyBorder="1" applyAlignment="1">
      <alignment vertical="center"/>
    </xf>
    <xf numFmtId="0" fontId="44" fillId="3" borderId="0" xfId="0" applyFont="1" applyFill="1" applyAlignment="1">
      <alignment vertical="center"/>
    </xf>
    <xf numFmtId="0" fontId="14" fillId="3" borderId="7" xfId="0" applyFont="1" applyFill="1" applyBorder="1"/>
    <xf numFmtId="179" fontId="13" fillId="3" borderId="0" xfId="3" applyNumberFormat="1" applyFont="1" applyFill="1" applyBorder="1"/>
    <xf numFmtId="179" fontId="22" fillId="3" borderId="0" xfId="3" applyNumberFormat="1" applyFont="1" applyFill="1" applyBorder="1"/>
    <xf numFmtId="0" fontId="22" fillId="3" borderId="0" xfId="0" applyFont="1" applyFill="1"/>
    <xf numFmtId="0" fontId="4" fillId="3" borderId="30" xfId="0" applyFont="1" applyFill="1" applyBorder="1" applyAlignment="1">
      <alignment horizontal="center" wrapText="1"/>
    </xf>
    <xf numFmtId="0" fontId="13" fillId="3" borderId="63" xfId="0" applyFont="1" applyFill="1" applyBorder="1"/>
    <xf numFmtId="0" fontId="13" fillId="3" borderId="51" xfId="0" applyFont="1" applyFill="1" applyBorder="1"/>
    <xf numFmtId="0" fontId="4" fillId="3" borderId="64" xfId="0" applyFont="1" applyFill="1" applyBorder="1" applyAlignment="1">
      <alignment horizontal="center" wrapText="1"/>
    </xf>
    <xf numFmtId="0" fontId="3" fillId="3" borderId="8" xfId="0" applyFont="1" applyFill="1" applyBorder="1" applyAlignment="1">
      <alignment wrapText="1"/>
    </xf>
    <xf numFmtId="0" fontId="23" fillId="3" borderId="0" xfId="0" applyFont="1" applyFill="1" applyAlignment="1">
      <alignment horizontal="center"/>
    </xf>
    <xf numFmtId="0" fontId="56" fillId="3" borderId="8" xfId="0" applyFont="1" applyFill="1" applyBorder="1" applyAlignment="1">
      <alignment wrapText="1"/>
    </xf>
    <xf numFmtId="0" fontId="57" fillId="3" borderId="6" xfId="0" applyFont="1" applyFill="1" applyBorder="1"/>
    <xf numFmtId="9" fontId="9" fillId="3" borderId="35" xfId="1" applyFont="1" applyFill="1" applyBorder="1" applyAlignment="1" applyProtection="1">
      <alignment horizontal="right" vertical="center"/>
    </xf>
    <xf numFmtId="9" fontId="9" fillId="3" borderId="36" xfId="1" applyFont="1" applyFill="1" applyBorder="1" applyAlignment="1" applyProtection="1">
      <alignment horizontal="right" vertical="center"/>
    </xf>
    <xf numFmtId="9" fontId="9" fillId="3" borderId="38" xfId="1" applyFont="1" applyFill="1" applyBorder="1" applyAlignment="1" applyProtection="1">
      <alignment horizontal="right" vertical="center"/>
    </xf>
    <xf numFmtId="9" fontId="9" fillId="3" borderId="39" xfId="1" applyFont="1" applyFill="1" applyBorder="1" applyAlignment="1" applyProtection="1">
      <alignment horizontal="right" vertical="center"/>
    </xf>
    <xf numFmtId="0" fontId="60" fillId="3" borderId="7" xfId="0" applyFont="1" applyFill="1" applyBorder="1"/>
    <xf numFmtId="0" fontId="60" fillId="3" borderId="0" xfId="0" applyFont="1" applyFill="1"/>
    <xf numFmtId="0" fontId="60" fillId="3" borderId="8" xfId="0" applyFont="1" applyFill="1" applyBorder="1"/>
    <xf numFmtId="0" fontId="62" fillId="3" borderId="7" xfId="0" applyFont="1" applyFill="1" applyBorder="1"/>
    <xf numFmtId="0" fontId="62" fillId="3" borderId="0" xfId="0" applyFont="1" applyFill="1"/>
    <xf numFmtId="0" fontId="62" fillId="3" borderId="8" xfId="0" applyFont="1" applyFill="1" applyBorder="1"/>
    <xf numFmtId="0" fontId="61" fillId="3" borderId="12" xfId="0" applyFont="1" applyFill="1" applyBorder="1"/>
    <xf numFmtId="0" fontId="60" fillId="3" borderId="12" xfId="0" applyFont="1" applyFill="1" applyBorder="1"/>
    <xf numFmtId="9" fontId="9" fillId="2" borderId="45" xfId="1" applyFont="1" applyFill="1" applyBorder="1" applyAlignment="1" applyProtection="1">
      <alignment horizontal="right" vertical="center"/>
      <protection locked="0"/>
    </xf>
    <xf numFmtId="0" fontId="63" fillId="3" borderId="0" xfId="0" applyFont="1" applyFill="1"/>
    <xf numFmtId="0" fontId="55" fillId="3" borderId="8" xfId="0" applyFont="1" applyFill="1" applyBorder="1"/>
    <xf numFmtId="0" fontId="9" fillId="3" borderId="22" xfId="0" applyFont="1" applyFill="1" applyBorder="1" applyAlignment="1">
      <alignment vertical="center" wrapText="1"/>
    </xf>
    <xf numFmtId="189" fontId="9" fillId="3" borderId="36" xfId="1" applyNumberFormat="1" applyFont="1" applyFill="1" applyBorder="1" applyAlignment="1" applyProtection="1">
      <alignment horizontal="right" vertical="center"/>
    </xf>
    <xf numFmtId="49" fontId="9" fillId="2" borderId="45" xfId="0" applyNumberFormat="1" applyFont="1" applyFill="1" applyBorder="1" applyAlignment="1" applyProtection="1">
      <alignment horizontal="right" vertical="top" wrapText="1"/>
      <protection locked="0"/>
    </xf>
    <xf numFmtId="0" fontId="24" fillId="3" borderId="0" xfId="0" applyFont="1" applyFill="1" applyAlignment="1">
      <alignment vertical="top"/>
    </xf>
    <xf numFmtId="0" fontId="37" fillId="3" borderId="0" xfId="0" applyFont="1" applyFill="1" applyAlignment="1">
      <alignment vertical="top"/>
    </xf>
    <xf numFmtId="0" fontId="10" fillId="0" borderId="0" xfId="0" applyFont="1" applyAlignment="1">
      <alignment vertical="top" wrapText="1"/>
    </xf>
    <xf numFmtId="179" fontId="39" fillId="3" borderId="19" xfId="3" applyNumberFormat="1" applyFont="1" applyFill="1" applyBorder="1" applyAlignment="1">
      <alignment vertical="center"/>
    </xf>
    <xf numFmtId="0" fontId="49" fillId="3" borderId="0" xfId="0" applyFont="1" applyFill="1" applyAlignment="1">
      <alignment vertical="top"/>
    </xf>
    <xf numFmtId="179" fontId="9" fillId="3" borderId="31" xfId="3" applyNumberFormat="1" applyFont="1" applyFill="1" applyBorder="1" applyProtection="1"/>
    <xf numFmtId="179" fontId="9" fillId="3" borderId="33" xfId="3" applyNumberFormat="1" applyFont="1" applyFill="1" applyBorder="1" applyProtection="1"/>
    <xf numFmtId="179" fontId="9" fillId="3" borderId="34" xfId="3" applyNumberFormat="1" applyFont="1" applyFill="1" applyBorder="1" applyProtection="1"/>
    <xf numFmtId="9" fontId="3" fillId="3" borderId="67" xfId="1" applyFont="1" applyFill="1" applyBorder="1" applyAlignment="1" applyProtection="1">
      <alignment vertical="center"/>
    </xf>
    <xf numFmtId="9" fontId="3" fillId="3" borderId="68" xfId="1" applyFont="1" applyFill="1" applyBorder="1" applyAlignment="1" applyProtection="1">
      <alignment vertical="center"/>
    </xf>
    <xf numFmtId="9" fontId="3" fillId="3" borderId="69" xfId="1" applyFont="1" applyFill="1" applyBorder="1" applyAlignment="1" applyProtection="1">
      <alignment vertical="center"/>
    </xf>
    <xf numFmtId="0" fontId="34" fillId="3" borderId="70" xfId="0" applyFont="1" applyFill="1" applyBorder="1"/>
    <xf numFmtId="179" fontId="34" fillId="3" borderId="59" xfId="3" applyNumberFormat="1" applyFont="1" applyFill="1" applyBorder="1"/>
    <xf numFmtId="179" fontId="10" fillId="3" borderId="71" xfId="3" applyNumberFormat="1" applyFont="1" applyFill="1" applyBorder="1"/>
    <xf numFmtId="2" fontId="49" fillId="3" borderId="0" xfId="0" applyNumberFormat="1" applyFont="1" applyFill="1" applyAlignment="1">
      <alignment horizontal="left" vertical="top"/>
    </xf>
    <xf numFmtId="2" fontId="50" fillId="3" borderId="0" xfId="0" applyNumberFormat="1" applyFont="1" applyFill="1" applyAlignment="1">
      <alignment horizontal="left" vertical="top"/>
    </xf>
    <xf numFmtId="0" fontId="14" fillId="3" borderId="10" xfId="0" applyFont="1" applyFill="1" applyBorder="1" applyAlignment="1">
      <alignment horizontal="left" vertical="center"/>
    </xf>
    <xf numFmtId="179" fontId="12" fillId="3" borderId="0" xfId="0" applyNumberFormat="1" applyFont="1" applyFill="1"/>
    <xf numFmtId="191" fontId="3" fillId="2" borderId="0" xfId="0" applyNumberFormat="1" applyFont="1" applyFill="1" applyAlignment="1" applyProtection="1">
      <alignment horizontal="left" vertical="top"/>
      <protection locked="0"/>
    </xf>
    <xf numFmtId="179" fontId="3" fillId="3" borderId="56" xfId="3" applyNumberFormat="1" applyFont="1" applyFill="1" applyBorder="1" applyAlignment="1" applyProtection="1">
      <alignment horizontal="center" vertical="center"/>
    </xf>
    <xf numFmtId="179" fontId="3" fillId="3" borderId="15" xfId="3" applyNumberFormat="1" applyFont="1" applyFill="1" applyBorder="1" applyAlignment="1" applyProtection="1">
      <alignment horizontal="center" vertical="center"/>
    </xf>
    <xf numFmtId="9" fontId="3" fillId="3" borderId="15" xfId="1" applyFont="1" applyFill="1" applyBorder="1" applyAlignment="1" applyProtection="1">
      <alignment vertical="center"/>
    </xf>
    <xf numFmtId="0" fontId="4" fillId="3" borderId="55" xfId="0" applyFont="1" applyFill="1" applyBorder="1" applyAlignment="1">
      <alignment horizontal="right" vertical="center" wrapText="1"/>
    </xf>
    <xf numFmtId="0" fontId="4" fillId="3" borderId="12" xfId="0" applyFont="1" applyFill="1" applyBorder="1" applyAlignment="1">
      <alignment horizontal="right" vertical="center" wrapText="1"/>
    </xf>
    <xf numFmtId="194" fontId="3" fillId="3" borderId="38" xfId="0" applyNumberFormat="1" applyFont="1" applyFill="1" applyBorder="1" applyAlignment="1">
      <alignment vertical="center"/>
    </xf>
    <xf numFmtId="194" fontId="3" fillId="3" borderId="65" xfId="0" applyNumberFormat="1" applyFont="1" applyFill="1" applyBorder="1" applyAlignment="1">
      <alignment vertical="center"/>
    </xf>
    <xf numFmtId="194" fontId="11" fillId="3" borderId="66" xfId="0" applyNumberFormat="1" applyFont="1" applyFill="1" applyBorder="1" applyAlignment="1">
      <alignment horizontal="center" vertical="center"/>
    </xf>
    <xf numFmtId="195" fontId="9" fillId="3" borderId="36" xfId="0" applyNumberFormat="1" applyFont="1" applyFill="1" applyBorder="1" applyAlignment="1">
      <alignment horizontal="right" vertical="center"/>
    </xf>
    <xf numFmtId="195" fontId="9" fillId="3" borderId="44" xfId="1" applyNumberFormat="1" applyFont="1" applyFill="1" applyBorder="1" applyAlignment="1" applyProtection="1">
      <alignment horizontal="right" vertical="center"/>
    </xf>
    <xf numFmtId="195" fontId="9" fillId="3" borderId="35" xfId="0" applyNumberFormat="1" applyFont="1" applyFill="1" applyBorder="1" applyAlignment="1">
      <alignment horizontal="right" vertical="center"/>
    </xf>
    <xf numFmtId="195" fontId="9" fillId="3" borderId="36" xfId="1" applyNumberFormat="1" applyFont="1" applyFill="1" applyBorder="1" applyAlignment="1" applyProtection="1">
      <alignment horizontal="right" vertical="center"/>
    </xf>
    <xf numFmtId="197" fontId="9" fillId="3" borderId="45" xfId="3" applyNumberFormat="1" applyFont="1" applyFill="1" applyBorder="1" applyAlignment="1">
      <alignment horizontal="right" vertical="center"/>
    </xf>
    <xf numFmtId="194" fontId="9" fillId="3" borderId="35" xfId="3" applyNumberFormat="1" applyFont="1" applyFill="1" applyBorder="1" applyAlignment="1">
      <alignment horizontal="right" vertical="center"/>
    </xf>
    <xf numFmtId="198" fontId="9" fillId="3" borderId="35" xfId="3" applyNumberFormat="1" applyFont="1" applyFill="1" applyBorder="1" applyAlignment="1">
      <alignment horizontal="right" vertical="center"/>
    </xf>
    <xf numFmtId="194" fontId="10" fillId="3" borderId="52" xfId="3" applyNumberFormat="1" applyFont="1" applyFill="1" applyBorder="1" applyAlignment="1">
      <alignment horizontal="right" vertical="center"/>
    </xf>
    <xf numFmtId="198" fontId="10" fillId="3" borderId="72" xfId="3" applyNumberFormat="1" applyFont="1" applyFill="1" applyBorder="1" applyAlignment="1">
      <alignment horizontal="right" vertical="center"/>
    </xf>
    <xf numFmtId="195" fontId="9" fillId="3" borderId="39" xfId="0" applyNumberFormat="1" applyFont="1" applyFill="1" applyBorder="1" applyAlignment="1">
      <alignment horizontal="right" vertical="center"/>
    </xf>
    <xf numFmtId="195" fontId="9" fillId="3" borderId="29" xfId="1" applyNumberFormat="1" applyFont="1" applyFill="1" applyBorder="1" applyAlignment="1" applyProtection="1">
      <alignment horizontal="right" vertical="center"/>
    </xf>
    <xf numFmtId="195" fontId="9" fillId="3" borderId="38" xfId="0" applyNumberFormat="1" applyFont="1" applyFill="1" applyBorder="1" applyAlignment="1">
      <alignment horizontal="right" vertical="center"/>
    </xf>
    <xf numFmtId="195" fontId="9" fillId="3" borderId="39" xfId="1" applyNumberFormat="1" applyFont="1" applyFill="1" applyBorder="1" applyAlignment="1" applyProtection="1">
      <alignment horizontal="right" vertical="center"/>
    </xf>
    <xf numFmtId="197" fontId="9" fillId="3" borderId="30" xfId="3" applyNumberFormat="1" applyFont="1" applyFill="1" applyBorder="1" applyAlignment="1">
      <alignment horizontal="right" vertical="center"/>
    </xf>
    <xf numFmtId="194" fontId="9" fillId="3" borderId="38" xfId="3" applyNumberFormat="1" applyFont="1" applyFill="1" applyBorder="1" applyAlignment="1">
      <alignment horizontal="right" vertical="center"/>
    </xf>
    <xf numFmtId="198" fontId="9" fillId="3" borderId="38" xfId="3" applyNumberFormat="1" applyFont="1" applyFill="1" applyBorder="1" applyAlignment="1">
      <alignment horizontal="right" vertical="center"/>
    </xf>
    <xf numFmtId="194" fontId="10" fillId="3" borderId="62" xfId="3" applyNumberFormat="1" applyFont="1" applyFill="1" applyBorder="1" applyAlignment="1">
      <alignment horizontal="right" vertical="center"/>
    </xf>
    <xf numFmtId="198" fontId="10" fillId="3" borderId="54" xfId="3" applyNumberFormat="1" applyFont="1" applyFill="1" applyBorder="1" applyAlignment="1">
      <alignment horizontal="right" vertical="center"/>
    </xf>
    <xf numFmtId="181" fontId="10" fillId="7" borderId="23" xfId="3" applyNumberFormat="1" applyFont="1" applyFill="1" applyBorder="1" applyAlignment="1" applyProtection="1">
      <alignment horizontal="center"/>
    </xf>
    <xf numFmtId="181" fontId="10" fillId="7" borderId="49" xfId="3" applyNumberFormat="1" applyFont="1" applyFill="1" applyBorder="1" applyAlignment="1" applyProtection="1">
      <alignment horizontal="center"/>
    </xf>
    <xf numFmtId="198" fontId="9" fillId="3" borderId="36" xfId="3" applyNumberFormat="1" applyFont="1" applyFill="1" applyBorder="1" applyAlignment="1">
      <alignment horizontal="right" vertical="center"/>
    </xf>
    <xf numFmtId="198" fontId="10" fillId="3" borderId="53" xfId="3" applyNumberFormat="1" applyFont="1" applyFill="1" applyBorder="1" applyAlignment="1">
      <alignment horizontal="right" vertical="center"/>
    </xf>
    <xf numFmtId="199" fontId="9" fillId="3" borderId="35" xfId="0" applyNumberFormat="1" applyFont="1" applyFill="1" applyBorder="1" applyAlignment="1">
      <alignment horizontal="right" vertical="center"/>
    </xf>
    <xf numFmtId="199" fontId="9" fillId="3" borderId="38" xfId="0" applyNumberFormat="1" applyFont="1" applyFill="1" applyBorder="1" applyAlignment="1">
      <alignment horizontal="right" vertical="center"/>
    </xf>
    <xf numFmtId="198" fontId="9" fillId="3" borderId="39" xfId="3" applyNumberFormat="1" applyFont="1" applyFill="1" applyBorder="1" applyAlignment="1">
      <alignment horizontal="right" vertical="center"/>
    </xf>
    <xf numFmtId="198" fontId="10" fillId="3" borderId="63" xfId="3" applyNumberFormat="1" applyFont="1" applyFill="1" applyBorder="1" applyAlignment="1">
      <alignment horizontal="right" vertical="center"/>
    </xf>
    <xf numFmtId="179" fontId="3" fillId="3" borderId="21" xfId="3" applyNumberFormat="1" applyFont="1" applyFill="1" applyBorder="1" applyAlignment="1">
      <alignment horizontal="left" vertical="center"/>
    </xf>
    <xf numFmtId="179" fontId="3" fillId="3" borderId="16" xfId="3" applyNumberFormat="1" applyFont="1" applyFill="1" applyBorder="1" applyAlignment="1">
      <alignment horizontal="left" vertical="center"/>
    </xf>
    <xf numFmtId="49" fontId="9" fillId="2" borderId="36" xfId="0" applyNumberFormat="1" applyFont="1" applyFill="1" applyBorder="1" applyAlignment="1" applyProtection="1">
      <alignment horizontal="right" vertical="top" wrapText="1"/>
      <protection locked="0"/>
    </xf>
    <xf numFmtId="0" fontId="10" fillId="3" borderId="55" xfId="0" applyFont="1" applyFill="1" applyBorder="1" applyAlignment="1">
      <alignment vertical="center" wrapText="1"/>
    </xf>
    <xf numFmtId="194" fontId="3" fillId="3" borderId="1" xfId="0" applyNumberFormat="1" applyFont="1" applyFill="1" applyBorder="1" applyAlignment="1">
      <alignment horizontal="left" vertical="center" wrapText="1"/>
    </xf>
    <xf numFmtId="194" fontId="11" fillId="3" borderId="2" xfId="0" applyNumberFormat="1" applyFont="1" applyFill="1" applyBorder="1" applyAlignment="1">
      <alignment horizontal="center" vertical="center"/>
    </xf>
    <xf numFmtId="0" fontId="9" fillId="8" borderId="22" xfId="0" applyFont="1" applyFill="1" applyBorder="1" applyAlignment="1">
      <alignment vertical="center"/>
    </xf>
    <xf numFmtId="196" fontId="9" fillId="8" borderId="36" xfId="0" applyNumberFormat="1" applyFont="1" applyFill="1" applyBorder="1" applyAlignment="1" applyProtection="1">
      <alignment horizontal="right" vertical="center"/>
      <protection locked="0"/>
    </xf>
    <xf numFmtId="196" fontId="9" fillId="8" borderId="39" xfId="0" applyNumberFormat="1" applyFont="1" applyFill="1" applyBorder="1" applyAlignment="1" applyProtection="1">
      <alignment horizontal="right" vertical="center"/>
      <protection locked="0"/>
    </xf>
    <xf numFmtId="0" fontId="51" fillId="3" borderId="58" xfId="0" applyFont="1" applyFill="1" applyBorder="1" applyAlignment="1">
      <alignment horizontal="right"/>
    </xf>
    <xf numFmtId="9" fontId="50" fillId="3" borderId="59" xfId="1" applyFont="1" applyFill="1" applyBorder="1" applyAlignment="1">
      <alignment horizontal="right" vertical="top"/>
    </xf>
    <xf numFmtId="0" fontId="12" fillId="3" borderId="0" xfId="0" applyFont="1" applyFill="1" applyAlignment="1">
      <alignment horizontal="right" vertical="center"/>
    </xf>
    <xf numFmtId="0" fontId="50" fillId="3" borderId="10" xfId="0" applyFont="1" applyFill="1" applyBorder="1" applyAlignment="1">
      <alignment horizontal="center" vertical="center"/>
    </xf>
    <xf numFmtId="0" fontId="0" fillId="3" borderId="0" xfId="0" applyFill="1"/>
    <xf numFmtId="0" fontId="68" fillId="3" borderId="4" xfId="0" applyFont="1" applyFill="1" applyBorder="1"/>
    <xf numFmtId="0" fontId="68" fillId="3" borderId="5" xfId="0" applyFont="1" applyFill="1" applyBorder="1"/>
    <xf numFmtId="0" fontId="68" fillId="3" borderId="6" xfId="0" applyFont="1" applyFill="1" applyBorder="1"/>
    <xf numFmtId="0" fontId="0" fillId="3" borderId="7" xfId="0" applyFill="1" applyBorder="1"/>
    <xf numFmtId="0" fontId="65" fillId="3" borderId="0" xfId="0" applyFont="1" applyFill="1" applyAlignment="1">
      <alignment horizontal="right"/>
    </xf>
    <xf numFmtId="0" fontId="0" fillId="3" borderId="8" xfId="0" applyFill="1" applyBorder="1"/>
    <xf numFmtId="0" fontId="67" fillId="3" borderId="0" xfId="0" applyFont="1" applyFill="1" applyAlignment="1">
      <alignment horizontal="center"/>
    </xf>
    <xf numFmtId="0" fontId="0" fillId="3" borderId="7" xfId="0" applyFill="1" applyBorder="1" applyAlignment="1">
      <alignment wrapText="1"/>
    </xf>
    <xf numFmtId="0" fontId="65" fillId="3" borderId="42" xfId="0" applyFont="1" applyFill="1" applyBorder="1" applyAlignment="1">
      <alignment horizontal="center" textRotation="90" wrapText="1"/>
    </xf>
    <xf numFmtId="0" fontId="65" fillId="3" borderId="55" xfId="0" applyFont="1" applyFill="1" applyBorder="1" applyAlignment="1">
      <alignment horizontal="center" textRotation="90" wrapText="1"/>
    </xf>
    <xf numFmtId="0" fontId="65" fillId="3" borderId="73" xfId="0" applyFont="1" applyFill="1" applyBorder="1" applyAlignment="1">
      <alignment horizontal="center" textRotation="90" wrapText="1"/>
    </xf>
    <xf numFmtId="0" fontId="65" fillId="3" borderId="74" xfId="0" applyFont="1" applyFill="1" applyBorder="1" applyAlignment="1">
      <alignment horizontal="center" textRotation="90" wrapText="1"/>
    </xf>
    <xf numFmtId="0" fontId="65" fillId="3" borderId="75" xfId="0" applyFont="1" applyFill="1" applyBorder="1" applyAlignment="1">
      <alignment horizontal="center" textRotation="90" wrapText="1"/>
    </xf>
    <xf numFmtId="0" fontId="65" fillId="3" borderId="76" xfId="0" applyFont="1" applyFill="1" applyBorder="1" applyAlignment="1">
      <alignment horizontal="center" textRotation="90" wrapText="1"/>
    </xf>
    <xf numFmtId="0" fontId="0" fillId="3" borderId="8" xfId="0" applyFill="1" applyBorder="1" applyAlignment="1">
      <alignment wrapText="1"/>
    </xf>
    <xf numFmtId="0" fontId="0" fillId="3" borderId="78" xfId="0" applyFill="1" applyBorder="1"/>
    <xf numFmtId="200" fontId="0" fillId="3" borderId="79" xfId="0" applyNumberFormat="1" applyFill="1" applyBorder="1" applyAlignment="1">
      <alignment horizontal="right"/>
    </xf>
    <xf numFmtId="200" fontId="0" fillId="2" borderId="80" xfId="0" applyNumberFormat="1" applyFill="1" applyBorder="1"/>
    <xf numFmtId="10" fontId="2" fillId="3" borderId="77" xfId="1" applyNumberFormat="1" applyFont="1" applyFill="1" applyBorder="1"/>
    <xf numFmtId="9" fontId="2" fillId="2" borderId="81" xfId="1" applyFont="1" applyFill="1" applyBorder="1" applyProtection="1">
      <protection locked="0"/>
    </xf>
    <xf numFmtId="9" fontId="2" fillId="2" borderId="78" xfId="1" applyFont="1" applyFill="1" applyBorder="1" applyProtection="1">
      <protection locked="0"/>
    </xf>
    <xf numFmtId="10" fontId="2" fillId="2" borderId="82" xfId="1" applyNumberFormat="1" applyFont="1" applyFill="1" applyBorder="1" applyProtection="1">
      <protection locked="0"/>
    </xf>
    <xf numFmtId="0" fontId="0" fillId="2" borderId="84" xfId="0" applyFill="1" applyBorder="1" applyProtection="1">
      <protection locked="0"/>
    </xf>
    <xf numFmtId="200" fontId="0" fillId="2" borderId="85" xfId="0" applyNumberFormat="1" applyFill="1" applyBorder="1" applyAlignment="1" applyProtection="1">
      <alignment horizontal="right"/>
      <protection locked="0"/>
    </xf>
    <xf numFmtId="200" fontId="0" fillId="0" borderId="86" xfId="0" applyNumberFormat="1" applyBorder="1"/>
    <xf numFmtId="10" fontId="2" fillId="3" borderId="83" xfId="1" applyNumberFormat="1" applyFont="1" applyFill="1" applyBorder="1"/>
    <xf numFmtId="9" fontId="2" fillId="2" borderId="87" xfId="1" applyFont="1" applyFill="1" applyBorder="1" applyProtection="1">
      <protection locked="0"/>
    </xf>
    <xf numFmtId="9" fontId="2" fillId="2" borderId="84" xfId="1" applyFont="1" applyFill="1" applyBorder="1" applyProtection="1">
      <protection locked="0"/>
    </xf>
    <xf numFmtId="10" fontId="2" fillId="2" borderId="88" xfId="1" applyNumberFormat="1" applyFont="1" applyFill="1" applyBorder="1" applyProtection="1">
      <protection locked="0"/>
    </xf>
    <xf numFmtId="0" fontId="0" fillId="2" borderId="90" xfId="0" applyFill="1" applyBorder="1" applyProtection="1">
      <protection locked="0"/>
    </xf>
    <xf numFmtId="200" fontId="0" fillId="2" borderId="91" xfId="0" applyNumberFormat="1" applyFill="1" applyBorder="1" applyAlignment="1" applyProtection="1">
      <alignment horizontal="right"/>
      <protection locked="0"/>
    </xf>
    <xf numFmtId="200" fontId="0" fillId="0" borderId="92" xfId="0" applyNumberFormat="1" applyBorder="1"/>
    <xf numFmtId="10" fontId="2" fillId="3" borderId="89" xfId="1" applyNumberFormat="1" applyFont="1" applyFill="1" applyBorder="1"/>
    <xf numFmtId="9" fontId="2" fillId="2" borderId="93" xfId="1" applyFont="1" applyFill="1" applyBorder="1" applyProtection="1">
      <protection locked="0"/>
    </xf>
    <xf numFmtId="9" fontId="2" fillId="2" borderId="90" xfId="1" applyFont="1" applyFill="1" applyBorder="1" applyProtection="1">
      <protection locked="0"/>
    </xf>
    <xf numFmtId="10" fontId="2" fillId="2" borderId="94" xfId="1" applyNumberFormat="1" applyFont="1" applyFill="1" applyBorder="1" applyProtection="1">
      <protection locked="0"/>
    </xf>
    <xf numFmtId="0" fontId="0" fillId="3" borderId="9" xfId="0" applyFill="1" applyBorder="1"/>
    <xf numFmtId="0" fontId="0" fillId="3" borderId="10" xfId="0" applyFill="1" applyBorder="1"/>
    <xf numFmtId="0" fontId="0" fillId="3" borderId="11" xfId="0" applyFill="1" applyBorder="1"/>
    <xf numFmtId="201" fontId="0" fillId="3" borderId="79" xfId="0" applyNumberFormat="1" applyFill="1" applyBorder="1"/>
    <xf numFmtId="201" fontId="0" fillId="2" borderId="81" xfId="0" applyNumberFormat="1" applyFill="1" applyBorder="1" applyProtection="1">
      <protection locked="0"/>
    </xf>
    <xf numFmtId="201" fontId="0" fillId="2" borderId="78" xfId="0" applyNumberFormat="1" applyFill="1" applyBorder="1" applyProtection="1">
      <protection locked="0"/>
    </xf>
    <xf numFmtId="201" fontId="0" fillId="3" borderId="85" xfId="0" applyNumberFormat="1" applyFill="1" applyBorder="1"/>
    <xf numFmtId="201" fontId="0" fillId="2" borderId="87" xfId="0" applyNumberFormat="1" applyFill="1" applyBorder="1" applyProtection="1">
      <protection locked="0"/>
    </xf>
    <xf numFmtId="201" fontId="0" fillId="2" borderId="84" xfId="0" applyNumberFormat="1" applyFill="1" applyBorder="1" applyProtection="1">
      <protection locked="0"/>
    </xf>
    <xf numFmtId="201" fontId="0" fillId="3" borderId="91" xfId="0" applyNumberFormat="1" applyFill="1" applyBorder="1"/>
    <xf numFmtId="201" fontId="0" fillId="2" borderId="93" xfId="0" applyNumberFormat="1" applyFill="1" applyBorder="1" applyProtection="1">
      <protection locked="0"/>
    </xf>
    <xf numFmtId="201" fontId="0" fillId="2" borderId="90" xfId="0" applyNumberFormat="1" applyFill="1" applyBorder="1" applyProtection="1">
      <protection locked="0"/>
    </xf>
    <xf numFmtId="202" fontId="0" fillId="2" borderId="80" xfId="0" applyNumberFormat="1" applyFill="1" applyBorder="1" applyProtection="1">
      <protection locked="0"/>
    </xf>
    <xf numFmtId="202" fontId="0" fillId="2" borderId="86" xfId="0" applyNumberFormat="1" applyFill="1" applyBorder="1" applyProtection="1">
      <protection locked="0"/>
    </xf>
    <xf numFmtId="202" fontId="0" fillId="2" borderId="92" xfId="0" applyNumberFormat="1" applyFill="1" applyBorder="1" applyProtection="1">
      <protection locked="0"/>
    </xf>
    <xf numFmtId="203" fontId="0" fillId="2" borderId="79" xfId="0" applyNumberFormat="1" applyFill="1" applyBorder="1" applyProtection="1">
      <protection locked="0"/>
    </xf>
    <xf numFmtId="203" fontId="0" fillId="2" borderId="85" xfId="0" applyNumberFormat="1" applyFill="1" applyBorder="1" applyProtection="1">
      <protection locked="0"/>
    </xf>
    <xf numFmtId="203" fontId="0" fillId="2" borderId="91" xfId="0" applyNumberFormat="1" applyFill="1" applyBorder="1" applyProtection="1">
      <protection locked="0"/>
    </xf>
    <xf numFmtId="204" fontId="2" fillId="2" borderId="80" xfId="1" applyNumberFormat="1" applyFont="1" applyFill="1" applyBorder="1" applyProtection="1">
      <protection locked="0"/>
    </xf>
    <xf numFmtId="204" fontId="2" fillId="2" borderId="86" xfId="1" applyNumberFormat="1" applyFont="1" applyFill="1" applyBorder="1" applyProtection="1">
      <protection locked="0"/>
    </xf>
    <xf numFmtId="204" fontId="2" fillId="2" borderId="92" xfId="1" applyNumberFormat="1" applyFont="1" applyFill="1" applyBorder="1" applyProtection="1">
      <protection locked="0"/>
    </xf>
    <xf numFmtId="205" fontId="2" fillId="2" borderId="79" xfId="1" applyNumberFormat="1" applyFont="1" applyFill="1" applyBorder="1" applyProtection="1">
      <protection locked="0"/>
    </xf>
    <xf numFmtId="205" fontId="2" fillId="2" borderId="85" xfId="1" applyNumberFormat="1" applyFont="1" applyFill="1" applyBorder="1" applyProtection="1">
      <protection locked="0"/>
    </xf>
    <xf numFmtId="205" fontId="2" fillId="2" borderId="91" xfId="1" applyNumberFormat="1" applyFont="1" applyFill="1" applyBorder="1" applyProtection="1">
      <protection locked="0"/>
    </xf>
    <xf numFmtId="206" fontId="0" fillId="2" borderId="77" xfId="0" applyNumberFormat="1" applyFill="1" applyBorder="1" applyAlignment="1" applyProtection="1">
      <alignment horizontal="left"/>
      <protection locked="0"/>
    </xf>
    <xf numFmtId="206" fontId="0" fillId="2" borderId="83" xfId="0" applyNumberFormat="1" applyFill="1" applyBorder="1" applyAlignment="1" applyProtection="1">
      <alignment horizontal="left"/>
      <protection locked="0"/>
    </xf>
    <xf numFmtId="206" fontId="0" fillId="2" borderId="89" xfId="0" applyNumberFormat="1" applyFill="1" applyBorder="1" applyAlignment="1" applyProtection="1">
      <alignment horizontal="left"/>
      <protection locked="0"/>
    </xf>
    <xf numFmtId="0" fontId="12" fillId="3" borderId="0" xfId="0" applyFont="1" applyFill="1" applyAlignment="1">
      <alignment vertical="center" wrapText="1"/>
    </xf>
    <xf numFmtId="200" fontId="9" fillId="3" borderId="45" xfId="3" applyNumberFormat="1" applyFont="1" applyFill="1" applyBorder="1" applyAlignment="1">
      <alignment horizontal="right" vertical="center"/>
    </xf>
    <xf numFmtId="200" fontId="9" fillId="3" borderId="30" xfId="3" applyNumberFormat="1" applyFont="1" applyFill="1" applyBorder="1" applyAlignment="1">
      <alignment horizontal="right" vertical="center"/>
    </xf>
    <xf numFmtId="14" fontId="60" fillId="3" borderId="0" xfId="0" applyNumberFormat="1" applyFont="1" applyFill="1" applyAlignment="1">
      <alignment horizontal="left"/>
    </xf>
    <xf numFmtId="189" fontId="9" fillId="3" borderId="38" xfId="1" applyNumberFormat="1" applyFont="1" applyFill="1" applyBorder="1" applyAlignment="1" applyProtection="1">
      <alignment horizontal="right" vertical="center"/>
    </xf>
    <xf numFmtId="0" fontId="9" fillId="0" borderId="0" xfId="0" applyFont="1" applyAlignment="1">
      <alignment horizontal="left"/>
    </xf>
    <xf numFmtId="10" fontId="9" fillId="9" borderId="45" xfId="1" applyNumberFormat="1" applyFont="1" applyFill="1" applyBorder="1" applyAlignment="1" applyProtection="1">
      <alignment horizontal="right" vertical="center"/>
      <protection locked="0"/>
    </xf>
    <xf numFmtId="0" fontId="69" fillId="3" borderId="2" xfId="0" applyFont="1" applyFill="1" applyBorder="1"/>
    <xf numFmtId="0" fontId="10" fillId="2" borderId="44" xfId="0" applyFont="1" applyFill="1" applyBorder="1" applyAlignment="1" applyProtection="1">
      <alignment horizontal="center" vertical="center"/>
      <protection locked="0"/>
    </xf>
    <xf numFmtId="0" fontId="1" fillId="0" borderId="0" xfId="0" applyFont="1"/>
    <xf numFmtId="10" fontId="9" fillId="3" borderId="0" xfId="1" applyNumberFormat="1" applyFont="1" applyFill="1" applyBorder="1" applyAlignment="1" applyProtection="1">
      <alignment vertical="center"/>
      <protection locked="0"/>
    </xf>
    <xf numFmtId="0" fontId="70" fillId="3" borderId="8" xfId="0" applyFont="1" applyFill="1" applyBorder="1" applyAlignment="1" applyProtection="1">
      <alignment horizontal="center" vertical="center"/>
      <protection locked="0"/>
    </xf>
    <xf numFmtId="0" fontId="5" fillId="3" borderId="0" xfId="0" applyFont="1" applyFill="1" applyAlignment="1">
      <alignment vertical="center"/>
    </xf>
    <xf numFmtId="49" fontId="10" fillId="2" borderId="35" xfId="0" applyNumberFormat="1" applyFont="1" applyFill="1" applyBorder="1" applyAlignment="1" applyProtection="1">
      <alignment horizontal="right" vertical="top" wrapText="1"/>
      <protection locked="0"/>
    </xf>
    <xf numFmtId="9" fontId="9" fillId="2" borderId="30" xfId="1" applyFont="1" applyFill="1" applyBorder="1" applyAlignment="1" applyProtection="1">
      <alignment horizontal="right" vertical="center"/>
      <protection locked="0"/>
    </xf>
    <xf numFmtId="182" fontId="9" fillId="2" borderId="30" xfId="1" applyNumberFormat="1" applyFont="1" applyFill="1" applyBorder="1" applyAlignment="1" applyProtection="1">
      <alignment horizontal="right" vertical="center"/>
      <protection locked="0"/>
    </xf>
    <xf numFmtId="208" fontId="9" fillId="2" borderId="35" xfId="0" applyNumberFormat="1" applyFont="1" applyFill="1" applyBorder="1" applyAlignment="1" applyProtection="1">
      <alignment horizontal="right" vertical="center"/>
      <protection locked="0"/>
    </xf>
    <xf numFmtId="0" fontId="12" fillId="3" borderId="0" xfId="0" applyFont="1" applyFill="1" applyAlignment="1">
      <alignment horizontal="right"/>
    </xf>
    <xf numFmtId="4" fontId="12" fillId="3" borderId="7" xfId="0" applyNumberFormat="1" applyFont="1" applyFill="1" applyBorder="1"/>
    <xf numFmtId="2" fontId="12" fillId="3" borderId="0" xfId="0" applyNumberFormat="1" applyFont="1" applyFill="1"/>
    <xf numFmtId="181" fontId="9" fillId="3" borderId="0" xfId="3" applyNumberFormat="1" applyFont="1" applyFill="1" applyBorder="1" applyAlignment="1">
      <alignment horizontal="left" vertical="top"/>
    </xf>
    <xf numFmtId="181" fontId="9" fillId="3" borderId="8" xfId="3" applyNumberFormat="1" applyFont="1" applyFill="1" applyBorder="1" applyAlignment="1">
      <alignment horizontal="left" vertical="top"/>
    </xf>
    <xf numFmtId="14" fontId="3" fillId="2" borderId="0" xfId="0" applyNumberFormat="1" applyFont="1" applyFill="1" applyAlignment="1" applyProtection="1">
      <alignment horizontal="left" vertical="top"/>
      <protection locked="0"/>
    </xf>
    <xf numFmtId="0" fontId="1" fillId="3" borderId="23" xfId="0" applyFont="1" applyFill="1" applyBorder="1" applyAlignment="1">
      <alignment vertical="top" wrapText="1"/>
    </xf>
    <xf numFmtId="0" fontId="1" fillId="3" borderId="16" xfId="0" applyFont="1" applyFill="1" applyBorder="1" applyAlignment="1">
      <alignment vertical="top" wrapText="1"/>
    </xf>
    <xf numFmtId="49" fontId="1" fillId="3" borderId="23" xfId="0" applyNumberFormat="1" applyFont="1" applyFill="1" applyBorder="1" applyAlignment="1">
      <alignment vertical="top" wrapText="1"/>
    </xf>
    <xf numFmtId="49" fontId="1" fillId="3" borderId="23" xfId="0" applyNumberFormat="1" applyFont="1" applyFill="1" applyBorder="1" applyAlignment="1">
      <alignment vertical="top"/>
    </xf>
    <xf numFmtId="14" fontId="1" fillId="3" borderId="23" xfId="0" applyNumberFormat="1" applyFont="1" applyFill="1" applyBorder="1" applyAlignment="1">
      <alignment vertical="top"/>
    </xf>
    <xf numFmtId="49" fontId="1" fillId="3" borderId="16" xfId="0" applyNumberFormat="1" applyFont="1" applyFill="1" applyBorder="1" applyAlignment="1">
      <alignment vertical="top" wrapText="1"/>
    </xf>
    <xf numFmtId="49" fontId="1" fillId="3" borderId="16" xfId="0" applyNumberFormat="1" applyFont="1" applyFill="1" applyBorder="1" applyAlignment="1">
      <alignment vertical="top"/>
    </xf>
    <xf numFmtId="14" fontId="1" fillId="3" borderId="16" xfId="0" applyNumberFormat="1" applyFont="1" applyFill="1" applyBorder="1" applyAlignment="1">
      <alignment vertical="top"/>
    </xf>
    <xf numFmtId="49" fontId="34" fillId="3" borderId="0" xfId="0" applyNumberFormat="1" applyFont="1" applyFill="1"/>
    <xf numFmtId="0" fontId="72" fillId="3" borderId="0" xfId="0" applyFont="1" applyFill="1"/>
    <xf numFmtId="49" fontId="72" fillId="3" borderId="0" xfId="0" applyNumberFormat="1" applyFont="1" applyFill="1"/>
    <xf numFmtId="0" fontId="73" fillId="3" borderId="0" xfId="0" applyFont="1" applyFill="1"/>
    <xf numFmtId="49" fontId="73" fillId="3" borderId="0" xfId="0" applyNumberFormat="1" applyFont="1" applyFill="1"/>
    <xf numFmtId="209" fontId="9" fillId="2" borderId="36" xfId="0" applyNumberFormat="1" applyFont="1" applyFill="1" applyBorder="1" applyAlignment="1" applyProtection="1">
      <alignment horizontal="right" vertical="top" wrapText="1"/>
      <protection locked="0"/>
    </xf>
    <xf numFmtId="210" fontId="9" fillId="2" borderId="36" xfId="0" applyNumberFormat="1" applyFont="1" applyFill="1" applyBorder="1" applyAlignment="1" applyProtection="1">
      <alignment horizontal="right" vertical="top" wrapText="1"/>
      <protection locked="0"/>
    </xf>
    <xf numFmtId="211" fontId="9" fillId="2" borderId="45" xfId="0" applyNumberFormat="1" applyFont="1" applyFill="1" applyBorder="1" applyAlignment="1" applyProtection="1">
      <alignment horizontal="right" vertical="center"/>
      <protection locked="0"/>
    </xf>
    <xf numFmtId="211" fontId="9" fillId="2" borderId="35" xfId="0" applyNumberFormat="1" applyFont="1" applyFill="1" applyBorder="1" applyAlignment="1" applyProtection="1">
      <alignment horizontal="right" vertical="center"/>
      <protection locked="0"/>
    </xf>
    <xf numFmtId="14" fontId="12" fillId="3" borderId="0" xfId="0" applyNumberFormat="1" applyFont="1" applyFill="1" applyAlignment="1">
      <alignment wrapText="1"/>
    </xf>
    <xf numFmtId="0" fontId="4" fillId="3" borderId="59" xfId="0" applyFont="1" applyFill="1" applyBorder="1" applyAlignment="1">
      <alignment vertical="center" wrapText="1"/>
    </xf>
    <xf numFmtId="0" fontId="4" fillId="3" borderId="0" xfId="0" applyFont="1" applyFill="1" applyBorder="1" applyAlignment="1">
      <alignment vertical="center" wrapText="1"/>
    </xf>
    <xf numFmtId="0" fontId="4" fillId="3" borderId="0" xfId="0" applyFont="1" applyFill="1" applyBorder="1" applyAlignment="1">
      <alignment horizontal="center" vertical="center" wrapText="1"/>
    </xf>
    <xf numFmtId="0" fontId="3" fillId="2" borderId="21" xfId="0" applyFont="1" applyFill="1" applyBorder="1" applyAlignment="1" applyProtection="1">
      <alignment vertical="center"/>
      <protection locked="0"/>
    </xf>
    <xf numFmtId="178" fontId="3" fillId="2" borderId="35" xfId="0" applyNumberFormat="1" applyFont="1" applyFill="1" applyBorder="1" applyAlignment="1" applyProtection="1">
      <alignment vertical="center"/>
      <protection locked="0"/>
    </xf>
    <xf numFmtId="179" fontId="9" fillId="2" borderId="35" xfId="3" applyNumberFormat="1" applyFont="1" applyFill="1" applyBorder="1" applyProtection="1">
      <protection locked="0"/>
    </xf>
    <xf numFmtId="193" fontId="3" fillId="2" borderId="95" xfId="0" applyNumberFormat="1" applyFont="1" applyFill="1" applyBorder="1" applyAlignment="1" applyProtection="1">
      <alignment horizontal="right" vertical="center"/>
      <protection locked="0"/>
    </xf>
    <xf numFmtId="179" fontId="3" fillId="2" borderId="35" xfId="3" applyNumberFormat="1" applyFont="1" applyFill="1" applyBorder="1" applyAlignment="1" applyProtection="1">
      <alignment vertical="center"/>
      <protection locked="0"/>
    </xf>
    <xf numFmtId="207" fontId="3" fillId="2" borderId="95" xfId="0" applyNumberFormat="1" applyFont="1" applyFill="1" applyBorder="1" applyAlignment="1" applyProtection="1">
      <alignment horizontal="right" vertical="center"/>
      <protection locked="0"/>
    </xf>
    <xf numFmtId="0" fontId="3" fillId="2" borderId="22" xfId="0" applyFont="1" applyFill="1" applyBorder="1" applyAlignment="1" applyProtection="1">
      <alignment vertical="center"/>
      <protection locked="0"/>
    </xf>
    <xf numFmtId="178" fontId="3" fillId="2" borderId="36" xfId="0" applyNumberFormat="1" applyFont="1" applyFill="1" applyBorder="1" applyAlignment="1" applyProtection="1">
      <alignment vertical="center"/>
      <protection locked="0"/>
    </xf>
    <xf numFmtId="179" fontId="3" fillId="2" borderId="36" xfId="3" applyNumberFormat="1" applyFont="1" applyFill="1" applyBorder="1" applyAlignment="1" applyProtection="1">
      <alignment vertical="center"/>
      <protection locked="0"/>
    </xf>
    <xf numFmtId="193" fontId="3" fillId="2" borderId="96" xfId="0" applyNumberFormat="1" applyFont="1" applyFill="1" applyBorder="1" applyAlignment="1" applyProtection="1">
      <alignment horizontal="right" vertical="center"/>
      <protection locked="0"/>
    </xf>
    <xf numFmtId="49" fontId="9" fillId="2" borderId="45" xfId="0" applyNumberFormat="1" applyFont="1" applyFill="1" applyBorder="1" applyAlignment="1" applyProtection="1">
      <alignment horizontal="center" vertical="center" wrapText="1"/>
      <protection locked="0"/>
    </xf>
    <xf numFmtId="49" fontId="9" fillId="10" borderId="45" xfId="0" applyNumberFormat="1" applyFont="1" applyFill="1" applyBorder="1" applyAlignment="1" applyProtection="1">
      <alignment horizontal="center" vertical="center" wrapText="1"/>
      <protection locked="0"/>
    </xf>
    <xf numFmtId="49" fontId="9" fillId="11" borderId="45" xfId="0" applyNumberFormat="1" applyFont="1" applyFill="1" applyBorder="1" applyAlignment="1" applyProtection="1">
      <alignment horizontal="center" vertical="center" wrapText="1"/>
      <protection locked="0"/>
    </xf>
    <xf numFmtId="49" fontId="9" fillId="2" borderId="35" xfId="0" applyNumberFormat="1" applyFont="1" applyFill="1" applyBorder="1" applyAlignment="1" applyProtection="1">
      <alignment horizontal="right" vertical="top" wrapText="1"/>
      <protection locked="0"/>
    </xf>
    <xf numFmtId="49" fontId="9" fillId="2" borderId="38" xfId="0" applyNumberFormat="1" applyFont="1" applyFill="1" applyBorder="1" applyAlignment="1" applyProtection="1">
      <alignment horizontal="right" vertical="top" wrapText="1"/>
      <protection locked="0"/>
    </xf>
    <xf numFmtId="212" fontId="9" fillId="12" borderId="36" xfId="0" applyNumberFormat="1" applyFont="1" applyFill="1" applyBorder="1" applyAlignment="1" applyProtection="1">
      <alignment horizontal="right" vertical="top" wrapText="1"/>
      <protection locked="0"/>
    </xf>
    <xf numFmtId="213" fontId="9" fillId="12" borderId="36" xfId="0" applyNumberFormat="1" applyFont="1" applyFill="1" applyBorder="1" applyAlignment="1" applyProtection="1">
      <alignment horizontal="right" vertical="top" wrapText="1"/>
      <protection locked="0"/>
    </xf>
    <xf numFmtId="214" fontId="9" fillId="12" borderId="36" xfId="0" applyNumberFormat="1" applyFont="1" applyFill="1" applyBorder="1" applyAlignment="1" applyProtection="1">
      <alignment horizontal="right" vertical="top" wrapText="1"/>
      <protection locked="0"/>
    </xf>
    <xf numFmtId="215" fontId="9" fillId="12" borderId="36" xfId="0" applyNumberFormat="1" applyFont="1" applyFill="1" applyBorder="1" applyAlignment="1" applyProtection="1">
      <alignment horizontal="right" vertical="top" wrapText="1"/>
      <protection locked="0"/>
    </xf>
    <xf numFmtId="49" fontId="9" fillId="2" borderId="36" xfId="0" applyNumberFormat="1" applyFont="1" applyFill="1" applyBorder="1" applyAlignment="1" applyProtection="1">
      <alignment horizontal="left" vertical="top" wrapText="1"/>
      <protection locked="0"/>
    </xf>
    <xf numFmtId="49" fontId="9" fillId="11" borderId="36" xfId="0" applyNumberFormat="1" applyFont="1" applyFill="1" applyBorder="1" applyAlignment="1" applyProtection="1">
      <alignment horizontal="left" vertical="top" wrapText="1"/>
      <protection locked="0"/>
    </xf>
    <xf numFmtId="49" fontId="9" fillId="2" borderId="39" xfId="0" applyNumberFormat="1" applyFont="1" applyFill="1" applyBorder="1" applyAlignment="1" applyProtection="1">
      <alignment horizontal="left" vertical="top" wrapText="1"/>
      <protection locked="0"/>
    </xf>
    <xf numFmtId="9" fontId="9" fillId="12" borderId="45" xfId="1" applyFont="1" applyFill="1" applyBorder="1" applyAlignment="1" applyProtection="1">
      <alignment horizontal="right" vertical="center"/>
      <protection locked="0"/>
    </xf>
    <xf numFmtId="182" fontId="9" fillId="2" borderId="45" xfId="1" applyNumberFormat="1" applyFont="1" applyFill="1" applyBorder="1" applyAlignment="1" applyProtection="1">
      <alignment horizontal="right" vertical="center"/>
      <protection locked="0"/>
    </xf>
    <xf numFmtId="10" fontId="9" fillId="12" borderId="45" xfId="1" applyNumberFormat="1" applyFont="1" applyFill="1" applyBorder="1" applyAlignment="1" applyProtection="1">
      <alignment horizontal="right" vertical="center"/>
      <protection locked="0"/>
    </xf>
    <xf numFmtId="190" fontId="9" fillId="12" borderId="45" xfId="0" applyNumberFormat="1" applyFont="1" applyFill="1" applyBorder="1" applyAlignment="1" applyProtection="1">
      <alignment horizontal="right" vertical="center"/>
      <protection locked="0"/>
    </xf>
    <xf numFmtId="9" fontId="9" fillId="11" borderId="45" xfId="1" applyFont="1" applyFill="1" applyBorder="1" applyAlignment="1" applyProtection="1">
      <alignment horizontal="right" vertical="center"/>
      <protection locked="0"/>
    </xf>
    <xf numFmtId="189" fontId="9" fillId="10" borderId="35" xfId="1" applyNumberFormat="1" applyFont="1" applyFill="1" applyBorder="1" applyAlignment="1" applyProtection="1">
      <alignment horizontal="right" vertical="center"/>
      <protection locked="0"/>
    </xf>
    <xf numFmtId="189" fontId="9" fillId="10" borderId="38" xfId="1" applyNumberFormat="1" applyFont="1" applyFill="1" applyBorder="1" applyAlignment="1" applyProtection="1">
      <alignment horizontal="right" vertical="center"/>
      <protection locked="0"/>
    </xf>
    <xf numFmtId="0" fontId="7" fillId="4" borderId="10" xfId="0" applyFont="1" applyFill="1" applyBorder="1" applyAlignment="1">
      <alignment horizontal="center" vertical="center"/>
    </xf>
    <xf numFmtId="0" fontId="3" fillId="2" borderId="15" xfId="0" applyFont="1" applyFill="1" applyBorder="1" applyAlignment="1" applyProtection="1">
      <alignment horizontal="left" vertical="top" wrapText="1"/>
      <protection locked="0"/>
    </xf>
    <xf numFmtId="0" fontId="3" fillId="2" borderId="15" xfId="0" applyFont="1" applyFill="1" applyBorder="1" applyAlignment="1" applyProtection="1">
      <alignment horizontal="left" vertical="top"/>
      <protection locked="0"/>
    </xf>
    <xf numFmtId="0" fontId="3" fillId="2" borderId="0" xfId="0" applyFont="1" applyFill="1" applyAlignment="1" applyProtection="1">
      <alignment horizontal="left" vertical="top" wrapText="1"/>
      <protection locked="0"/>
    </xf>
    <xf numFmtId="0" fontId="3" fillId="2" borderId="16" xfId="0" applyFont="1" applyFill="1" applyBorder="1" applyAlignment="1" applyProtection="1">
      <alignment horizontal="left" vertical="top"/>
      <protection locked="0"/>
    </xf>
    <xf numFmtId="0" fontId="3" fillId="2" borderId="17" xfId="0" applyFont="1" applyFill="1" applyBorder="1" applyAlignment="1" applyProtection="1">
      <alignment horizontal="left" vertical="top"/>
      <protection locked="0"/>
    </xf>
    <xf numFmtId="0" fontId="12" fillId="6" borderId="4" xfId="0" applyFont="1" applyFill="1" applyBorder="1" applyAlignment="1">
      <alignment horizontal="left" vertical="top" wrapText="1"/>
    </xf>
    <xf numFmtId="0" fontId="12" fillId="6" borderId="5" xfId="0" applyFont="1" applyFill="1" applyBorder="1" applyAlignment="1">
      <alignment horizontal="left" vertical="top" wrapText="1"/>
    </xf>
    <xf numFmtId="0" fontId="12" fillId="6" borderId="6" xfId="0" applyFont="1" applyFill="1" applyBorder="1" applyAlignment="1">
      <alignment horizontal="left" vertical="top" wrapText="1"/>
    </xf>
    <xf numFmtId="0" fontId="12" fillId="6" borderId="7" xfId="0" applyFont="1" applyFill="1" applyBorder="1" applyAlignment="1">
      <alignment horizontal="left" vertical="top" wrapText="1"/>
    </xf>
    <xf numFmtId="0" fontId="12" fillId="6" borderId="0" xfId="0" applyFont="1" applyFill="1" applyAlignment="1">
      <alignment horizontal="left" vertical="top" wrapText="1"/>
    </xf>
    <xf numFmtId="0" fontId="12" fillId="6" borderId="8" xfId="0" applyFont="1" applyFill="1" applyBorder="1" applyAlignment="1">
      <alignment horizontal="left" vertical="top" wrapText="1"/>
    </xf>
    <xf numFmtId="0" fontId="9" fillId="2" borderId="0" xfId="0" applyFont="1" applyFill="1" applyAlignment="1" applyProtection="1">
      <alignment horizontal="left" vertical="top" wrapText="1"/>
      <protection locked="0"/>
    </xf>
    <xf numFmtId="0" fontId="5" fillId="2" borderId="0" xfId="0" applyFont="1" applyFill="1" applyAlignment="1" applyProtection="1">
      <alignment horizontal="left" vertical="center"/>
      <protection locked="0"/>
    </xf>
    <xf numFmtId="0" fontId="3" fillId="2" borderId="16" xfId="0" applyFont="1" applyFill="1" applyBorder="1" applyAlignment="1" applyProtection="1">
      <alignment horizontal="left" vertical="top" wrapText="1"/>
      <protection locked="0"/>
    </xf>
    <xf numFmtId="0" fontId="71" fillId="3" borderId="13" xfId="0" applyFont="1" applyFill="1" applyBorder="1" applyAlignment="1">
      <alignment horizontal="center" vertical="center"/>
    </xf>
    <xf numFmtId="0" fontId="71" fillId="3" borderId="28" xfId="0" applyFont="1" applyFill="1" applyBorder="1" applyAlignment="1">
      <alignment horizontal="center" vertical="center"/>
    </xf>
    <xf numFmtId="0" fontId="71" fillId="3" borderId="14" xfId="0" applyFont="1" applyFill="1" applyBorder="1" applyAlignment="1">
      <alignment horizontal="center" vertical="center"/>
    </xf>
    <xf numFmtId="179" fontId="39" fillId="3" borderId="57" xfId="3" applyNumberFormat="1" applyFont="1" applyFill="1" applyBorder="1" applyAlignment="1">
      <alignment horizontal="left" vertical="center"/>
    </xf>
    <xf numFmtId="179" fontId="39" fillId="3" borderId="19" xfId="3" applyNumberFormat="1" applyFont="1" applyFill="1" applyBorder="1" applyAlignment="1">
      <alignment horizontal="left" vertical="center"/>
    </xf>
    <xf numFmtId="0" fontId="3" fillId="3" borderId="15" xfId="0" applyFont="1" applyFill="1" applyBorder="1" applyAlignment="1">
      <alignment horizontal="left" vertical="center"/>
    </xf>
    <xf numFmtId="0" fontId="3" fillId="3" borderId="15" xfId="0" applyFont="1" applyFill="1" applyBorder="1" applyAlignment="1">
      <alignment horizontal="right" vertical="center"/>
    </xf>
    <xf numFmtId="0" fontId="3" fillId="3" borderId="15" xfId="0" applyFont="1" applyFill="1" applyBorder="1" applyAlignment="1">
      <alignment horizontal="center" vertical="center"/>
    </xf>
    <xf numFmtId="0" fontId="3" fillId="3" borderId="16" xfId="0" applyFont="1" applyFill="1" applyBorder="1" applyAlignment="1">
      <alignment horizontal="center" vertical="center"/>
    </xf>
    <xf numFmtId="0" fontId="4" fillId="3" borderId="15" xfId="0" applyFont="1" applyFill="1" applyBorder="1" applyAlignment="1">
      <alignment horizontal="left" vertical="center"/>
    </xf>
    <xf numFmtId="0" fontId="4" fillId="3" borderId="29" xfId="0" applyFont="1" applyFill="1" applyBorder="1" applyAlignment="1">
      <alignment horizontal="center" vertical="top" wrapText="1"/>
    </xf>
    <xf numFmtId="0" fontId="4" fillId="3" borderId="43" xfId="0" applyFont="1" applyFill="1" applyBorder="1" applyAlignment="1">
      <alignment horizontal="center" vertical="top" wrapText="1"/>
    </xf>
    <xf numFmtId="0" fontId="49" fillId="3" borderId="37" xfId="0" applyFont="1" applyFill="1" applyBorder="1" applyAlignment="1">
      <alignment horizontal="left" vertical="top"/>
    </xf>
    <xf numFmtId="0" fontId="49" fillId="3" borderId="0" xfId="0" applyFont="1" applyFill="1" applyAlignment="1">
      <alignment horizontal="left" vertical="top"/>
    </xf>
    <xf numFmtId="0" fontId="21" fillId="3" borderId="0" xfId="0" applyFont="1" applyFill="1" applyAlignment="1">
      <alignment horizontal="left" vertical="center"/>
    </xf>
    <xf numFmtId="0" fontId="21" fillId="3" borderId="8" xfId="0" applyFont="1" applyFill="1" applyBorder="1" applyAlignment="1">
      <alignment horizontal="left" vertical="center"/>
    </xf>
    <xf numFmtId="0" fontId="23" fillId="3" borderId="5" xfId="0" applyFont="1" applyFill="1" applyBorder="1" applyAlignment="1">
      <alignment horizontal="center"/>
    </xf>
    <xf numFmtId="0" fontId="4" fillId="3" borderId="15" xfId="0" applyFont="1" applyFill="1" applyBorder="1" applyAlignment="1">
      <alignment horizontal="center" wrapText="1"/>
    </xf>
    <xf numFmtId="0" fontId="4" fillId="3" borderId="15" xfId="0" applyFont="1" applyFill="1" applyBorder="1" applyAlignment="1">
      <alignment horizontal="center"/>
    </xf>
    <xf numFmtId="0" fontId="4" fillId="3" borderId="15" xfId="0" applyFont="1" applyFill="1" applyBorder="1" applyAlignment="1">
      <alignment horizontal="left"/>
    </xf>
    <xf numFmtId="194" fontId="3" fillId="3" borderId="15" xfId="0" applyNumberFormat="1" applyFont="1" applyFill="1" applyBorder="1" applyAlignment="1">
      <alignment horizontal="center" vertical="center"/>
    </xf>
    <xf numFmtId="194" fontId="11" fillId="3" borderId="2" xfId="0" applyNumberFormat="1" applyFont="1" applyFill="1" applyBorder="1" applyAlignment="1">
      <alignment horizontal="center" vertical="center"/>
    </xf>
    <xf numFmtId="194" fontId="11" fillId="3" borderId="3" xfId="0" applyNumberFormat="1" applyFont="1" applyFill="1" applyBorder="1" applyAlignment="1">
      <alignment horizontal="center" vertical="center"/>
    </xf>
    <xf numFmtId="0" fontId="61" fillId="3" borderId="2" xfId="0" applyFont="1" applyFill="1" applyBorder="1" applyAlignment="1">
      <alignment horizontal="center" vertical="center"/>
    </xf>
    <xf numFmtId="0" fontId="61" fillId="3" borderId="3" xfId="0" applyFont="1" applyFill="1" applyBorder="1" applyAlignment="1">
      <alignment horizontal="center" vertical="center"/>
    </xf>
    <xf numFmtId="0" fontId="7" fillId="4" borderId="0" xfId="0" applyFont="1" applyFill="1" applyAlignment="1">
      <alignment horizontal="center" vertical="center"/>
    </xf>
    <xf numFmtId="0" fontId="5" fillId="3" borderId="37" xfId="0" applyFont="1" applyFill="1" applyBorder="1" applyAlignment="1">
      <alignment horizontal="left" vertical="top"/>
    </xf>
    <xf numFmtId="0" fontId="5" fillId="3" borderId="0" xfId="0" applyFont="1" applyFill="1" applyAlignment="1">
      <alignment horizontal="left" vertical="top"/>
    </xf>
    <xf numFmtId="49" fontId="3" fillId="3" borderId="15" xfId="0" applyNumberFormat="1" applyFont="1" applyFill="1" applyBorder="1" applyAlignment="1">
      <alignment horizontal="left" vertical="center"/>
    </xf>
    <xf numFmtId="0" fontId="3" fillId="3" borderId="16" xfId="0" applyFont="1" applyFill="1" applyBorder="1" applyAlignment="1">
      <alignment horizontal="left" vertical="center"/>
    </xf>
    <xf numFmtId="0" fontId="3" fillId="3" borderId="0" xfId="0" applyFont="1" applyFill="1" applyAlignment="1">
      <alignment horizontal="left" vertical="center"/>
    </xf>
    <xf numFmtId="192" fontId="3" fillId="2" borderId="0" xfId="0" applyNumberFormat="1" applyFont="1" applyFill="1" applyAlignment="1" applyProtection="1">
      <alignment horizontal="left" vertical="center"/>
      <protection locked="0"/>
    </xf>
    <xf numFmtId="0" fontId="3" fillId="2" borderId="0" xfId="0" quotePrefix="1" applyFont="1" applyFill="1" applyAlignment="1" applyProtection="1">
      <alignment horizontal="left" vertical="top" wrapText="1"/>
      <protection locked="0"/>
    </xf>
    <xf numFmtId="0" fontId="4" fillId="3" borderId="0" xfId="0" applyFont="1" applyFill="1" applyAlignment="1">
      <alignment horizontal="left"/>
    </xf>
    <xf numFmtId="0" fontId="65" fillId="0" borderId="0" xfId="0" applyFont="1" applyAlignment="1">
      <alignment horizontal="left"/>
    </xf>
    <xf numFmtId="0" fontId="3" fillId="3" borderId="0" xfId="0" applyFont="1" applyFill="1" applyAlignment="1">
      <alignment horizontal="left"/>
    </xf>
    <xf numFmtId="0" fontId="0" fillId="0" borderId="0" xfId="0" applyAlignment="1">
      <alignment horizontal="left"/>
    </xf>
    <xf numFmtId="0" fontId="3" fillId="3" borderId="12" xfId="0" applyFont="1" applyFill="1" applyBorder="1" applyAlignment="1">
      <alignment horizontal="left" vertical="center" wrapText="1"/>
    </xf>
    <xf numFmtId="0" fontId="3" fillId="3" borderId="12" xfId="0" applyFont="1" applyFill="1" applyBorder="1" applyAlignment="1">
      <alignment horizontal="left" vertical="center"/>
    </xf>
    <xf numFmtId="0" fontId="4" fillId="3" borderId="0" xfId="0" applyFont="1" applyFill="1" applyAlignment="1">
      <alignment horizontal="left" wrapText="1"/>
    </xf>
    <xf numFmtId="181" fontId="9" fillId="3" borderId="0" xfId="3" applyNumberFormat="1" applyFont="1" applyFill="1" applyBorder="1" applyAlignment="1">
      <alignment horizontal="left" vertical="top" wrapText="1"/>
    </xf>
    <xf numFmtId="181" fontId="9" fillId="3" borderId="8" xfId="3" applyNumberFormat="1" applyFont="1" applyFill="1" applyBorder="1" applyAlignment="1">
      <alignment horizontal="left" vertical="top"/>
    </xf>
    <xf numFmtId="181" fontId="9" fillId="3" borderId="0" xfId="3" applyNumberFormat="1" applyFont="1" applyFill="1" applyBorder="1" applyAlignment="1">
      <alignment horizontal="left" vertical="top"/>
    </xf>
    <xf numFmtId="194" fontId="9" fillId="3" borderId="17" xfId="3" applyNumberFormat="1" applyFont="1" applyFill="1" applyBorder="1" applyAlignment="1">
      <alignment horizontal="left" vertical="top"/>
    </xf>
    <xf numFmtId="0" fontId="9" fillId="3" borderId="16" xfId="0" applyFont="1" applyFill="1" applyBorder="1" applyAlignment="1">
      <alignment horizontal="left" vertical="center"/>
    </xf>
    <xf numFmtId="49" fontId="9" fillId="3" borderId="15" xfId="0" applyNumberFormat="1" applyFont="1" applyFill="1" applyBorder="1" applyAlignment="1">
      <alignment horizontal="left" vertical="center"/>
    </xf>
    <xf numFmtId="0" fontId="31" fillId="4" borderId="0" xfId="0" applyFont="1" applyFill="1" applyAlignment="1">
      <alignment horizontal="center" vertical="center"/>
    </xf>
    <xf numFmtId="192" fontId="9" fillId="3" borderId="16" xfId="0" applyNumberFormat="1" applyFont="1" applyFill="1" applyBorder="1" applyAlignment="1">
      <alignment horizontal="left" vertical="center"/>
    </xf>
    <xf numFmtId="180" fontId="23" fillId="3" borderId="16" xfId="0" applyNumberFormat="1" applyFont="1" applyFill="1" applyBorder="1" applyAlignment="1">
      <alignment horizontal="left" vertical="center"/>
    </xf>
    <xf numFmtId="0" fontId="50" fillId="3" borderId="5" xfId="0" applyFont="1" applyFill="1" applyBorder="1" applyAlignment="1">
      <alignment horizontal="left" vertical="center" wrapText="1"/>
    </xf>
    <xf numFmtId="0" fontId="0" fillId="2" borderId="0" xfId="0" applyFill="1" applyAlignment="1">
      <alignment horizontal="left"/>
    </xf>
    <xf numFmtId="14" fontId="6" fillId="3" borderId="18" xfId="0" applyNumberFormat="1" applyFont="1" applyFill="1" applyBorder="1" applyAlignment="1">
      <alignment horizontal="left" vertical="center"/>
    </xf>
    <xf numFmtId="0" fontId="3" fillId="3" borderId="18" xfId="0" applyFont="1" applyFill="1" applyBorder="1" applyAlignment="1">
      <alignment horizontal="left" vertical="center" wrapText="1"/>
    </xf>
    <xf numFmtId="0" fontId="3" fillId="3" borderId="3" xfId="0" applyFont="1" applyFill="1" applyBorder="1" applyAlignment="1">
      <alignment horizontal="left" vertical="center" wrapText="1"/>
    </xf>
    <xf numFmtId="0" fontId="6" fillId="0" borderId="0" xfId="0" applyFont="1" applyAlignment="1">
      <alignment horizontal="left"/>
    </xf>
  </cellXfs>
  <cellStyles count="4">
    <cellStyle name="Standard 2" xfId="2" xr:uid="{00000000-0005-0000-0000-000003000000}"/>
    <cellStyle name="百分比" xfId="1" builtinId="5"/>
    <cellStyle name="常规" xfId="0" builtinId="0"/>
    <cellStyle name="千位分隔" xfId="3" builtinId="3"/>
  </cellStyles>
  <dxfs count="81">
    <dxf>
      <font>
        <condense val="0"/>
        <extend val="0"/>
        <color indexed="10"/>
      </font>
    </dxf>
    <dxf>
      <font>
        <condense val="0"/>
        <extend val="0"/>
        <color indexed="10"/>
      </font>
    </dxf>
    <dxf>
      <font>
        <condense val="0"/>
        <extend val="0"/>
        <color indexed="10"/>
      </font>
    </dxf>
    <dxf>
      <font>
        <condense val="0"/>
        <extend val="0"/>
        <color indexed="10"/>
      </font>
    </dxf>
    <dxf>
      <font>
        <color rgb="FFC00000"/>
      </font>
    </dxf>
    <dxf>
      <font>
        <color rgb="FF008000"/>
      </font>
    </dxf>
    <dxf>
      <font>
        <color rgb="FFC0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b/>
        <i val="0"/>
        <color theme="0"/>
      </font>
      <fill>
        <patternFill>
          <bgColor rgb="FFFF0000"/>
        </patternFill>
      </fill>
    </dxf>
    <dxf>
      <font>
        <b/>
        <i val="0"/>
        <color theme="0"/>
      </font>
      <fill>
        <patternFill>
          <bgColor rgb="FF00B05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FF0000"/>
        </patternFill>
      </fill>
    </dxf>
    <dxf>
      <font>
        <b/>
        <i val="0"/>
        <color theme="0"/>
      </font>
      <fill>
        <patternFill>
          <bgColor rgb="FF00B050"/>
        </patternFill>
      </fill>
    </dxf>
    <dxf>
      <fill>
        <patternFill>
          <bgColor theme="0"/>
        </patternFill>
      </fill>
    </dxf>
    <dxf>
      <font>
        <b/>
        <i val="0"/>
        <color theme="0"/>
      </font>
      <fill>
        <patternFill>
          <bgColor rgb="FFFF0000"/>
        </patternFill>
      </fill>
    </dxf>
    <dxf>
      <font>
        <b/>
        <i val="0"/>
        <color theme="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FF0000"/>
        </patternFill>
      </fill>
    </dxf>
    <dxf>
      <fill>
        <patternFill>
          <bgColor rgb="FFFFFF00"/>
        </patternFill>
      </fill>
    </dxf>
    <dxf>
      <font>
        <b/>
        <i val="0"/>
        <color theme="0"/>
      </font>
      <fill>
        <patternFill>
          <bgColor rgb="FF00B050"/>
        </patternFill>
      </fill>
    </dxf>
    <dxf>
      <fill>
        <patternFill>
          <bgColor theme="0"/>
        </patternFill>
      </fill>
    </dxf>
    <dxf>
      <font>
        <b/>
        <i val="0"/>
        <color theme="0"/>
      </font>
      <fill>
        <patternFill>
          <bgColor rgb="FFFF0000"/>
        </patternFill>
      </fill>
    </dxf>
    <dxf>
      <font>
        <color theme="9"/>
      </font>
    </dxf>
    <dxf>
      <font>
        <b/>
        <i val="0"/>
        <color theme="0"/>
      </font>
      <fill>
        <patternFill>
          <bgColor rgb="FFFF0000"/>
        </patternFill>
      </fill>
    </dxf>
    <dxf>
      <fill>
        <patternFill>
          <bgColor rgb="FFFFFF00"/>
        </patternFill>
      </fill>
    </dxf>
    <dxf>
      <font>
        <b/>
        <i val="0"/>
        <color theme="0"/>
      </font>
      <fill>
        <patternFill>
          <bgColor rgb="FF00B050"/>
        </patternFill>
      </fill>
    </dxf>
    <dxf>
      <fill>
        <patternFill>
          <bgColor theme="0"/>
        </patternFill>
      </fill>
    </dxf>
    <dxf>
      <font>
        <b/>
        <i val="0"/>
        <color theme="0"/>
      </font>
      <fill>
        <patternFill>
          <bgColor rgb="FFFF0000"/>
        </patternFill>
      </fill>
    </dxf>
    <dxf>
      <font>
        <color theme="9"/>
      </font>
    </dxf>
    <dxf>
      <fill>
        <patternFill>
          <bgColor rgb="FFFFFF00"/>
        </patternFill>
      </fill>
    </dxf>
    <dxf>
      <fill>
        <patternFill>
          <bgColor rgb="FFFF0000"/>
        </patternFill>
      </fill>
    </dxf>
    <dxf>
      <fill>
        <patternFill>
          <bgColor rgb="FF008000"/>
        </patternFill>
      </fill>
    </dxf>
    <dxf>
      <fill>
        <patternFill>
          <bgColor rgb="FFFFFF00"/>
        </patternFill>
      </fill>
    </dxf>
    <dxf>
      <fill>
        <patternFill>
          <bgColor rgb="FFFF0000"/>
        </patternFill>
      </fill>
    </dxf>
    <dxf>
      <fill>
        <patternFill>
          <bgColor rgb="FF008000"/>
        </patternFill>
      </fill>
    </dxf>
    <dxf>
      <font>
        <b/>
        <i val="0"/>
        <color theme="1"/>
      </font>
      <fill>
        <patternFill>
          <bgColor rgb="FFFFFF00"/>
        </patternFill>
      </fill>
    </dxf>
    <dxf>
      <fill>
        <patternFill>
          <bgColor rgb="FFFF0000"/>
        </patternFill>
      </fill>
    </dxf>
    <dxf>
      <font>
        <color theme="0"/>
      </font>
      <fill>
        <patternFill>
          <bgColor theme="0"/>
        </patternFill>
      </fill>
    </dxf>
    <dxf>
      <fill>
        <patternFill>
          <bgColor rgb="FFFF0000"/>
        </patternFill>
      </fill>
    </dxf>
    <dxf>
      <font>
        <color theme="1"/>
      </font>
      <fill>
        <patternFill>
          <bgColor rgb="FFFFFF00"/>
        </patternFill>
      </fill>
    </dxf>
    <dxf>
      <fill>
        <patternFill>
          <bgColor rgb="FF008000"/>
        </patternFill>
      </fill>
    </dxf>
  </dxfs>
  <tableStyles count="0" defaultTableStyle="TableStyleMedium9" defaultPivotStyle="PivotStyleLight16"/>
  <colors>
    <mruColors>
      <color rgb="FFD39700"/>
      <color rgb="FF00B050"/>
      <color rgb="FF008000"/>
      <color rgb="FFFED100"/>
      <color rgb="FFFF9900"/>
      <color rgb="FFE75D12"/>
      <color rgb="FFFC5B00"/>
      <color rgb="FFE0BD00"/>
      <color rgb="FF9CAD14"/>
      <color rgb="FF1989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1"/>
          <c:order val="1"/>
          <c:tx>
            <c:v>planned capacity</c:v>
          </c:tx>
          <c:spPr>
            <a:solidFill>
              <a:schemeClr val="accent3">
                <a:lumMod val="40000"/>
                <a:lumOff val="60000"/>
              </a:schemeClr>
            </a:solidFill>
            <a:ln>
              <a:noFill/>
            </a:ln>
            <a:effectLst/>
          </c:spPr>
          <c:invertIfNegative val="0"/>
          <c:val>
            <c:numRef>
              <c:f>'Capacity overview'!$F$28:$F$39</c:f>
              <c:numCache>
                <c:formatCode>#,##0\ "parts/week"</c:formatCode>
                <c:ptCount val="1"/>
                <c:pt idx="0">
                  <c:v>19618.235434164708</c:v>
                </c:pt>
              </c:numCache>
            </c:numRef>
          </c:val>
          <c:extLst>
            <c:ext xmlns:c16="http://schemas.microsoft.com/office/drawing/2014/chart" uri="{C3380CC4-5D6E-409C-BE32-E72D297353CC}">
              <c16:uniqueId val="{0000000F-281E-48D9-98D7-C0591308E37D}"/>
            </c:ext>
          </c:extLst>
        </c:ser>
        <c:ser>
          <c:idx val="2"/>
          <c:order val="2"/>
          <c:tx>
            <c:v>proved capacity</c:v>
          </c:tx>
          <c:spPr>
            <a:solidFill>
              <a:schemeClr val="accent3">
                <a:lumMod val="50000"/>
              </a:schemeClr>
            </a:solidFill>
            <a:ln>
              <a:noFill/>
            </a:ln>
            <a:effectLst/>
          </c:spPr>
          <c:invertIfNegative val="0"/>
          <c:val>
            <c:numRef>
              <c:f>'Capacity overview'!$G$28:$G$39</c:f>
              <c:numCache>
                <c:formatCode>#,##0\ "parts/week"</c:formatCode>
                <c:ptCount val="1"/>
                <c:pt idx="0">
                  <c:v>18687.734060396899</c:v>
                </c:pt>
              </c:numCache>
            </c:numRef>
          </c:val>
          <c:extLst>
            <c:ext xmlns:c16="http://schemas.microsoft.com/office/drawing/2014/chart" uri="{C3380CC4-5D6E-409C-BE32-E72D297353CC}">
              <c16:uniqueId val="{00000010-281E-48D9-98D7-C0591308E37D}"/>
            </c:ext>
          </c:extLst>
        </c:ser>
        <c:dLbls>
          <c:showLegendKey val="0"/>
          <c:showVal val="0"/>
          <c:showCatName val="0"/>
          <c:showSerName val="0"/>
          <c:showPercent val="0"/>
          <c:showBubbleSize val="0"/>
        </c:dLbls>
        <c:gapWidth val="150"/>
        <c:axId val="223396992"/>
        <c:axId val="223398528"/>
      </c:barChart>
      <c:lineChart>
        <c:grouping val="standard"/>
        <c:varyColors val="0"/>
        <c:ser>
          <c:idx val="0"/>
          <c:order val="0"/>
          <c:tx>
            <c:v>current demands</c:v>
          </c:tx>
          <c:spPr>
            <a:ln w="28575" cap="rnd">
              <a:solidFill>
                <a:srgbClr val="0070C0"/>
              </a:solidFill>
              <a:round/>
            </a:ln>
            <a:effectLst/>
          </c:spPr>
          <c:marker>
            <c:symbol val="none"/>
          </c:marker>
          <c:cat>
            <c:strRef>
              <c:f>'Capacity overview'!$B$28:$C$39</c:f>
              <c:strCache>
                <c:ptCount val="1"/>
                <c:pt idx="0">
                  <c:v>Prozess 10: Whole production line</c:v>
                </c:pt>
              </c:strCache>
            </c:strRef>
          </c:cat>
          <c:val>
            <c:numRef>
              <c:f>'Capacity overview'!$D$28:$D$39</c:f>
              <c:numCache>
                <c:formatCode>#,##0\ "parts/week"</c:formatCode>
                <c:ptCount val="1"/>
                <c:pt idx="0">
                  <c:v>16016</c:v>
                </c:pt>
              </c:numCache>
            </c:numRef>
          </c:val>
          <c:smooth val="0"/>
          <c:extLst>
            <c:ext xmlns:c16="http://schemas.microsoft.com/office/drawing/2014/chart" uri="{C3380CC4-5D6E-409C-BE32-E72D297353CC}">
              <c16:uniqueId val="{0000000E-281E-48D9-98D7-C0591308E37D}"/>
            </c:ext>
          </c:extLst>
        </c:ser>
        <c:ser>
          <c:idx val="3"/>
          <c:order val="3"/>
          <c:tx>
            <c:v>nominated (excl. flex)</c:v>
          </c:tx>
          <c:spPr>
            <a:ln w="28575" cap="rnd">
              <a:solidFill>
                <a:schemeClr val="accent2">
                  <a:lumMod val="50000"/>
                </a:schemeClr>
              </a:solidFill>
              <a:round/>
            </a:ln>
            <a:effectLst/>
          </c:spPr>
          <c:marker>
            <c:symbol val="none"/>
          </c:marker>
          <c:val>
            <c:numRef>
              <c:f>'Capacity overview'!$L$28:$L$39</c:f>
              <c:numCache>
                <c:formatCode>General</c:formatCode>
                <c:ptCount val="1"/>
                <c:pt idx="0">
                  <c:v>16016</c:v>
                </c:pt>
              </c:numCache>
            </c:numRef>
          </c:val>
          <c:smooth val="0"/>
          <c:extLst>
            <c:ext xmlns:c16="http://schemas.microsoft.com/office/drawing/2014/chart" uri="{C3380CC4-5D6E-409C-BE32-E72D297353CC}">
              <c16:uniqueId val="{00000011-281E-48D9-98D7-C0591308E37D}"/>
            </c:ext>
          </c:extLst>
        </c:ser>
        <c:ser>
          <c:idx val="4"/>
          <c:order val="4"/>
          <c:tx>
            <c:v>nominated (incl. flex)</c:v>
          </c:tx>
          <c:spPr>
            <a:ln w="28575" cap="rnd">
              <a:solidFill>
                <a:schemeClr val="accent6">
                  <a:lumMod val="75000"/>
                </a:schemeClr>
              </a:solidFill>
              <a:round/>
            </a:ln>
            <a:effectLst/>
          </c:spPr>
          <c:marker>
            <c:symbol val="none"/>
          </c:marker>
          <c:val>
            <c:numRef>
              <c:f>'Capacity overview'!$M$28:$M$39</c:f>
              <c:numCache>
                <c:formatCode>_-* #,##0\ _€_-;\-* #,##0\ _€_-;_-* "-"??\ _€_-;_-@_-</c:formatCode>
                <c:ptCount val="1"/>
                <c:pt idx="0">
                  <c:v>18418.399999999998</c:v>
                </c:pt>
              </c:numCache>
            </c:numRef>
          </c:val>
          <c:smooth val="0"/>
          <c:extLst>
            <c:ext xmlns:c16="http://schemas.microsoft.com/office/drawing/2014/chart" uri="{C3380CC4-5D6E-409C-BE32-E72D297353CC}">
              <c16:uniqueId val="{00000012-281E-48D9-98D7-C0591308E37D}"/>
            </c:ext>
          </c:extLst>
        </c:ser>
        <c:dLbls>
          <c:showLegendKey val="0"/>
          <c:showVal val="0"/>
          <c:showCatName val="0"/>
          <c:showSerName val="0"/>
          <c:showPercent val="0"/>
          <c:showBubbleSize val="0"/>
        </c:dLbls>
        <c:marker val="1"/>
        <c:smooth val="0"/>
        <c:axId val="223396992"/>
        <c:axId val="223398528"/>
      </c:lineChart>
      <c:catAx>
        <c:axId val="223396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zh-CN"/>
          </a:p>
        </c:txPr>
        <c:crossAx val="223398528"/>
        <c:crosses val="autoZero"/>
        <c:auto val="1"/>
        <c:lblAlgn val="ctr"/>
        <c:lblOffset val="100"/>
        <c:noMultiLvlLbl val="0"/>
      </c:catAx>
      <c:valAx>
        <c:axId val="223398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parts/week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23396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7687914124591168E-2"/>
          <c:y val="2.7300859576455599E-2"/>
          <c:w val="0.9223120858754088"/>
          <c:h val="0.70027252003349583"/>
        </c:manualLayout>
      </c:layout>
      <c:barChart>
        <c:barDir val="col"/>
        <c:grouping val="clustered"/>
        <c:varyColors val="0"/>
        <c:ser>
          <c:idx val="5"/>
          <c:order val="0"/>
          <c:tx>
            <c:strRef>
              <c:f>'Cycle time monitoring'!$O$5</c:f>
              <c:strCache>
                <c:ptCount val="1"/>
                <c:pt idx="0">
                  <c:v>Output quantity
[pcs/week]</c:v>
                </c:pt>
              </c:strCache>
            </c:strRef>
          </c:tx>
          <c:spPr>
            <a:solidFill>
              <a:schemeClr val="bg1">
                <a:lumMod val="85000"/>
              </a:schemeClr>
            </a:solidFill>
            <a:ln>
              <a:solidFill>
                <a:schemeClr val="tx1"/>
              </a:solidFill>
            </a:ln>
            <a:effectLst/>
          </c:spPr>
          <c:invertIfNegative val="0"/>
          <c:cat>
            <c:numRef>
              <c:f>'Cycle time monitoring'!$B$6:$B$24</c:f>
              <c:numCache>
                <c:formatCode>mm/dd/yy;@</c:formatCode>
                <c:ptCount val="19"/>
                <c:pt idx="0">
                  <c:v>44197</c:v>
                </c:pt>
                <c:pt idx="1">
                  <c:v>44228</c:v>
                </c:pt>
                <c:pt idx="2">
                  <c:v>44242</c:v>
                </c:pt>
              </c:numCache>
            </c:numRef>
          </c:cat>
          <c:val>
            <c:numRef>
              <c:f>'Cycle time monitoring'!$O$6:$O$24</c:f>
              <c:numCache>
                <c:formatCode>#,##0\ "pcs/week"</c:formatCode>
                <c:ptCount val="19"/>
                <c:pt idx="0">
                  <c:v>4651.2</c:v>
                </c:pt>
                <c:pt idx="1">
                  <c:v>4749.12</c:v>
                </c:pt>
                <c:pt idx="2">
                  <c:v>5698.9440000000004</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4E41-469A-895E-E845913A3E1A}"/>
            </c:ext>
          </c:extLst>
        </c:ser>
        <c:dLbls>
          <c:showLegendKey val="0"/>
          <c:showVal val="0"/>
          <c:showCatName val="0"/>
          <c:showSerName val="0"/>
          <c:showPercent val="0"/>
          <c:showBubbleSize val="0"/>
        </c:dLbls>
        <c:gapWidth val="150"/>
        <c:axId val="482334704"/>
        <c:axId val="482335360"/>
      </c:barChart>
      <c:lineChart>
        <c:grouping val="standard"/>
        <c:varyColors val="0"/>
        <c:ser>
          <c:idx val="6"/>
          <c:order val="1"/>
          <c:tx>
            <c:strRef>
              <c:f>'Cycle time monitoring'!$P$5</c:f>
              <c:strCache>
                <c:ptCount val="1"/>
                <c:pt idx="0">
                  <c:v>Peak production supplier
[pcs/week]</c:v>
                </c:pt>
              </c:strCache>
            </c:strRef>
          </c:tx>
          <c:spPr>
            <a:ln w="38100" cap="rnd">
              <a:solidFill>
                <a:schemeClr val="accent1">
                  <a:lumMod val="60000"/>
                </a:schemeClr>
              </a:solidFill>
              <a:round/>
            </a:ln>
            <a:effectLst/>
          </c:spPr>
          <c:marker>
            <c:symbol val="none"/>
          </c:marker>
          <c:cat>
            <c:numRef>
              <c:f>'Cycle time monitoring'!$B$6:$B$24</c:f>
              <c:numCache>
                <c:formatCode>mm/dd/yy;@</c:formatCode>
                <c:ptCount val="19"/>
                <c:pt idx="0">
                  <c:v>44197</c:v>
                </c:pt>
                <c:pt idx="1">
                  <c:v>44228</c:v>
                </c:pt>
                <c:pt idx="2">
                  <c:v>44242</c:v>
                </c:pt>
              </c:numCache>
            </c:numRef>
          </c:cat>
          <c:val>
            <c:numRef>
              <c:f>'Cycle time monitoring'!$P$6:$P$24</c:f>
              <c:numCache>
                <c:formatCode>#,##0\ "pcs/week"</c:formatCode>
                <c:ptCount val="19"/>
                <c:pt idx="0">
                  <c:v>2700</c:v>
                </c:pt>
                <c:pt idx="1">
                  <c:v>2700</c:v>
                </c:pt>
                <c:pt idx="2">
                  <c:v>2700</c:v>
                </c:pt>
              </c:numCache>
            </c:numRef>
          </c:val>
          <c:smooth val="0"/>
          <c:extLst>
            <c:ext xmlns:c16="http://schemas.microsoft.com/office/drawing/2014/chart" uri="{C3380CC4-5D6E-409C-BE32-E72D297353CC}">
              <c16:uniqueId val="{00000001-4E41-469A-895E-E845913A3E1A}"/>
            </c:ext>
          </c:extLst>
        </c:ser>
        <c:ser>
          <c:idx val="7"/>
          <c:order val="2"/>
          <c:tx>
            <c:strRef>
              <c:f>'Cycle time monitoring'!$Q$5</c:f>
              <c:strCache>
                <c:ptCount val="1"/>
                <c:pt idx="0">
                  <c:v>Audi demands
[pcs/week]</c:v>
                </c:pt>
              </c:strCache>
            </c:strRef>
          </c:tx>
          <c:spPr>
            <a:ln w="38100" cap="rnd">
              <a:solidFill>
                <a:srgbClr val="C00000"/>
              </a:solidFill>
              <a:round/>
            </a:ln>
            <a:effectLst/>
          </c:spPr>
          <c:marker>
            <c:symbol val="none"/>
          </c:marker>
          <c:cat>
            <c:numRef>
              <c:f>'Cycle time monitoring'!$B$6:$B$24</c:f>
              <c:numCache>
                <c:formatCode>mm/dd/yy;@</c:formatCode>
                <c:ptCount val="19"/>
                <c:pt idx="0">
                  <c:v>44197</c:v>
                </c:pt>
                <c:pt idx="1">
                  <c:v>44228</c:v>
                </c:pt>
                <c:pt idx="2">
                  <c:v>44242</c:v>
                </c:pt>
              </c:numCache>
            </c:numRef>
          </c:cat>
          <c:val>
            <c:numRef>
              <c:f>'Cycle time monitoring'!$Q$6:$Q$24</c:f>
              <c:numCache>
                <c:formatCode>#,##0\ "pcs/week"</c:formatCode>
                <c:ptCount val="19"/>
                <c:pt idx="0">
                  <c:v>2000</c:v>
                </c:pt>
                <c:pt idx="1">
                  <c:v>2300</c:v>
                </c:pt>
                <c:pt idx="2">
                  <c:v>2500</c:v>
                </c:pt>
              </c:numCache>
            </c:numRef>
          </c:val>
          <c:smooth val="0"/>
          <c:extLst>
            <c:ext xmlns:c16="http://schemas.microsoft.com/office/drawing/2014/chart" uri="{C3380CC4-5D6E-409C-BE32-E72D297353CC}">
              <c16:uniqueId val="{00000002-4E41-469A-895E-E845913A3E1A}"/>
            </c:ext>
          </c:extLst>
        </c:ser>
        <c:dLbls>
          <c:showLegendKey val="0"/>
          <c:showVal val="0"/>
          <c:showCatName val="0"/>
          <c:showSerName val="0"/>
          <c:showPercent val="0"/>
          <c:showBubbleSize val="0"/>
        </c:dLbls>
        <c:marker val="1"/>
        <c:smooth val="0"/>
        <c:axId val="482334704"/>
        <c:axId val="482335360"/>
      </c:lineChart>
      <c:catAx>
        <c:axId val="482334704"/>
        <c:scaling>
          <c:orientation val="minMax"/>
        </c:scaling>
        <c:delete val="0"/>
        <c:axPos val="b"/>
        <c:majorGridlines>
          <c:spPr>
            <a:ln w="9525" cap="flat" cmpd="sng" algn="ctr">
              <a:solidFill>
                <a:schemeClr val="tx1">
                  <a:lumMod val="15000"/>
                  <a:lumOff val="85000"/>
                </a:schemeClr>
              </a:solidFill>
              <a:round/>
            </a:ln>
            <a:effectLst/>
          </c:spPr>
        </c:majorGridlines>
        <c:numFmt formatCode="mm/d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82335360"/>
        <c:crosses val="autoZero"/>
        <c:auto val="0"/>
        <c:lblAlgn val="ctr"/>
        <c:lblOffset val="100"/>
        <c:noMultiLvlLbl val="0"/>
      </c:catAx>
      <c:valAx>
        <c:axId val="482335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Pieces/week</a:t>
                </a:r>
              </a:p>
            </c:rich>
          </c:tx>
          <c:layout>
            <c:manualLayout>
              <c:xMode val="edge"/>
              <c:yMode val="edge"/>
              <c:x val="4.1744285478774824E-2"/>
              <c:y val="0.322044214541458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8233470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F$6" lockText="1"/>
</file>

<file path=xl/ctrlProps/ctrlProp2.xml><?xml version="1.0" encoding="utf-8"?>
<formControlPr xmlns="http://schemas.microsoft.com/office/spreadsheetml/2009/9/main" objectType="Radio" checked="Checked" lockText="1"/>
</file>

<file path=xl/ctrlProps/ctrlProp3.xml><?xml version="1.0" encoding="utf-8"?>
<formControlPr xmlns="http://schemas.microsoft.com/office/spreadsheetml/2009/9/main" objectType="Radio"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firstButton="1" fmlaLink="$I$7" lockText="1"/>
</file>

<file path=xl/ctrlProps/ctrlProp6.xml><?xml version="1.0" encoding="utf-8"?>
<formControlPr xmlns="http://schemas.microsoft.com/office/spreadsheetml/2009/9/main" objectType="Radio" checked="Checked" lockText="1"/>
</file>

<file path=xl/ctrlProps/ctrlProp7.xml><?xml version="1.0" encoding="utf-8"?>
<formControlPr xmlns="http://schemas.microsoft.com/office/spreadsheetml/2009/9/main" objectType="Radio" checked="Checked" firstButton="1" fmlaLink="$D$13"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checked="Checked" firstButton="1" fmlaLink="'Capacity Calculation'!$D$13" lockText="1"/>
</file>

<file path=xl/ctrlProps/ctrlProp11.xml><?xml version="1.0" encoding="utf-8"?>
<formControlPr xmlns="http://schemas.microsoft.com/office/spreadsheetml/2009/9/main" objectType="Radio" lockText="1"/>
</file>

<file path=xl/drawings/_rels/drawing2.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254000</xdr:colOff>
          <xdr:row>10</xdr:row>
          <xdr:rowOff>76200</xdr:rowOff>
        </xdr:from>
        <xdr:to>
          <xdr:col>9</xdr:col>
          <xdr:colOff>622300</xdr:colOff>
          <xdr:row>13</xdr:row>
          <xdr:rowOff>88900</xdr:rowOff>
        </xdr:to>
        <xdr:sp macro="" textlink="">
          <xdr:nvSpPr>
            <xdr:cNvPr id="12291" name="Alles_speichern"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2063750</xdr:colOff>
          <xdr:row>5</xdr:row>
          <xdr:rowOff>63500</xdr:rowOff>
        </xdr:from>
        <xdr:to>
          <xdr:col>2</xdr:col>
          <xdr:colOff>1263650</xdr:colOff>
          <xdr:row>5</xdr:row>
          <xdr:rowOff>260350</xdr:rowOff>
        </xdr:to>
        <xdr:sp macro="" textlink="">
          <xdr:nvSpPr>
            <xdr:cNvPr id="12292" name="Option 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1100" b="0" i="0" u="none" strike="noStrike" baseline="0">
                  <a:solidFill>
                    <a:srgbClr val="000000"/>
                  </a:solidFill>
                  <a:latin typeface="Arial"/>
                  <a:cs typeface="Arial"/>
                </a:rPr>
                <a:t>Pre-Check (SFN 1)</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2063750</xdr:colOff>
          <xdr:row>5</xdr:row>
          <xdr:rowOff>304800</xdr:rowOff>
        </xdr:from>
        <xdr:to>
          <xdr:col>2</xdr:col>
          <xdr:colOff>1562100</xdr:colOff>
          <xdr:row>5</xdr:row>
          <xdr:rowOff>482600</xdr:rowOff>
        </xdr:to>
        <xdr:sp macro="" textlink="">
          <xdr:nvSpPr>
            <xdr:cNvPr id="12293" name="Option 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1100" b="0" i="0" u="none" strike="noStrike" baseline="0">
                  <a:solidFill>
                    <a:srgbClr val="000000"/>
                  </a:solidFill>
                  <a:latin typeface="Arial"/>
                  <a:cs typeface="Arial"/>
                </a:rPr>
                <a:t>Performance test (SFN 3)</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1568450</xdr:colOff>
          <xdr:row>5</xdr:row>
          <xdr:rowOff>63500</xdr:rowOff>
        </xdr:from>
        <xdr:to>
          <xdr:col>5</xdr:col>
          <xdr:colOff>69850</xdr:colOff>
          <xdr:row>5</xdr:row>
          <xdr:rowOff>254000</xdr:rowOff>
        </xdr:to>
        <xdr:sp macro="" textlink="">
          <xdr:nvSpPr>
            <xdr:cNvPr id="12294" name="Option Button 6" hidden="1">
              <a:extLst>
                <a:ext uri="{63B3BB69-23CF-44E3-9099-C40C66FF867C}">
                  <a14:compatExt spid="_x0000_s12294"/>
                </a:ext>
                <a:ext uri="{FF2B5EF4-FFF2-40B4-BE49-F238E27FC236}">
                  <a16:creationId xmlns:a16="http://schemas.microsoft.com/office/drawing/2014/main" id="{00000000-0008-0000-00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1100" b="0" i="0" u="none" strike="noStrike" baseline="0">
                  <a:solidFill>
                    <a:srgbClr val="000000"/>
                  </a:solidFill>
                  <a:latin typeface="Arial"/>
                  <a:cs typeface="Arial"/>
                </a:rPr>
                <a:t>Process acceptance (SFN 2)</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2101850</xdr:colOff>
          <xdr:row>6</xdr:row>
          <xdr:rowOff>63500</xdr:rowOff>
        </xdr:from>
        <xdr:to>
          <xdr:col>2</xdr:col>
          <xdr:colOff>1289050</xdr:colOff>
          <xdr:row>6</xdr:row>
          <xdr:rowOff>304800</xdr:rowOff>
        </xdr:to>
        <xdr:sp macro="" textlink="">
          <xdr:nvSpPr>
            <xdr:cNvPr id="12297" name="CheckBox_ALK" hidden="1">
              <a:extLst>
                <a:ext uri="{63B3BB69-23CF-44E3-9099-C40C66FF867C}">
                  <a14:compatExt spid="_x0000_s12297"/>
                </a:ext>
                <a:ext uri="{FF2B5EF4-FFF2-40B4-BE49-F238E27FC236}">
                  <a16:creationId xmlns:a16="http://schemas.microsoft.com/office/drawing/2014/main" id="{00000000-0008-0000-00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1606550</xdr:colOff>
          <xdr:row>6</xdr:row>
          <xdr:rowOff>63500</xdr:rowOff>
        </xdr:from>
        <xdr:to>
          <xdr:col>4</xdr:col>
          <xdr:colOff>577850</xdr:colOff>
          <xdr:row>6</xdr:row>
          <xdr:rowOff>304800</xdr:rowOff>
        </xdr:to>
        <xdr:sp macro="" textlink="">
          <xdr:nvSpPr>
            <xdr:cNvPr id="12300" name="CheckBox_VL"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254000</xdr:colOff>
          <xdr:row>6</xdr:row>
          <xdr:rowOff>368300</xdr:rowOff>
        </xdr:from>
        <xdr:to>
          <xdr:col>9</xdr:col>
          <xdr:colOff>622300</xdr:colOff>
          <xdr:row>9</xdr:row>
          <xdr:rowOff>69850</xdr:rowOff>
        </xdr:to>
        <xdr:sp macro="" textlink="">
          <xdr:nvSpPr>
            <xdr:cNvPr id="12304" name="Ergebnis_speichern_Kapaabnahme" hidden="1">
              <a:extLst>
                <a:ext uri="{63B3BB69-23CF-44E3-9099-C40C66FF867C}">
                  <a14:compatExt spid="_x0000_s12304"/>
                </a:ext>
                <a:ext uri="{FF2B5EF4-FFF2-40B4-BE49-F238E27FC236}">
                  <a16:creationId xmlns:a16="http://schemas.microsoft.com/office/drawing/2014/main" id="{00000000-0008-0000-0000-000010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254000</xdr:colOff>
          <xdr:row>5</xdr:row>
          <xdr:rowOff>203200</xdr:rowOff>
        </xdr:from>
        <xdr:to>
          <xdr:col>9</xdr:col>
          <xdr:colOff>622300</xdr:colOff>
          <xdr:row>6</xdr:row>
          <xdr:rowOff>279400</xdr:rowOff>
        </xdr:to>
        <xdr:sp macro="" textlink="">
          <xdr:nvSpPr>
            <xdr:cNvPr id="12305" name="Ergebnis_speichern_Kapaplanung" hidden="1">
              <a:extLst>
                <a:ext uri="{63B3BB69-23CF-44E3-9099-C40C66FF867C}">
                  <a14:compatExt spid="_x0000_s12305"/>
                </a:ext>
                <a:ext uri="{FF2B5EF4-FFF2-40B4-BE49-F238E27FC236}">
                  <a16:creationId xmlns:a16="http://schemas.microsoft.com/office/drawing/2014/main" id="{00000000-0008-0000-0000-00001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254000</xdr:colOff>
          <xdr:row>14</xdr:row>
          <xdr:rowOff>82550</xdr:rowOff>
        </xdr:from>
        <xdr:to>
          <xdr:col>9</xdr:col>
          <xdr:colOff>622300</xdr:colOff>
          <xdr:row>17</xdr:row>
          <xdr:rowOff>88900</xdr:rowOff>
        </xdr:to>
        <xdr:sp macro="" textlink="">
          <xdr:nvSpPr>
            <xdr:cNvPr id="12307" name="ButtonFormat" hidden="1">
              <a:extLst>
                <a:ext uri="{63B3BB69-23CF-44E3-9099-C40C66FF867C}">
                  <a14:compatExt spid="_x0000_s12307"/>
                </a:ext>
                <a:ext uri="{FF2B5EF4-FFF2-40B4-BE49-F238E27FC236}">
                  <a16:creationId xmlns:a16="http://schemas.microsoft.com/office/drawing/2014/main" id="{00000000-0008-0000-0000-00001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2101850</xdr:colOff>
          <xdr:row>6</xdr:row>
          <xdr:rowOff>304800</xdr:rowOff>
        </xdr:from>
        <xdr:to>
          <xdr:col>2</xdr:col>
          <xdr:colOff>1289050</xdr:colOff>
          <xdr:row>6</xdr:row>
          <xdr:rowOff>558800</xdr:rowOff>
        </xdr:to>
        <xdr:sp macro="" textlink="">
          <xdr:nvSpPr>
            <xdr:cNvPr id="12308" name="CheckBox_JIS" hidden="1">
              <a:extLst>
                <a:ext uri="{63B3BB69-23CF-44E3-9099-C40C66FF867C}">
                  <a14:compatExt spid="_x0000_s12308"/>
                </a:ext>
                <a:ext uri="{FF2B5EF4-FFF2-40B4-BE49-F238E27FC236}">
                  <a16:creationId xmlns:a16="http://schemas.microsoft.com/office/drawing/2014/main" id="{00000000-0008-0000-0000-00001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1568450</xdr:colOff>
          <xdr:row>5</xdr:row>
          <xdr:rowOff>298450</xdr:rowOff>
        </xdr:from>
        <xdr:to>
          <xdr:col>4</xdr:col>
          <xdr:colOff>901700</xdr:colOff>
          <xdr:row>5</xdr:row>
          <xdr:rowOff>495300</xdr:rowOff>
        </xdr:to>
        <xdr:sp macro="" textlink="">
          <xdr:nvSpPr>
            <xdr:cNvPr id="12310" name="Option Button 22" hidden="1">
              <a:extLst>
                <a:ext uri="{63B3BB69-23CF-44E3-9099-C40C66FF867C}">
                  <a14:compatExt spid="_x0000_s12310"/>
                </a:ext>
                <a:ext uri="{FF2B5EF4-FFF2-40B4-BE49-F238E27FC236}">
                  <a16:creationId xmlns:a16="http://schemas.microsoft.com/office/drawing/2014/main" id="{00000000-0008-0000-00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1100" b="0" i="0" u="none" strike="noStrike" baseline="0">
                  <a:solidFill>
                    <a:srgbClr val="000000"/>
                  </a:solidFill>
                  <a:latin typeface="Arial"/>
                  <a:cs typeface="Arial"/>
                </a:rPr>
                <a:t>Capacity planning</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260350</xdr:colOff>
          <xdr:row>6</xdr:row>
          <xdr:rowOff>107950</xdr:rowOff>
        </xdr:from>
        <xdr:to>
          <xdr:col>2</xdr:col>
          <xdr:colOff>450850</xdr:colOff>
          <xdr:row>6</xdr:row>
          <xdr:rowOff>488950</xdr:rowOff>
        </xdr:to>
        <xdr:sp macro="" textlink="">
          <xdr:nvSpPr>
            <xdr:cNvPr id="24600" name="BedarfeAktualisieren" hidden="1">
              <a:extLst>
                <a:ext uri="{63B3BB69-23CF-44E3-9099-C40C66FF867C}">
                  <a14:compatExt spid="_x0000_s24600"/>
                </a:ext>
                <a:ext uri="{FF2B5EF4-FFF2-40B4-BE49-F238E27FC236}">
                  <a16:creationId xmlns:a16="http://schemas.microsoft.com/office/drawing/2014/main" id="{00000000-0008-0000-0100-000018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xdr:col>
      <xdr:colOff>85725</xdr:colOff>
      <xdr:row>24</xdr:row>
      <xdr:rowOff>76200</xdr:rowOff>
    </xdr:from>
    <xdr:to>
      <xdr:col>9</xdr:col>
      <xdr:colOff>9525</xdr:colOff>
      <xdr:row>24</xdr:row>
      <xdr:rowOff>1905000</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590550</xdr:colOff>
      <xdr:row>6</xdr:row>
      <xdr:rowOff>41275</xdr:rowOff>
    </xdr:from>
    <xdr:to>
      <xdr:col>6</xdr:col>
      <xdr:colOff>798466</xdr:colOff>
      <xdr:row>6</xdr:row>
      <xdr:rowOff>555625</xdr:rowOff>
    </xdr:to>
    <xdr:pic>
      <xdr:nvPicPr>
        <xdr:cNvPr id="7" name="Grafik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4152900" y="1460500"/>
          <a:ext cx="3236866" cy="5143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742950</xdr:colOff>
          <xdr:row>6</xdr:row>
          <xdr:rowOff>209550</xdr:rowOff>
        </xdr:from>
        <xdr:to>
          <xdr:col>5</xdr:col>
          <xdr:colOff>400050</xdr:colOff>
          <xdr:row>6</xdr:row>
          <xdr:rowOff>469900</xdr:rowOff>
        </xdr:to>
        <xdr:sp macro="" textlink="">
          <xdr:nvSpPr>
            <xdr:cNvPr id="24604" name="Option Button 28" hidden="1">
              <a:extLst>
                <a:ext uri="{63B3BB69-23CF-44E3-9099-C40C66FF867C}">
                  <a14:compatExt spid="_x0000_s24604"/>
                </a:ext>
                <a:ext uri="{FF2B5EF4-FFF2-40B4-BE49-F238E27FC236}">
                  <a16:creationId xmlns:a16="http://schemas.microsoft.com/office/drawing/2014/main" id="{00000000-0008-0000-0100-00001C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495300</xdr:colOff>
          <xdr:row>6</xdr:row>
          <xdr:rowOff>209550</xdr:rowOff>
        </xdr:from>
        <xdr:to>
          <xdr:col>6</xdr:col>
          <xdr:colOff>349250</xdr:colOff>
          <xdr:row>6</xdr:row>
          <xdr:rowOff>469900</xdr:rowOff>
        </xdr:to>
        <xdr:sp macro="" textlink="">
          <xdr:nvSpPr>
            <xdr:cNvPr id="24605" name="Option Button 29" hidden="1">
              <a:extLst>
                <a:ext uri="{63B3BB69-23CF-44E3-9099-C40C66FF867C}">
                  <a14:compatExt spid="_x0000_s24605"/>
                </a:ext>
                <a:ext uri="{FF2B5EF4-FFF2-40B4-BE49-F238E27FC236}">
                  <a16:creationId xmlns:a16="http://schemas.microsoft.com/office/drawing/2014/main" id="{00000000-0008-0000-0100-00001D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774700</xdr:colOff>
          <xdr:row>6</xdr:row>
          <xdr:rowOff>107950</xdr:rowOff>
        </xdr:from>
        <xdr:to>
          <xdr:col>7</xdr:col>
          <xdr:colOff>660400</xdr:colOff>
          <xdr:row>6</xdr:row>
          <xdr:rowOff>488950</xdr:rowOff>
        </xdr:to>
        <xdr:sp macro="" textlink="">
          <xdr:nvSpPr>
            <xdr:cNvPr id="24610" name="CheckBox1" hidden="1">
              <a:extLst>
                <a:ext uri="{63B3BB69-23CF-44E3-9099-C40C66FF867C}">
                  <a14:compatExt spid="_x0000_s24610"/>
                </a:ext>
                <a:ext uri="{FF2B5EF4-FFF2-40B4-BE49-F238E27FC236}">
                  <a16:creationId xmlns:a16="http://schemas.microsoft.com/office/drawing/2014/main" id="{00000000-0008-0000-0100-00002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177800</xdr:colOff>
      <xdr:row>8</xdr:row>
      <xdr:rowOff>158750</xdr:rowOff>
    </xdr:from>
    <xdr:to>
      <xdr:col>11</xdr:col>
      <xdr:colOff>526150</xdr:colOff>
      <xdr:row>11</xdr:row>
      <xdr:rowOff>142875</xdr:rowOff>
    </xdr:to>
    <xdr:pic>
      <xdr:nvPicPr>
        <xdr:cNvPr id="8" name="Grafik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stretch>
          <a:fillRect/>
        </a:stretch>
      </xdr:blipFill>
      <xdr:spPr>
        <a:xfrm>
          <a:off x="377825" y="1968500"/>
          <a:ext cx="3263000" cy="6794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438150</xdr:colOff>
          <xdr:row>9</xdr:row>
          <xdr:rowOff>184150</xdr:rowOff>
        </xdr:from>
        <xdr:to>
          <xdr:col>1</xdr:col>
          <xdr:colOff>1701800</xdr:colOff>
          <xdr:row>10</xdr:row>
          <xdr:rowOff>196850</xdr:rowOff>
        </xdr:to>
        <xdr:sp macro="" textlink="">
          <xdr:nvSpPr>
            <xdr:cNvPr id="35851" name="Option Button 11" hidden="1">
              <a:extLst>
                <a:ext uri="{63B3BB69-23CF-44E3-9099-C40C66FF867C}">
                  <a14:compatExt spid="_x0000_s35851"/>
                </a:ext>
                <a:ext uri="{FF2B5EF4-FFF2-40B4-BE49-F238E27FC236}">
                  <a16:creationId xmlns:a16="http://schemas.microsoft.com/office/drawing/2014/main" id="{00000000-0008-0000-0200-00000B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Linked processes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1701800</xdr:colOff>
          <xdr:row>9</xdr:row>
          <xdr:rowOff>184150</xdr:rowOff>
        </xdr:from>
        <xdr:to>
          <xdr:col>11</xdr:col>
          <xdr:colOff>57150</xdr:colOff>
          <xdr:row>10</xdr:row>
          <xdr:rowOff>196850</xdr:rowOff>
        </xdr:to>
        <xdr:sp macro="" textlink="">
          <xdr:nvSpPr>
            <xdr:cNvPr id="35852" name="Option Button 12" hidden="1">
              <a:extLst>
                <a:ext uri="{63B3BB69-23CF-44E3-9099-C40C66FF867C}">
                  <a14:compatExt spid="_x0000_s35852"/>
                </a:ext>
                <a:ext uri="{FF2B5EF4-FFF2-40B4-BE49-F238E27FC236}">
                  <a16:creationId xmlns:a16="http://schemas.microsoft.com/office/drawing/2014/main" id="{00000000-0008-0000-0200-00000C8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Processes not linked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825500</xdr:colOff>
          <xdr:row>10</xdr:row>
          <xdr:rowOff>190500</xdr:rowOff>
        </xdr:from>
        <xdr:to>
          <xdr:col>15</xdr:col>
          <xdr:colOff>457200</xdr:colOff>
          <xdr:row>12</xdr:row>
          <xdr:rowOff>0</xdr:rowOff>
        </xdr:to>
        <xdr:sp macro="" textlink="">
          <xdr:nvSpPr>
            <xdr:cNvPr id="35858" name="CommandButton1" hidden="1">
              <a:extLst>
                <a:ext uri="{63B3BB69-23CF-44E3-9099-C40C66FF867C}">
                  <a14:compatExt spid="_x0000_s35858"/>
                </a:ext>
                <a:ext uri="{FF2B5EF4-FFF2-40B4-BE49-F238E27FC236}">
                  <a16:creationId xmlns:a16="http://schemas.microsoft.com/office/drawing/2014/main" id="{00000000-0008-0000-0200-000012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568325</xdr:colOff>
      <xdr:row>8</xdr:row>
      <xdr:rowOff>171450</xdr:rowOff>
    </xdr:from>
    <xdr:to>
      <xdr:col>17</xdr:col>
      <xdr:colOff>311150</xdr:colOff>
      <xdr:row>12</xdr:row>
      <xdr:rowOff>38100</xdr:rowOff>
    </xdr:to>
    <xdr:sp macro="" textlink="">
      <xdr:nvSpPr>
        <xdr:cNvPr id="3" name="Rechteck 2">
          <a:extLst>
            <a:ext uri="{FF2B5EF4-FFF2-40B4-BE49-F238E27FC236}">
              <a16:creationId xmlns:a16="http://schemas.microsoft.com/office/drawing/2014/main" id="{00000000-0008-0000-0300-000003000000}"/>
            </a:ext>
          </a:extLst>
        </xdr:cNvPr>
        <xdr:cNvSpPr/>
      </xdr:nvSpPr>
      <xdr:spPr bwMode="auto">
        <a:xfrm>
          <a:off x="3683000" y="1981200"/>
          <a:ext cx="3305175" cy="800100"/>
        </a:xfrm>
        <a:prstGeom prst="rect">
          <a:avLst/>
        </a:prstGeom>
        <a:noFill/>
        <a:ln w="9525" cap="flat" cmpd="sng" algn="ctr">
          <a:solidFill>
            <a:schemeClr val="tx1"/>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vert="horz" wrap="none" lIns="0" tIns="0" rIns="0" bIns="0" numCol="1" rtlCol="0" anchor="t" anchorCtr="0" compatLnSpc="1">
          <a:prstTxWarp prst="textNoShape">
            <a:avLst/>
          </a:prstTxWarp>
        </a:bodyPr>
        <a:lstStyle/>
        <a:p>
          <a:pPr marL="0" marR="0" indent="0" algn="l" defTabSz="914400" rtl="0" eaLnBrk="0" fontAlgn="base" latinLnBrk="0" hangingPunct="0">
            <a:lnSpc>
              <a:spcPct val="100000"/>
            </a:lnSpc>
            <a:spcBef>
              <a:spcPct val="0"/>
            </a:spcBef>
            <a:spcAft>
              <a:spcPct val="0"/>
            </a:spcAft>
            <a:buClrTx/>
            <a:buSzTx/>
            <a:buFontTx/>
            <a:buNone/>
            <a:tabLst/>
          </a:pPr>
          <a:endParaRPr kumimoji="0" lang="de-DE" sz="2400" b="0" i="0" u="none" strike="noStrike" cap="none" normalizeH="0" baseline="0">
            <a:ln>
              <a:noFill/>
            </a:ln>
            <a:solidFill>
              <a:schemeClr val="tx1"/>
            </a:solidFill>
            <a:effectLst/>
            <a:latin typeface="Arial" charset="0"/>
          </a:endParaRPr>
        </a:p>
      </xdr:txBody>
    </xdr:sp>
    <xdr:clientData/>
  </xdr:twoCellAnchor>
  <mc:AlternateContent xmlns:mc="http://schemas.openxmlformats.org/markup-compatibility/2006">
    <mc:Choice xmlns:a14="http://schemas.microsoft.com/office/drawing/2010/main" Requires="a14">
      <xdr:twoCellAnchor>
        <xdr:from>
          <xdr:col>6</xdr:col>
          <xdr:colOff>31750</xdr:colOff>
          <xdr:row>1</xdr:row>
          <xdr:rowOff>120650</xdr:rowOff>
        </xdr:from>
        <xdr:to>
          <xdr:col>7</xdr:col>
          <xdr:colOff>1358900</xdr:colOff>
          <xdr:row>3</xdr:row>
          <xdr:rowOff>69850</xdr:rowOff>
        </xdr:to>
        <xdr:sp macro="" textlink="">
          <xdr:nvSpPr>
            <xdr:cNvPr id="35859" name="Button 19" hidden="1">
              <a:extLst>
                <a:ext uri="{63B3BB69-23CF-44E3-9099-C40C66FF867C}">
                  <a14:compatExt spid="_x0000_s35859"/>
                </a:ext>
                <a:ext uri="{FF2B5EF4-FFF2-40B4-BE49-F238E27FC236}">
                  <a16:creationId xmlns:a16="http://schemas.microsoft.com/office/drawing/2014/main" id="{00000000-0008-0000-0200-000013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Arial"/>
                  <a:cs typeface="Arial"/>
                </a:rPr>
                <a:t>Copy processes from capacity planning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177800</xdr:colOff>
      <xdr:row>8</xdr:row>
      <xdr:rowOff>15875</xdr:rowOff>
    </xdr:from>
    <xdr:to>
      <xdr:col>1</xdr:col>
      <xdr:colOff>3294451</xdr:colOff>
      <xdr:row>10</xdr:row>
      <xdr:rowOff>171450</xdr:rowOff>
    </xdr:to>
    <xdr:pic>
      <xdr:nvPicPr>
        <xdr:cNvPr id="3" name="Grafik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377825" y="1778000"/>
          <a:ext cx="3116651" cy="5461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438150</xdr:colOff>
          <xdr:row>8</xdr:row>
          <xdr:rowOff>209550</xdr:rowOff>
        </xdr:from>
        <xdr:to>
          <xdr:col>1</xdr:col>
          <xdr:colOff>1714500</xdr:colOff>
          <xdr:row>10</xdr:row>
          <xdr:rowOff>82550</xdr:rowOff>
        </xdr:to>
        <xdr:sp macro="" textlink="">
          <xdr:nvSpPr>
            <xdr:cNvPr id="49153" name="Option Button 1" hidden="1">
              <a:extLst>
                <a:ext uri="{63B3BB69-23CF-44E3-9099-C40C66FF867C}">
                  <a14:compatExt spid="_x0000_s49153"/>
                </a:ext>
                <a:ext uri="{FF2B5EF4-FFF2-40B4-BE49-F238E27FC236}">
                  <a16:creationId xmlns:a16="http://schemas.microsoft.com/office/drawing/2014/main" id="{00000000-0008-0000-0300-000001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Linked processes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1701800</xdr:colOff>
          <xdr:row>8</xdr:row>
          <xdr:rowOff>209550</xdr:rowOff>
        </xdr:from>
        <xdr:to>
          <xdr:col>1</xdr:col>
          <xdr:colOff>2978150</xdr:colOff>
          <xdr:row>10</xdr:row>
          <xdr:rowOff>82550</xdr:rowOff>
        </xdr:to>
        <xdr:sp macro="" textlink="">
          <xdr:nvSpPr>
            <xdr:cNvPr id="49154" name="Option Button 2" hidden="1">
              <a:extLst>
                <a:ext uri="{63B3BB69-23CF-44E3-9099-C40C66FF867C}">
                  <a14:compatExt spid="_x0000_s49154"/>
                </a:ext>
                <a:ext uri="{FF2B5EF4-FFF2-40B4-BE49-F238E27FC236}">
                  <a16:creationId xmlns:a16="http://schemas.microsoft.com/office/drawing/2014/main" id="{00000000-0008-0000-0300-000002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Processes not linked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134470</xdr:colOff>
      <xdr:row>25</xdr:row>
      <xdr:rowOff>10756</xdr:rowOff>
    </xdr:from>
    <xdr:to>
      <xdr:col>16</xdr:col>
      <xdr:colOff>1292411</xdr:colOff>
      <xdr:row>53</xdr:row>
      <xdr:rowOff>149411</xdr:rowOff>
    </xdr:to>
    <xdr:graphicFrame macro="">
      <xdr:nvGraphicFramePr>
        <xdr:cNvPr id="2" name="Diagramm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Audi">
  <a:themeElements>
    <a:clrScheme name="Audi Standard">
      <a:dk1>
        <a:srgbClr val="000000"/>
      </a:dk1>
      <a:lt1>
        <a:srgbClr val="FFFFFF"/>
      </a:lt1>
      <a:dk2>
        <a:srgbClr val="000000"/>
      </a:dk2>
      <a:lt2>
        <a:srgbClr val="B0B6B8"/>
      </a:lt2>
      <a:accent1>
        <a:srgbClr val="434C53"/>
      </a:accent1>
      <a:accent2>
        <a:srgbClr val="D5D9D8"/>
      </a:accent2>
      <a:accent3>
        <a:srgbClr val="6D7579"/>
      </a:accent3>
      <a:accent4>
        <a:srgbClr val="CACE98"/>
      </a:accent4>
      <a:accent5>
        <a:srgbClr val="B0B6AD"/>
      </a:accent5>
      <a:accent6>
        <a:srgbClr val="B9002D"/>
      </a:accent6>
      <a:hlink>
        <a:srgbClr val="6682A4"/>
      </a:hlink>
      <a:folHlink>
        <a:srgbClr val="6C4859"/>
      </a:folHlink>
    </a:clrScheme>
    <a:fontScheme name="Audi">
      <a:majorFont>
        <a:latin typeface="Arial"/>
        <a:ea typeface=""/>
        <a:cs typeface=""/>
      </a:majorFont>
      <a:minorFont>
        <a:latin typeface="Arial"/>
        <a:ea typeface=""/>
        <a:cs typeface=""/>
      </a:minorFont>
    </a:fontScheme>
    <a:fmtScheme name="Audi">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none" lIns="0" tIns="0" rIns="0" bIns="0" numCol="1" anchor="ctr"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smtClean="0">
            <a:ln>
              <a:noFill/>
            </a:ln>
            <a:solidFill>
              <a:schemeClr val="tx1"/>
            </a:solidFill>
            <a:effectLst/>
            <a:latin typeface="Arial" charset="0"/>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none" lIns="0" tIns="0" rIns="0" bIns="0" numCol="1" anchor="ctr"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smtClean="0">
            <a:ln>
              <a:noFill/>
            </a:ln>
            <a:solidFill>
              <a:schemeClr val="tx1"/>
            </a:solidFill>
            <a:effectLst/>
            <a:latin typeface="Arial" charset="0"/>
          </a:defRPr>
        </a:defPPr>
      </a:lstStyle>
    </a:lnDef>
  </a:objectDefaults>
  <a:extraClrSchemeLst>
    <a:extraClrScheme>
      <a:clrScheme name="Audi">
        <a:dk1>
          <a:srgbClr val="000000"/>
        </a:dk1>
        <a:lt1>
          <a:srgbClr val="CDCDCD"/>
        </a:lt1>
        <a:dk2>
          <a:srgbClr val="000000"/>
        </a:dk2>
        <a:lt2>
          <a:srgbClr val="999999"/>
        </a:lt2>
        <a:accent1>
          <a:srgbClr val="FED900"/>
        </a:accent1>
        <a:accent2>
          <a:srgbClr val="FCAF00"/>
        </a:accent2>
        <a:accent3>
          <a:srgbClr val="2C9730"/>
        </a:accent3>
        <a:accent4>
          <a:srgbClr val="E3D36F"/>
        </a:accent4>
        <a:accent5>
          <a:srgbClr val="FEE9AA"/>
        </a:accent5>
        <a:accent6>
          <a:srgbClr val="A4AA73"/>
        </a:accent6>
        <a:hlink>
          <a:srgbClr val="339999"/>
        </a:hlink>
        <a:folHlink>
          <a:srgbClr val="009FCE"/>
        </a:folHlink>
      </a:clrScheme>
      <a:clrMap bg1="lt1" tx1="dk1" bg2="lt2" tx2="dk2" accent1="accent1" accent2="accent2" accent3="accent3" accent4="accent4" accent5="accent5" accent6="accent6" hlink="hlink" folHlink="folHlink"/>
    </a:extraClrScheme>
  </a:extraClrSchemeLst>
  <a:custClrLst>
    <a:custClr name="PMS 108">
      <a:srgbClr val="FEF000"/>
    </a:custClr>
    <a:custClr name="PMS 130">
      <a:srgbClr val="FBBB1B"/>
    </a:custClr>
    <a:custClr name="PMS 158">
      <a:srgbClr val="F6751F"/>
    </a:custClr>
    <a:custClr name="PMS 398">
      <a:srgbClr val="C5C12D"/>
    </a:custClr>
    <a:custClr name="PMS 377">
      <a:srgbClr val="669933"/>
    </a:custClr>
    <a:custClr name="PMS 347">
      <a:srgbClr val="008F54"/>
    </a:custClr>
    <a:custClr name="PMS 313">
      <a:srgbClr val="02B3E1"/>
    </a:custClr>
    <a:custClr name="PMS 5483">
      <a:srgbClr val="55959E"/>
    </a:custClr>
    <a:custClr name="PMS 556">
      <a:srgbClr val="7FBAA5"/>
    </a:custClr>
    <a:custClr name="Audi Cool Gray 9">
      <a:srgbClr val="5E5E5E"/>
    </a:custClr>
  </a:custClr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3" Type="http://schemas.openxmlformats.org/officeDocument/2006/relationships/vmlDrawing" Target="../drawings/vmlDrawing1.vml"/><Relationship Id="rId21" Type="http://schemas.openxmlformats.org/officeDocument/2006/relationships/ctrlProp" Target="../ctrlProps/ctrlProp3.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 Type="http://schemas.openxmlformats.org/officeDocument/2006/relationships/drawing" Target="../drawings/drawing1.xml"/><Relationship Id="rId16" Type="http://schemas.openxmlformats.org/officeDocument/2006/relationships/image" Target="../media/image6.emf"/><Relationship Id="rId20" Type="http://schemas.openxmlformats.org/officeDocument/2006/relationships/ctrlProp" Target="../ctrlProps/ctrlProp2.xml"/><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19" Type="http://schemas.openxmlformats.org/officeDocument/2006/relationships/ctrlProp" Target="../ctrlProps/ctrlProp1.xml"/><Relationship Id="rId4" Type="http://schemas.openxmlformats.org/officeDocument/2006/relationships/vmlDrawing" Target="../drawings/vmlDrawing2.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vmlDrawing" Target="../drawings/vmlDrawing3.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9.emf"/><Relationship Id="rId11" Type="http://schemas.openxmlformats.org/officeDocument/2006/relationships/comments" Target="../comments1.xml"/><Relationship Id="rId5" Type="http://schemas.openxmlformats.org/officeDocument/2006/relationships/control" Target="../activeX/activeX8.xml"/><Relationship Id="rId10" Type="http://schemas.openxmlformats.org/officeDocument/2006/relationships/ctrlProp" Target="../ctrlProps/ctrlProp6.xml"/><Relationship Id="rId4" Type="http://schemas.openxmlformats.org/officeDocument/2006/relationships/vmlDrawing" Target="../drawings/vmlDrawing4.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12.emf"/><Relationship Id="rId5" Type="http://schemas.openxmlformats.org/officeDocument/2006/relationships/control" Target="../activeX/activeX10.xml"/><Relationship Id="rId10" Type="http://schemas.openxmlformats.org/officeDocument/2006/relationships/comments" Target="../comments2.xml"/><Relationship Id="rId4" Type="http://schemas.openxmlformats.org/officeDocument/2006/relationships/vmlDrawing" Target="../drawings/vmlDrawing6.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8.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T53"/>
  <sheetViews>
    <sheetView zoomScale="115" zoomScaleNormal="115" workbookViewId="0">
      <selection activeCell="B3" sqref="B3"/>
    </sheetView>
  </sheetViews>
  <sheetFormatPr defaultColWidth="11" defaultRowHeight="13" x14ac:dyDescent="0.3"/>
  <cols>
    <col min="1" max="1" width="2.58203125" style="2" customWidth="1"/>
    <col min="2" max="2" width="30" style="2" customWidth="1"/>
    <col min="3" max="3" width="30.08203125" style="2" customWidth="1"/>
    <col min="4" max="4" width="2.58203125" style="2" customWidth="1"/>
    <col min="5" max="5" width="12.6640625" style="2" customWidth="1"/>
    <col min="6" max="6" width="2.58203125" style="2" customWidth="1"/>
    <col min="7" max="10" width="11" style="2" customWidth="1"/>
    <col min="11" max="11" width="2.9140625" style="2" customWidth="1"/>
    <col min="12" max="19" width="11" style="2" customWidth="1"/>
    <col min="20" max="20" width="38.9140625" style="18" customWidth="1"/>
    <col min="21" max="16384" width="11" style="2"/>
  </cols>
  <sheetData>
    <row r="1" spans="1:20" ht="35.5" thickBot="1" x14ac:dyDescent="0.35">
      <c r="A1" s="518" t="str">
        <f>CONCATENATE("Datasheet - ",IF(F6=1,"Pre-Check (SFN 1)",IF(F6=2,"Performance test (SFN 3)",IF(F6=3,"Process acceptance (SFN 2)","Capacity planning"))))</f>
        <v>Datasheet - Performance test (SFN 3)</v>
      </c>
      <c r="B1" s="518"/>
      <c r="C1" s="518"/>
      <c r="D1" s="518"/>
      <c r="E1" s="518"/>
      <c r="F1" s="518"/>
      <c r="G1" s="34"/>
      <c r="H1" s="19"/>
      <c r="I1" s="19"/>
      <c r="J1" s="19"/>
      <c r="K1" s="19"/>
      <c r="L1" s="19"/>
      <c r="M1" s="19"/>
      <c r="N1" s="19"/>
      <c r="O1" s="19"/>
      <c r="P1" s="19"/>
      <c r="Q1" s="19"/>
      <c r="R1" s="19"/>
      <c r="S1" s="19"/>
    </row>
    <row r="2" spans="1:20" ht="26" thickBot="1" x14ac:dyDescent="0.6">
      <c r="A2" s="3"/>
      <c r="B2" s="4" t="s">
        <v>91</v>
      </c>
      <c r="C2" s="5"/>
      <c r="D2" s="5"/>
      <c r="E2" s="32"/>
      <c r="F2" s="6"/>
      <c r="G2" s="66"/>
      <c r="H2" s="19"/>
      <c r="I2" s="19"/>
      <c r="J2" s="19"/>
      <c r="K2" s="19"/>
      <c r="L2" s="19"/>
      <c r="M2" s="19"/>
      <c r="N2" s="19"/>
      <c r="O2" s="19"/>
      <c r="P2" s="19"/>
      <c r="Q2" s="19"/>
      <c r="R2" s="19"/>
      <c r="S2" s="19"/>
    </row>
    <row r="3" spans="1:20" s="22" customFormat="1" x14ac:dyDescent="0.3">
      <c r="A3" s="69"/>
      <c r="B3" s="68"/>
      <c r="C3" s="68"/>
      <c r="D3" s="68"/>
      <c r="E3" s="68"/>
      <c r="F3" s="70"/>
      <c r="G3" s="68"/>
      <c r="H3" s="524" t="s">
        <v>380</v>
      </c>
      <c r="I3" s="525"/>
      <c r="J3" s="526"/>
      <c r="K3" s="2"/>
      <c r="L3" s="68"/>
      <c r="M3" s="68"/>
      <c r="N3" s="68"/>
      <c r="O3" s="68"/>
      <c r="P3" s="68"/>
      <c r="Q3" s="68"/>
      <c r="R3" s="68"/>
      <c r="S3" s="68"/>
      <c r="T3" s="24"/>
    </row>
    <row r="4" spans="1:20" x14ac:dyDescent="0.3">
      <c r="A4" s="71"/>
      <c r="B4" s="15" t="s">
        <v>92</v>
      </c>
      <c r="C4" s="333">
        <v>45821</v>
      </c>
      <c r="D4" s="67"/>
      <c r="E4" s="67"/>
      <c r="F4" s="72"/>
      <c r="G4" s="67"/>
      <c r="H4" s="527"/>
      <c r="I4" s="528"/>
      <c r="J4" s="529"/>
      <c r="K4" s="22"/>
      <c r="L4" s="67"/>
      <c r="M4" s="67"/>
      <c r="N4" s="67"/>
      <c r="O4" s="67"/>
      <c r="P4" s="67"/>
      <c r="Q4" s="67"/>
      <c r="R4" s="67"/>
      <c r="S4" s="67"/>
    </row>
    <row r="5" spans="1:20" s="22" customFormat="1" x14ac:dyDescent="0.3">
      <c r="A5" s="21"/>
      <c r="F5" s="23"/>
      <c r="H5" s="527"/>
      <c r="I5" s="528"/>
      <c r="J5" s="529"/>
      <c r="K5" s="2"/>
      <c r="T5" s="24"/>
    </row>
    <row r="6" spans="1:20" ht="45" x14ac:dyDescent="0.3">
      <c r="A6" s="7"/>
      <c r="B6" s="73" t="s">
        <v>93</v>
      </c>
      <c r="C6" s="249" t="str">
        <f>RIGHT(Datasheet!A1,LEN(Datasheet!A1)-12)</f>
        <v>Performance test (SFN 3)</v>
      </c>
      <c r="D6" s="74"/>
      <c r="E6" s="74"/>
      <c r="F6" s="456">
        <v>2</v>
      </c>
      <c r="H6" s="527"/>
      <c r="I6" s="528"/>
      <c r="J6" s="529"/>
      <c r="K6" s="22"/>
    </row>
    <row r="7" spans="1:20" ht="45" x14ac:dyDescent="0.9">
      <c r="A7" s="7"/>
      <c r="B7" s="73" t="s">
        <v>94</v>
      </c>
      <c r="C7" s="74"/>
      <c r="D7" s="75"/>
      <c r="E7" s="75"/>
      <c r="F7" s="311"/>
      <c r="H7" s="187"/>
      <c r="I7" s="185"/>
      <c r="J7" s="188"/>
    </row>
    <row r="8" spans="1:20" s="22" customFormat="1" ht="8" x14ac:dyDescent="0.2">
      <c r="A8" s="21"/>
      <c r="B8" s="25"/>
      <c r="C8" s="26"/>
      <c r="D8" s="26"/>
      <c r="E8" s="26"/>
      <c r="F8" s="23"/>
      <c r="H8" s="62"/>
      <c r="I8" s="186"/>
      <c r="J8" s="63"/>
      <c r="T8" s="24"/>
    </row>
    <row r="9" spans="1:20" ht="20.5" x14ac:dyDescent="0.45">
      <c r="A9" s="7"/>
      <c r="B9" s="16" t="s">
        <v>95</v>
      </c>
      <c r="C9" s="531" t="s">
        <v>484</v>
      </c>
      <c r="D9" s="531"/>
      <c r="E9" s="531"/>
      <c r="F9" s="35"/>
      <c r="H9" s="60"/>
      <c r="I9" s="186"/>
      <c r="J9" s="61"/>
      <c r="T9" s="118" t="str">
        <f>C9</f>
        <v>Schaeffler Trading(Shanghai) Co., Ltd</v>
      </c>
    </row>
    <row r="10" spans="1:20" s="22" customFormat="1" x14ac:dyDescent="0.3">
      <c r="A10" s="21"/>
      <c r="B10" s="25"/>
      <c r="C10" s="26"/>
      <c r="D10" s="26"/>
      <c r="E10" s="26"/>
      <c r="F10" s="23"/>
      <c r="H10" s="62"/>
      <c r="I10" s="186"/>
      <c r="J10" s="63"/>
      <c r="T10" s="118"/>
    </row>
    <row r="11" spans="1:20" x14ac:dyDescent="0.3">
      <c r="A11" s="7"/>
      <c r="B11" s="15" t="s">
        <v>96</v>
      </c>
      <c r="C11" s="520" t="s">
        <v>485</v>
      </c>
      <c r="D11" s="520"/>
      <c r="E11" s="520"/>
      <c r="F11" s="8"/>
      <c r="H11" s="60"/>
      <c r="I11" s="186"/>
      <c r="J11" s="61"/>
      <c r="T11" s="118" t="str">
        <f>C11</f>
        <v>85D 407 621/85D 407 621 A</v>
      </c>
    </row>
    <row r="12" spans="1:20" x14ac:dyDescent="0.3">
      <c r="A12" s="7"/>
      <c r="B12" s="15" t="s">
        <v>97</v>
      </c>
      <c r="C12" s="523" t="s">
        <v>486</v>
      </c>
      <c r="D12" s="523"/>
      <c r="E12" s="523"/>
      <c r="F12" s="8"/>
      <c r="H12" s="60"/>
      <c r="I12" s="186"/>
      <c r="J12" s="61"/>
      <c r="T12" s="118" t="str">
        <f>C12</f>
        <v>Wheel Bearing</v>
      </c>
    </row>
    <row r="13" spans="1:20" s="22" customFormat="1" x14ac:dyDescent="0.3">
      <c r="A13" s="21"/>
      <c r="B13" s="25"/>
      <c r="C13" s="26"/>
      <c r="D13" s="26"/>
      <c r="E13" s="26"/>
      <c r="F13" s="23"/>
      <c r="H13" s="62"/>
      <c r="I13" s="189"/>
      <c r="J13" s="63"/>
      <c r="T13" s="118"/>
    </row>
    <row r="14" spans="1:20" ht="18.5" thickBot="1" x14ac:dyDescent="0.45">
      <c r="A14" s="7"/>
      <c r="B14" s="37" t="s">
        <v>98</v>
      </c>
      <c r="C14" s="14"/>
      <c r="D14" s="14"/>
      <c r="E14" s="14"/>
      <c r="F14" s="64"/>
      <c r="G14" s="7"/>
      <c r="H14" s="196"/>
      <c r="I14" s="197"/>
      <c r="J14" s="198"/>
      <c r="T14" s="118"/>
    </row>
    <row r="15" spans="1:20" ht="13.5" thickBot="1" x14ac:dyDescent="0.35">
      <c r="A15" s="7"/>
      <c r="B15" s="15" t="s">
        <v>99</v>
      </c>
      <c r="C15" s="20" t="s">
        <v>487</v>
      </c>
      <c r="D15" s="14"/>
      <c r="E15" s="14"/>
      <c r="F15" s="8"/>
      <c r="G15" s="7"/>
      <c r="H15" s="62"/>
      <c r="I15" s="189"/>
      <c r="J15" s="63"/>
      <c r="T15" s="118" t="str">
        <f>C15</f>
        <v>China</v>
      </c>
    </row>
    <row r="16" spans="1:20" s="22" customFormat="1" x14ac:dyDescent="0.3">
      <c r="A16" s="21"/>
      <c r="B16" s="25"/>
      <c r="C16" s="26"/>
      <c r="D16" s="26"/>
      <c r="E16" s="26"/>
      <c r="F16" s="23"/>
      <c r="H16" s="191"/>
      <c r="I16" s="190"/>
      <c r="J16" s="192"/>
      <c r="T16" s="118"/>
    </row>
    <row r="17" spans="1:20" s="22" customFormat="1" x14ac:dyDescent="0.3">
      <c r="A17" s="21"/>
      <c r="B17" s="15" t="s">
        <v>100</v>
      </c>
      <c r="C17" s="519" t="s">
        <v>488</v>
      </c>
      <c r="D17" s="520"/>
      <c r="E17" s="520"/>
      <c r="F17" s="23"/>
      <c r="H17" s="191"/>
      <c r="I17" s="190"/>
      <c r="J17" s="192"/>
      <c r="K17" s="2"/>
      <c r="T17" s="118" t="str">
        <f>C17</f>
        <v>No. 1 Antuo Road,Anting jiading District,
201804 Shanghai</v>
      </c>
    </row>
    <row r="18" spans="1:20" s="22" customFormat="1" ht="13.5" thickBot="1" x14ac:dyDescent="0.35">
      <c r="A18" s="21"/>
      <c r="B18" s="15" t="s">
        <v>101</v>
      </c>
      <c r="C18" s="532" t="s">
        <v>489</v>
      </c>
      <c r="D18" s="532"/>
      <c r="E18" s="532"/>
      <c r="F18" s="23"/>
      <c r="H18" s="193"/>
      <c r="I18" s="194"/>
      <c r="J18" s="195"/>
      <c r="K18" s="2"/>
      <c r="T18" s="118" t="str">
        <f t="shared" ref="T18:T20" si="0">C18</f>
        <v>Chen, Dongyi</v>
      </c>
    </row>
    <row r="19" spans="1:20" x14ac:dyDescent="0.3">
      <c r="A19" s="7"/>
      <c r="B19" s="15" t="s">
        <v>102</v>
      </c>
      <c r="C19" s="522" t="s">
        <v>490</v>
      </c>
      <c r="D19" s="522"/>
      <c r="E19" s="522"/>
      <c r="F19" s="8"/>
      <c r="K19" s="40"/>
      <c r="T19" s="118" t="str">
        <f t="shared" si="0"/>
        <v>00N7422800</v>
      </c>
    </row>
    <row r="20" spans="1:20" s="22" customFormat="1" x14ac:dyDescent="0.3">
      <c r="A20" s="21"/>
      <c r="B20" s="15" t="s">
        <v>103</v>
      </c>
      <c r="C20" s="523">
        <v>545306370</v>
      </c>
      <c r="D20" s="523"/>
      <c r="E20" s="523"/>
      <c r="F20" s="23"/>
      <c r="H20" s="89" t="s">
        <v>379</v>
      </c>
      <c r="I20" s="204"/>
      <c r="J20" s="204"/>
      <c r="K20" s="204"/>
      <c r="L20" s="204"/>
      <c r="T20" s="118">
        <f t="shared" si="0"/>
        <v>545306370</v>
      </c>
    </row>
    <row r="21" spans="1:20" s="22" customFormat="1" x14ac:dyDescent="0.3">
      <c r="A21" s="21"/>
      <c r="B21" s="25"/>
      <c r="C21" s="26"/>
      <c r="D21" s="26"/>
      <c r="E21" s="26"/>
      <c r="F21" s="23"/>
      <c r="T21" s="118"/>
    </row>
    <row r="22" spans="1:20" x14ac:dyDescent="0.3">
      <c r="A22" s="7"/>
      <c r="B22" s="15" t="s">
        <v>104</v>
      </c>
      <c r="C22" s="520" t="s">
        <v>491</v>
      </c>
      <c r="D22" s="520"/>
      <c r="E22" s="520"/>
      <c r="F22" s="8"/>
      <c r="H22" s="22"/>
      <c r="I22" s="22"/>
      <c r="J22" s="22"/>
      <c r="K22" s="22"/>
      <c r="T22" s="118" t="str">
        <f>C22</f>
        <v>Li Jiajun (C/OP-5)</v>
      </c>
    </row>
    <row r="23" spans="1:20" s="40" customFormat="1" x14ac:dyDescent="0.3">
      <c r="A23" s="38"/>
      <c r="B23" s="15" t="s">
        <v>105</v>
      </c>
      <c r="C23" s="523" t="s">
        <v>492</v>
      </c>
      <c r="D23" s="523"/>
      <c r="E23" s="523"/>
      <c r="F23" s="39"/>
      <c r="T23" s="118" t="str">
        <f>C23</f>
        <v>Audi Supply Chain Great Asia</v>
      </c>
    </row>
    <row r="24" spans="1:20" s="22" customFormat="1" ht="13.5" thickBot="1" x14ac:dyDescent="0.35">
      <c r="A24" s="27"/>
      <c r="B24" s="28"/>
      <c r="C24" s="29"/>
      <c r="D24" s="29"/>
      <c r="E24" s="29"/>
      <c r="F24" s="30"/>
      <c r="T24" s="156"/>
    </row>
    <row r="25" spans="1:20" ht="25.5" x14ac:dyDescent="0.4">
      <c r="A25" s="7"/>
      <c r="B25" s="10" t="s">
        <v>107</v>
      </c>
      <c r="C25" s="14"/>
      <c r="D25" s="14"/>
      <c r="E25" s="33"/>
      <c r="F25" s="8"/>
      <c r="G25" s="89"/>
      <c r="H25" s="89"/>
      <c r="I25" s="89"/>
      <c r="J25" s="89"/>
      <c r="K25" s="89"/>
      <c r="L25" s="89"/>
      <c r="M25" s="89"/>
      <c r="N25" s="89"/>
      <c r="O25" s="89"/>
      <c r="P25" s="89"/>
      <c r="Q25" s="89"/>
      <c r="R25" s="89"/>
      <c r="S25" s="89"/>
      <c r="T25" s="156"/>
    </row>
    <row r="26" spans="1:20" s="22" customFormat="1" x14ac:dyDescent="0.3">
      <c r="A26" s="21"/>
      <c r="C26" s="26"/>
      <c r="D26" s="26"/>
      <c r="E26" s="26"/>
      <c r="F26" s="23"/>
      <c r="G26" s="96"/>
      <c r="H26" s="96"/>
      <c r="I26" s="96"/>
      <c r="J26" s="96"/>
      <c r="K26" s="96"/>
      <c r="L26" s="96"/>
      <c r="M26" s="96"/>
      <c r="N26" s="96"/>
      <c r="O26" s="96"/>
      <c r="P26" s="96"/>
      <c r="Q26" s="96"/>
      <c r="R26" s="96"/>
      <c r="S26" s="96"/>
      <c r="T26" s="156"/>
    </row>
    <row r="27" spans="1:20" x14ac:dyDescent="0.3">
      <c r="A27" s="7"/>
      <c r="B27" s="15" t="s">
        <v>108</v>
      </c>
      <c r="C27" s="467" t="s">
        <v>518</v>
      </c>
      <c r="D27" s="14"/>
      <c r="E27" s="16"/>
      <c r="F27" s="8"/>
      <c r="G27" s="89"/>
      <c r="H27" s="89"/>
      <c r="I27" s="89"/>
      <c r="J27" s="89"/>
      <c r="K27" s="89"/>
      <c r="L27" s="89"/>
      <c r="M27" s="89"/>
      <c r="N27" s="89"/>
      <c r="O27" s="89"/>
      <c r="P27" s="89"/>
      <c r="Q27" s="89"/>
      <c r="R27" s="89"/>
      <c r="S27" s="89"/>
      <c r="T27" s="485"/>
    </row>
    <row r="28" spans="1:20" s="22" customFormat="1" x14ac:dyDescent="0.3">
      <c r="A28" s="21"/>
      <c r="B28" s="25"/>
      <c r="C28" s="26"/>
      <c r="D28" s="26"/>
      <c r="E28" s="199"/>
      <c r="F28" s="23"/>
      <c r="G28" s="96"/>
      <c r="H28" s="96"/>
      <c r="I28" s="96"/>
      <c r="J28" s="96"/>
      <c r="K28" s="96"/>
      <c r="L28" s="96"/>
      <c r="M28" s="96"/>
      <c r="N28" s="96"/>
      <c r="O28" s="96"/>
      <c r="P28" s="96"/>
      <c r="Q28" s="96"/>
      <c r="R28" s="96"/>
      <c r="S28" s="96"/>
      <c r="T28" s="156"/>
    </row>
    <row r="29" spans="1:20" ht="41.5" x14ac:dyDescent="0.55000000000000004">
      <c r="A29" s="7"/>
      <c r="B29" s="15" t="s">
        <v>109</v>
      </c>
      <c r="C29" s="521" t="s">
        <v>493</v>
      </c>
      <c r="D29" s="521"/>
      <c r="E29" s="521"/>
      <c r="F29" s="36"/>
      <c r="G29" s="89"/>
      <c r="H29" s="89"/>
      <c r="I29" s="89"/>
      <c r="J29" s="89"/>
      <c r="K29" s="89"/>
      <c r="L29" s="89"/>
      <c r="M29" s="89"/>
      <c r="N29" s="89"/>
      <c r="O29" s="89"/>
      <c r="P29" s="89"/>
      <c r="Q29" s="89"/>
      <c r="R29" s="89"/>
      <c r="S29" s="89"/>
      <c r="T29" s="156" t="str">
        <f t="shared" ref="T29:T46" si="1">C29</f>
        <v>Li, Chunzhi (P/BL)
Przeradzki, Thomas (P/GQ-51)
Li Jiajun (C/OP-5)</v>
      </c>
    </row>
    <row r="30" spans="1:20" s="22" customFormat="1" x14ac:dyDescent="0.3">
      <c r="A30" s="21"/>
      <c r="B30" s="25"/>
      <c r="C30" s="26"/>
      <c r="D30" s="26"/>
      <c r="E30" s="31"/>
      <c r="F30" s="23"/>
      <c r="G30" s="96"/>
      <c r="H30" s="96"/>
      <c r="I30" s="96"/>
      <c r="J30" s="96"/>
      <c r="K30" s="96"/>
      <c r="L30" s="96"/>
      <c r="M30" s="96"/>
      <c r="N30" s="96"/>
      <c r="O30" s="96"/>
      <c r="P30" s="96"/>
      <c r="Q30" s="96"/>
      <c r="R30" s="96"/>
      <c r="S30" s="96"/>
      <c r="T30" s="156"/>
    </row>
    <row r="31" spans="1:20" ht="25.5" x14ac:dyDescent="0.55000000000000004">
      <c r="A31" s="7"/>
      <c r="B31" s="15" t="s">
        <v>110</v>
      </c>
      <c r="C31" s="521"/>
      <c r="D31" s="521"/>
      <c r="E31" s="521"/>
      <c r="F31" s="36"/>
      <c r="G31" s="89"/>
      <c r="H31" s="89"/>
      <c r="I31" s="89"/>
      <c r="J31" s="89"/>
      <c r="K31" s="89"/>
      <c r="L31" s="89"/>
      <c r="M31" s="89"/>
      <c r="N31" s="89"/>
      <c r="O31" s="89"/>
      <c r="P31" s="89"/>
      <c r="Q31" s="89"/>
      <c r="R31" s="89"/>
      <c r="S31" s="89"/>
      <c r="T31" s="156">
        <f t="shared" si="1"/>
        <v>0</v>
      </c>
    </row>
    <row r="32" spans="1:20" s="22" customFormat="1" ht="13.5" thickBot="1" x14ac:dyDescent="0.35">
      <c r="A32" s="21"/>
      <c r="B32" s="25"/>
      <c r="C32" s="77"/>
      <c r="D32" s="26"/>
      <c r="E32" s="79"/>
      <c r="F32" s="23"/>
      <c r="G32" s="96"/>
      <c r="H32" s="96"/>
      <c r="I32" s="96"/>
      <c r="J32" s="96"/>
      <c r="K32" s="96"/>
      <c r="L32" s="96"/>
      <c r="M32" s="96"/>
      <c r="N32" s="96"/>
      <c r="O32" s="96"/>
      <c r="P32" s="96"/>
      <c r="Q32" s="96"/>
      <c r="R32" s="96"/>
      <c r="S32" s="96"/>
      <c r="T32" s="156"/>
    </row>
    <row r="33" spans="1:20" ht="18.5" thickBot="1" x14ac:dyDescent="0.45">
      <c r="A33" s="7"/>
      <c r="B33" s="16" t="s">
        <v>111</v>
      </c>
      <c r="C33" s="372">
        <f>'Capacity overview'!D41</f>
        <v>16016</v>
      </c>
      <c r="D33" s="14"/>
      <c r="E33" s="533" t="str">
        <f>IF(Ergebnis=erfuellt,IF(F6=1,"yellow","green"),IF(Ergebnis=bedingterfuellt,"yellow",IF(Ergebnis=nichterfuellt,"red","")))</f>
        <v>green</v>
      </c>
      <c r="F33" s="64"/>
      <c r="G33" s="89"/>
      <c r="H33" s="89"/>
      <c r="I33" s="89"/>
      <c r="J33" s="89"/>
      <c r="K33" s="89"/>
      <c r="L33" s="89"/>
      <c r="M33" s="89"/>
      <c r="N33" s="89"/>
      <c r="O33" s="89"/>
      <c r="P33" s="89"/>
      <c r="Q33" s="89"/>
      <c r="R33" s="89"/>
      <c r="S33" s="89"/>
      <c r="T33" s="156"/>
    </row>
    <row r="34" spans="1:20" ht="26.5" thickBot="1" x14ac:dyDescent="0.45">
      <c r="A34" s="7"/>
      <c r="B34" s="78" t="s">
        <v>378</v>
      </c>
      <c r="C34" s="372">
        <f>'Capacity overview'!G41</f>
        <v>18687.734060396899</v>
      </c>
      <c r="D34" s="14"/>
      <c r="E34" s="534"/>
      <c r="F34" s="64"/>
      <c r="G34" s="89"/>
      <c r="H34" s="89"/>
      <c r="I34" s="89"/>
      <c r="J34" s="89"/>
      <c r="K34" s="89"/>
      <c r="L34" s="89"/>
      <c r="M34" s="89"/>
      <c r="N34" s="89"/>
      <c r="O34" s="89"/>
      <c r="P34" s="89"/>
      <c r="Q34" s="89"/>
      <c r="R34" s="89"/>
      <c r="S34" s="89"/>
      <c r="T34" s="156"/>
    </row>
    <row r="35" spans="1:20" s="22" customFormat="1" ht="13.5" thickBot="1" x14ac:dyDescent="0.35">
      <c r="A35" s="21"/>
      <c r="B35" s="31"/>
      <c r="C35" s="77"/>
      <c r="D35" s="26"/>
      <c r="E35" s="535"/>
      <c r="F35" s="23"/>
      <c r="G35" s="96"/>
      <c r="H35" s="96"/>
      <c r="I35" s="96"/>
      <c r="J35" s="96"/>
      <c r="K35" s="96"/>
      <c r="L35" s="96"/>
      <c r="M35" s="96"/>
      <c r="N35" s="96"/>
      <c r="O35" s="96"/>
      <c r="P35" s="96"/>
      <c r="Q35" s="96"/>
      <c r="R35" s="96"/>
      <c r="S35" s="96"/>
      <c r="T35" s="156"/>
    </row>
    <row r="36" spans="1:20" ht="21" thickBot="1" x14ac:dyDescent="0.5">
      <c r="A36" s="7"/>
      <c r="B36" s="78" t="s">
        <v>112</v>
      </c>
      <c r="C36" s="80" t="str">
        <f>IF(AND(Ergebnis=erfuellt,F6=1),bedingterfuellt,Ergebnis)</f>
        <v>requirements met</v>
      </c>
      <c r="D36" s="14"/>
      <c r="F36" s="82"/>
      <c r="G36" s="89"/>
      <c r="H36" s="89"/>
      <c r="I36" s="89"/>
      <c r="J36" s="89"/>
      <c r="K36" s="89"/>
      <c r="L36" s="89"/>
      <c r="M36" s="89"/>
      <c r="N36" s="89"/>
      <c r="O36" s="89"/>
      <c r="P36" s="89"/>
      <c r="Q36" s="89"/>
      <c r="R36" s="89"/>
      <c r="S36" s="89"/>
      <c r="T36" s="156"/>
    </row>
    <row r="37" spans="1:20" s="22" customFormat="1" ht="13.5" thickBot="1" x14ac:dyDescent="0.35">
      <c r="A37" s="27"/>
      <c r="B37" s="28"/>
      <c r="C37" s="29"/>
      <c r="D37" s="29"/>
      <c r="E37" s="29"/>
      <c r="F37" s="30"/>
      <c r="G37" s="96"/>
      <c r="H37" s="96"/>
      <c r="I37" s="96"/>
      <c r="J37" s="96"/>
      <c r="K37" s="96"/>
      <c r="L37" s="96"/>
      <c r="M37" s="96"/>
      <c r="N37" s="96"/>
      <c r="O37" s="96"/>
      <c r="P37" s="96"/>
      <c r="Q37" s="96"/>
      <c r="R37" s="96"/>
      <c r="S37" s="96"/>
      <c r="T37" s="156"/>
    </row>
    <row r="38" spans="1:20" ht="25.5" x14ac:dyDescent="0.4">
      <c r="A38" s="7"/>
      <c r="B38" s="10" t="s">
        <v>113</v>
      </c>
      <c r="C38" s="14"/>
      <c r="D38" s="14"/>
      <c r="E38" s="33"/>
      <c r="F38" s="8"/>
      <c r="G38" s="89"/>
      <c r="H38" s="89"/>
      <c r="I38" s="89"/>
      <c r="J38" s="89"/>
      <c r="K38" s="89"/>
      <c r="L38" s="89"/>
      <c r="M38" s="89"/>
      <c r="N38" s="89"/>
      <c r="O38" s="89"/>
      <c r="P38" s="89"/>
      <c r="Q38" s="89"/>
      <c r="R38" s="89"/>
      <c r="S38" s="89"/>
      <c r="T38" s="156"/>
    </row>
    <row r="39" spans="1:20" s="22" customFormat="1" x14ac:dyDescent="0.3">
      <c r="A39" s="21"/>
      <c r="C39" s="26"/>
      <c r="D39" s="26"/>
      <c r="E39" s="26"/>
      <c r="F39" s="23"/>
      <c r="G39" s="96"/>
      <c r="H39" s="96"/>
      <c r="I39" s="96"/>
      <c r="J39" s="96"/>
      <c r="K39" s="96"/>
      <c r="L39" s="96"/>
      <c r="M39" s="96"/>
      <c r="N39" s="96"/>
      <c r="O39" s="96"/>
      <c r="P39" s="96"/>
      <c r="Q39" s="96"/>
      <c r="R39" s="96"/>
      <c r="S39" s="96"/>
      <c r="T39" s="156"/>
    </row>
    <row r="40" spans="1:20" x14ac:dyDescent="0.3">
      <c r="A40" s="7"/>
      <c r="B40" s="15" t="s">
        <v>114</v>
      </c>
      <c r="C40" s="521"/>
      <c r="D40" s="521"/>
      <c r="E40" s="521"/>
      <c r="F40" s="8"/>
      <c r="G40" s="89"/>
      <c r="H40" s="89"/>
      <c r="I40" s="89"/>
      <c r="J40" s="89"/>
      <c r="K40" s="89"/>
      <c r="L40" s="89"/>
      <c r="M40" s="89"/>
      <c r="N40" s="89"/>
      <c r="O40" s="89"/>
      <c r="P40" s="89"/>
      <c r="Q40" s="89"/>
      <c r="R40" s="89"/>
      <c r="S40" s="89"/>
      <c r="T40" s="156">
        <f t="shared" si="1"/>
        <v>0</v>
      </c>
    </row>
    <row r="41" spans="1:20" s="22" customFormat="1" x14ac:dyDescent="0.3">
      <c r="A41" s="21"/>
      <c r="B41" s="25"/>
      <c r="C41" s="26"/>
      <c r="D41" s="26"/>
      <c r="E41" s="26"/>
      <c r="F41" s="23"/>
      <c r="G41" s="96"/>
      <c r="H41" s="96"/>
      <c r="I41" s="96"/>
      <c r="J41" s="96"/>
      <c r="K41" s="96"/>
      <c r="L41" s="96"/>
      <c r="M41" s="96"/>
      <c r="N41" s="96"/>
      <c r="O41" s="96"/>
      <c r="P41" s="96"/>
      <c r="Q41" s="96"/>
      <c r="R41" s="96"/>
      <c r="S41" s="96"/>
      <c r="T41" s="156"/>
    </row>
    <row r="42" spans="1:20" x14ac:dyDescent="0.3">
      <c r="A42" s="7"/>
      <c r="B42" s="17" t="s">
        <v>115</v>
      </c>
      <c r="C42" s="521"/>
      <c r="D42" s="521"/>
      <c r="E42" s="521"/>
      <c r="F42" s="8"/>
      <c r="G42" s="89"/>
      <c r="H42" s="89"/>
      <c r="I42" s="89"/>
      <c r="J42" s="89"/>
      <c r="K42" s="89"/>
      <c r="L42" s="89"/>
      <c r="M42" s="89"/>
      <c r="N42" s="89"/>
      <c r="O42" s="89"/>
      <c r="P42" s="89"/>
      <c r="Q42" s="89"/>
      <c r="R42" s="89"/>
      <c r="S42" s="89"/>
      <c r="T42" s="156">
        <f t="shared" si="1"/>
        <v>0</v>
      </c>
    </row>
    <row r="43" spans="1:20" s="22" customFormat="1" x14ac:dyDescent="0.3">
      <c r="A43" s="21"/>
      <c r="B43" s="25"/>
      <c r="C43" s="26"/>
      <c r="D43" s="26"/>
      <c r="E43" s="26"/>
      <c r="F43" s="23"/>
      <c r="G43" s="96"/>
      <c r="H43" s="96"/>
      <c r="I43" s="96"/>
      <c r="J43" s="96"/>
      <c r="K43" s="96"/>
      <c r="L43" s="96"/>
      <c r="M43" s="96"/>
      <c r="N43" s="96"/>
      <c r="O43" s="96"/>
      <c r="P43" s="96"/>
      <c r="Q43" s="96"/>
      <c r="R43" s="96"/>
      <c r="S43" s="96"/>
      <c r="T43" s="156"/>
    </row>
    <row r="44" spans="1:20" x14ac:dyDescent="0.3">
      <c r="A44" s="7"/>
      <c r="B44" s="15" t="s">
        <v>116</v>
      </c>
      <c r="C44" s="530"/>
      <c r="D44" s="530"/>
      <c r="E44" s="530"/>
      <c r="F44" s="8"/>
      <c r="G44" s="89"/>
      <c r="H44" s="89"/>
      <c r="I44" s="89"/>
      <c r="J44" s="89"/>
      <c r="K44" s="89"/>
      <c r="L44" s="89"/>
      <c r="M44" s="89"/>
      <c r="N44" s="89"/>
      <c r="O44" s="89"/>
      <c r="P44" s="89"/>
      <c r="Q44" s="89"/>
      <c r="R44" s="89"/>
      <c r="S44" s="89"/>
      <c r="T44" s="156">
        <f t="shared" si="1"/>
        <v>0</v>
      </c>
    </row>
    <row r="45" spans="1:20" s="22" customFormat="1" x14ac:dyDescent="0.3">
      <c r="A45" s="21"/>
      <c r="B45" s="25"/>
      <c r="C45" s="26"/>
      <c r="D45" s="26"/>
      <c r="E45" s="26"/>
      <c r="F45" s="23"/>
      <c r="G45" s="96"/>
      <c r="H45" s="96"/>
      <c r="I45" s="96"/>
      <c r="J45" s="96"/>
      <c r="K45" s="96"/>
      <c r="L45" s="96"/>
      <c r="M45" s="96"/>
      <c r="N45" s="96"/>
      <c r="O45" s="96"/>
      <c r="P45" s="96"/>
      <c r="Q45" s="96"/>
      <c r="R45" s="96"/>
      <c r="S45" s="96"/>
      <c r="T45" s="156"/>
    </row>
    <row r="46" spans="1:20" ht="26" x14ac:dyDescent="0.3">
      <c r="A46" s="7"/>
      <c r="B46" s="17" t="s">
        <v>117</v>
      </c>
      <c r="C46" s="521"/>
      <c r="D46" s="521"/>
      <c r="E46" s="521"/>
      <c r="F46" s="8"/>
      <c r="G46" s="89"/>
      <c r="H46" s="89"/>
      <c r="I46" s="89"/>
      <c r="J46" s="89"/>
      <c r="K46" s="89"/>
      <c r="L46" s="89"/>
      <c r="M46" s="89"/>
      <c r="N46" s="89"/>
      <c r="O46" s="89"/>
      <c r="P46" s="89"/>
      <c r="Q46" s="89"/>
      <c r="R46" s="89"/>
      <c r="S46" s="89"/>
      <c r="T46" s="156">
        <f t="shared" si="1"/>
        <v>0</v>
      </c>
    </row>
    <row r="47" spans="1:20" s="22" customFormat="1" ht="8.5" thickBot="1" x14ac:dyDescent="0.25">
      <c r="A47" s="27"/>
      <c r="B47" s="28"/>
      <c r="C47" s="28"/>
      <c r="D47" s="28"/>
      <c r="E47" s="28"/>
      <c r="F47" s="30"/>
      <c r="G47" s="96"/>
      <c r="H47" s="96"/>
      <c r="I47" s="96"/>
      <c r="J47" s="96"/>
      <c r="K47" s="96"/>
      <c r="L47" s="96"/>
      <c r="M47" s="96"/>
      <c r="N47" s="96"/>
      <c r="O47" s="96"/>
      <c r="P47" s="96"/>
      <c r="Q47" s="96"/>
      <c r="R47" s="96"/>
      <c r="S47" s="96"/>
      <c r="T47" s="476"/>
    </row>
    <row r="48" spans="1:20" s="22" customFormat="1" ht="8" x14ac:dyDescent="0.2">
      <c r="A48" s="43"/>
      <c r="B48" s="44"/>
      <c r="C48" s="44"/>
      <c r="D48" s="44"/>
      <c r="E48" s="44"/>
      <c r="F48" s="45"/>
      <c r="G48" s="96"/>
      <c r="H48" s="96"/>
      <c r="I48" s="96"/>
      <c r="J48" s="96"/>
      <c r="K48" s="96"/>
      <c r="L48" s="96"/>
      <c r="M48" s="96"/>
      <c r="N48" s="96"/>
      <c r="O48" s="96"/>
      <c r="P48" s="96"/>
      <c r="Q48" s="96"/>
      <c r="R48" s="96"/>
      <c r="S48" s="96"/>
      <c r="T48" s="476"/>
    </row>
    <row r="49" spans="1:20" s="302" customFormat="1" ht="11.5" x14ac:dyDescent="0.25">
      <c r="A49" s="301"/>
      <c r="B49" s="307" t="s">
        <v>118</v>
      </c>
      <c r="C49" s="308"/>
      <c r="D49" s="308"/>
      <c r="E49" s="308"/>
      <c r="F49" s="303"/>
      <c r="G49" s="477"/>
      <c r="H49" s="477"/>
      <c r="I49" s="477"/>
      <c r="J49" s="477"/>
      <c r="K49" s="477"/>
      <c r="L49" s="477"/>
      <c r="M49" s="477"/>
      <c r="N49" s="477"/>
      <c r="O49" s="477"/>
      <c r="P49" s="477"/>
      <c r="Q49" s="477"/>
      <c r="R49" s="477"/>
      <c r="S49" s="477"/>
      <c r="T49" s="478"/>
    </row>
    <row r="50" spans="1:20" s="305" customFormat="1" ht="5" x14ac:dyDescent="0.15">
      <c r="A50" s="304"/>
      <c r="F50" s="306"/>
      <c r="G50" s="479"/>
      <c r="H50" s="479"/>
      <c r="I50" s="479"/>
      <c r="J50" s="479"/>
      <c r="K50" s="479"/>
      <c r="L50" s="479"/>
      <c r="M50" s="479"/>
      <c r="N50" s="479"/>
      <c r="O50" s="479"/>
      <c r="P50" s="479"/>
      <c r="Q50" s="479"/>
      <c r="R50" s="479"/>
      <c r="S50" s="479"/>
      <c r="T50" s="480"/>
    </row>
    <row r="51" spans="1:20" s="302" customFormat="1" ht="11.5" x14ac:dyDescent="0.25">
      <c r="A51" s="301"/>
      <c r="B51" s="302" t="s">
        <v>119</v>
      </c>
      <c r="C51" s="302" t="s">
        <v>377</v>
      </c>
      <c r="F51" s="303"/>
      <c r="G51" s="477"/>
      <c r="H51" s="477"/>
      <c r="I51" s="477"/>
      <c r="J51" s="477"/>
      <c r="K51" s="477"/>
      <c r="L51" s="477"/>
      <c r="M51" s="477"/>
      <c r="N51" s="477"/>
      <c r="O51" s="477"/>
      <c r="P51" s="477"/>
      <c r="Q51" s="477"/>
      <c r="R51" s="477"/>
      <c r="S51" s="477"/>
      <c r="T51" s="478"/>
    </row>
    <row r="52" spans="1:20" s="302" customFormat="1" ht="11.5" x14ac:dyDescent="0.25">
      <c r="A52" s="301"/>
      <c r="B52" s="302" t="s">
        <v>90</v>
      </c>
      <c r="C52" s="448">
        <v>45699</v>
      </c>
      <c r="F52" s="303"/>
      <c r="G52" s="477"/>
      <c r="H52" s="477"/>
      <c r="I52" s="477"/>
      <c r="J52" s="477"/>
      <c r="K52" s="477"/>
      <c r="L52" s="477"/>
      <c r="M52" s="477"/>
      <c r="N52" s="477"/>
      <c r="O52" s="477"/>
      <c r="P52" s="477"/>
      <c r="Q52" s="477"/>
      <c r="R52" s="477"/>
      <c r="S52" s="477"/>
      <c r="T52" s="478"/>
    </row>
    <row r="53" spans="1:20" s="22" customFormat="1" ht="8.5" thickBot="1" x14ac:dyDescent="0.25">
      <c r="A53" s="27"/>
      <c r="B53" s="28"/>
      <c r="C53" s="28"/>
      <c r="D53" s="28"/>
      <c r="E53" s="28"/>
      <c r="F53" s="30"/>
      <c r="G53" s="96"/>
      <c r="H53" s="96"/>
      <c r="I53" s="96"/>
      <c r="J53" s="96"/>
      <c r="K53" s="96"/>
      <c r="L53" s="96"/>
      <c r="M53" s="96"/>
      <c r="N53" s="96"/>
      <c r="O53" s="96"/>
      <c r="P53" s="96"/>
      <c r="Q53" s="96"/>
      <c r="R53" s="96"/>
      <c r="S53" s="96"/>
      <c r="T53" s="476"/>
    </row>
  </sheetData>
  <mergeCells count="18">
    <mergeCell ref="H3:J6"/>
    <mergeCell ref="C40:E40"/>
    <mergeCell ref="C42:E42"/>
    <mergeCell ref="C44:E44"/>
    <mergeCell ref="C46:E46"/>
    <mergeCell ref="C9:E9"/>
    <mergeCell ref="C11:E11"/>
    <mergeCell ref="C12:E12"/>
    <mergeCell ref="C18:E18"/>
    <mergeCell ref="E33:E35"/>
    <mergeCell ref="A1:F1"/>
    <mergeCell ref="C17:E17"/>
    <mergeCell ref="C29:E29"/>
    <mergeCell ref="C31:E31"/>
    <mergeCell ref="C19:E19"/>
    <mergeCell ref="C20:E20"/>
    <mergeCell ref="C22:E22"/>
    <mergeCell ref="C23:E23"/>
  </mergeCells>
  <phoneticPr fontId="75" type="noConversion"/>
  <conditionalFormatting sqref="E33">
    <cfRule type="cellIs" dxfId="80" priority="9" operator="equal">
      <formula>"green"</formula>
    </cfRule>
    <cfRule type="cellIs" dxfId="79" priority="10" operator="equal">
      <formula>"yellow"</formula>
    </cfRule>
    <cfRule type="cellIs" dxfId="78" priority="11" operator="equal">
      <formula>"red"</formula>
    </cfRule>
  </conditionalFormatting>
  <conditionalFormatting sqref="C36">
    <cfRule type="expression" dxfId="77" priority="1">
      <formula>$F$36=2</formula>
    </cfRule>
    <cfRule type="cellIs" dxfId="76" priority="3" operator="equal">
      <formula>nichterfuellt</formula>
    </cfRule>
    <cfRule type="cellIs" dxfId="75" priority="5" operator="equal">
      <formula>bedingterfuellt</formula>
    </cfRule>
    <cfRule type="cellIs" dxfId="74" priority="6" operator="equal">
      <formula>erfuellt</formula>
    </cfRule>
  </conditionalFormatting>
  <dataValidations count="2">
    <dataValidation allowBlank="1" showInputMessage="1" showErrorMessage="1" errorTitle="Land auswählen" error="Bitte wählen Sie ein Land aus der Liste" sqref="C15:C16" xr:uid="{00000000-0002-0000-0000-000000000000}"/>
    <dataValidation type="date" allowBlank="1" showInputMessage="1" showErrorMessage="1" errorTitle="Datum eingeben" error="Bitte geben Sie ein gültiges Datum ein." sqref="C4" xr:uid="{8F105FA0-B41F-4E9B-8ED8-0405C17721B3}">
      <formula1>32874</formula1>
      <formula2>365245</formula2>
    </dataValidation>
  </dataValidations>
  <printOptions horizontalCentered="1"/>
  <pageMargins left="0.70866141732283472" right="0.70866141732283472" top="0.9055118110236221" bottom="0.78740157480314965" header="0.31496062992125984" footer="0.31496062992125984"/>
  <pageSetup paperSize="9" scale="90" orientation="portrait" r:id="rId1"/>
  <headerFooter>
    <oddHeader xml:space="preserve">&amp;L&amp;"Calibri"&amp;10&amp;K000000 INTERNAL&amp;1#_x000D_&amp;"Arial"&amp;11&amp;K000000&amp;"Arial"&amp;11&amp;K000000
&amp;"Calibri,Standard"Kapazitätsplanung und abnahme
&amp;A&amp;R&amp;G
</oddHeader>
    <oddFooter>&amp;L&amp;"Audi Type,Standard"&amp;8&amp;F_x000D_&amp;1#&amp;"Calibri"&amp;10&amp;K000000 Internal&amp;C&amp;"Audi Type,Standard"&amp;8&amp;P von &amp;N&amp;R&amp;"Audi Type,Standard"&amp;8&amp;D</oddFooter>
  </headerFooter>
  <drawing r:id="rId2"/>
  <legacyDrawing r:id="rId3"/>
  <legacyDrawingHF r:id="rId4"/>
  <controls>
    <mc:AlternateContent xmlns:mc="http://schemas.openxmlformats.org/markup-compatibility/2006">
      <mc:Choice Requires="x14">
        <control shapeId="12305" r:id="rId5" name="Ergebnis_speichern_Kapaplanung">
          <controlPr defaultSize="0" print="0" autoLine="0" r:id="rId6">
            <anchor moveWithCells="1">
              <from>
                <xdr:col>7</xdr:col>
                <xdr:colOff>254000</xdr:colOff>
                <xdr:row>5</xdr:row>
                <xdr:rowOff>203200</xdr:rowOff>
              </from>
              <to>
                <xdr:col>9</xdr:col>
                <xdr:colOff>622300</xdr:colOff>
                <xdr:row>6</xdr:row>
                <xdr:rowOff>279400</xdr:rowOff>
              </to>
            </anchor>
          </controlPr>
        </control>
      </mc:Choice>
      <mc:Fallback>
        <control shapeId="12305" r:id="rId5" name="Ergebnis_speichern_Kapaplanung"/>
      </mc:Fallback>
    </mc:AlternateContent>
    <mc:AlternateContent xmlns:mc="http://schemas.openxmlformats.org/markup-compatibility/2006">
      <mc:Choice Requires="x14">
        <control shapeId="12304" r:id="rId7" name="Ergebnis_speichern_Kapaabnahme">
          <controlPr defaultSize="0" print="0" autoLine="0" r:id="rId8">
            <anchor moveWithCells="1">
              <from>
                <xdr:col>7</xdr:col>
                <xdr:colOff>254000</xdr:colOff>
                <xdr:row>6</xdr:row>
                <xdr:rowOff>368300</xdr:rowOff>
              </from>
              <to>
                <xdr:col>9</xdr:col>
                <xdr:colOff>622300</xdr:colOff>
                <xdr:row>9</xdr:row>
                <xdr:rowOff>69850</xdr:rowOff>
              </to>
            </anchor>
          </controlPr>
        </control>
      </mc:Choice>
      <mc:Fallback>
        <control shapeId="12304" r:id="rId7" name="Ergebnis_speichern_Kapaabnahme"/>
      </mc:Fallback>
    </mc:AlternateContent>
    <mc:AlternateContent xmlns:mc="http://schemas.openxmlformats.org/markup-compatibility/2006">
      <mc:Choice Requires="x14">
        <control shapeId="12300" r:id="rId9" name="CheckBox_VL">
          <controlPr defaultSize="0" autoLine="0" r:id="rId10">
            <anchor moveWithCells="1" sizeWithCells="1">
              <from>
                <xdr:col>2</xdr:col>
                <xdr:colOff>1606550</xdr:colOff>
                <xdr:row>6</xdr:row>
                <xdr:rowOff>63500</xdr:rowOff>
              </from>
              <to>
                <xdr:col>4</xdr:col>
                <xdr:colOff>577850</xdr:colOff>
                <xdr:row>6</xdr:row>
                <xdr:rowOff>304800</xdr:rowOff>
              </to>
            </anchor>
          </controlPr>
        </control>
      </mc:Choice>
      <mc:Fallback>
        <control shapeId="12300" r:id="rId9" name="CheckBox_VL"/>
      </mc:Fallback>
    </mc:AlternateContent>
    <mc:AlternateContent xmlns:mc="http://schemas.openxmlformats.org/markup-compatibility/2006">
      <mc:Choice Requires="x14">
        <control shapeId="12297" r:id="rId11" name="CheckBox_ALK">
          <controlPr defaultSize="0" autoLine="0" r:id="rId12">
            <anchor moveWithCells="1" sizeWithCells="1">
              <from>
                <xdr:col>1</xdr:col>
                <xdr:colOff>2101850</xdr:colOff>
                <xdr:row>6</xdr:row>
                <xdr:rowOff>63500</xdr:rowOff>
              </from>
              <to>
                <xdr:col>2</xdr:col>
                <xdr:colOff>1289050</xdr:colOff>
                <xdr:row>6</xdr:row>
                <xdr:rowOff>304800</xdr:rowOff>
              </to>
            </anchor>
          </controlPr>
        </control>
      </mc:Choice>
      <mc:Fallback>
        <control shapeId="12297" r:id="rId11" name="CheckBox_ALK"/>
      </mc:Fallback>
    </mc:AlternateContent>
    <mc:AlternateContent xmlns:mc="http://schemas.openxmlformats.org/markup-compatibility/2006">
      <mc:Choice Requires="x14">
        <control shapeId="12291" r:id="rId13" name="Alles_speichern">
          <controlPr defaultSize="0" print="0" autoLine="0" r:id="rId14">
            <anchor moveWithCells="1">
              <from>
                <xdr:col>7</xdr:col>
                <xdr:colOff>254000</xdr:colOff>
                <xdr:row>10</xdr:row>
                <xdr:rowOff>76200</xdr:rowOff>
              </from>
              <to>
                <xdr:col>9</xdr:col>
                <xdr:colOff>622300</xdr:colOff>
                <xdr:row>13</xdr:row>
                <xdr:rowOff>88900</xdr:rowOff>
              </to>
            </anchor>
          </controlPr>
        </control>
      </mc:Choice>
      <mc:Fallback>
        <control shapeId="12291" r:id="rId13" name="Alles_speichern"/>
      </mc:Fallback>
    </mc:AlternateContent>
    <mc:AlternateContent xmlns:mc="http://schemas.openxmlformats.org/markup-compatibility/2006">
      <mc:Choice Requires="x14">
        <control shapeId="12307" r:id="rId15" name="ButtonFormat">
          <controlPr defaultSize="0" print="0" autoLine="0" r:id="rId16">
            <anchor moveWithCells="1">
              <from>
                <xdr:col>7</xdr:col>
                <xdr:colOff>254000</xdr:colOff>
                <xdr:row>14</xdr:row>
                <xdr:rowOff>82550</xdr:rowOff>
              </from>
              <to>
                <xdr:col>9</xdr:col>
                <xdr:colOff>622300</xdr:colOff>
                <xdr:row>17</xdr:row>
                <xdr:rowOff>88900</xdr:rowOff>
              </to>
            </anchor>
          </controlPr>
        </control>
      </mc:Choice>
      <mc:Fallback>
        <control shapeId="12307" r:id="rId15" name="ButtonFormat"/>
      </mc:Fallback>
    </mc:AlternateContent>
    <mc:AlternateContent xmlns:mc="http://schemas.openxmlformats.org/markup-compatibility/2006">
      <mc:Choice Requires="x14">
        <control shapeId="12308" r:id="rId17" name="CheckBox_JIS">
          <controlPr defaultSize="0" autoLine="0" r:id="rId18">
            <anchor moveWithCells="1" sizeWithCells="1">
              <from>
                <xdr:col>1</xdr:col>
                <xdr:colOff>2101850</xdr:colOff>
                <xdr:row>6</xdr:row>
                <xdr:rowOff>304800</xdr:rowOff>
              </from>
              <to>
                <xdr:col>2</xdr:col>
                <xdr:colOff>1289050</xdr:colOff>
                <xdr:row>6</xdr:row>
                <xdr:rowOff>558800</xdr:rowOff>
              </to>
            </anchor>
          </controlPr>
        </control>
      </mc:Choice>
      <mc:Fallback>
        <control shapeId="12308" r:id="rId17" name="CheckBox_JIS"/>
      </mc:Fallback>
    </mc:AlternateContent>
    <mc:AlternateContent xmlns:mc="http://schemas.openxmlformats.org/markup-compatibility/2006">
      <mc:Choice Requires="x14">
        <control shapeId="12292" r:id="rId19" name="Option Button 4">
          <controlPr locked="0" defaultSize="0" autoFill="0" autoLine="0" autoPict="0">
            <anchor moveWithCells="1" sizeWithCells="1">
              <from>
                <xdr:col>1</xdr:col>
                <xdr:colOff>2063750</xdr:colOff>
                <xdr:row>5</xdr:row>
                <xdr:rowOff>63500</xdr:rowOff>
              </from>
              <to>
                <xdr:col>2</xdr:col>
                <xdr:colOff>1263650</xdr:colOff>
                <xdr:row>5</xdr:row>
                <xdr:rowOff>260350</xdr:rowOff>
              </to>
            </anchor>
          </controlPr>
        </control>
      </mc:Choice>
    </mc:AlternateContent>
    <mc:AlternateContent xmlns:mc="http://schemas.openxmlformats.org/markup-compatibility/2006">
      <mc:Choice Requires="x14">
        <control shapeId="12293" r:id="rId20" name="Option Button 5">
          <controlPr locked="0" defaultSize="0" autoFill="0" autoLine="0" autoPict="0">
            <anchor moveWithCells="1" sizeWithCells="1">
              <from>
                <xdr:col>1</xdr:col>
                <xdr:colOff>2063750</xdr:colOff>
                <xdr:row>5</xdr:row>
                <xdr:rowOff>304800</xdr:rowOff>
              </from>
              <to>
                <xdr:col>2</xdr:col>
                <xdr:colOff>1562100</xdr:colOff>
                <xdr:row>5</xdr:row>
                <xdr:rowOff>482600</xdr:rowOff>
              </to>
            </anchor>
          </controlPr>
        </control>
      </mc:Choice>
    </mc:AlternateContent>
    <mc:AlternateContent xmlns:mc="http://schemas.openxmlformats.org/markup-compatibility/2006">
      <mc:Choice Requires="x14">
        <control shapeId="12294" r:id="rId21" name="Option Button 6">
          <controlPr locked="0" defaultSize="0" autoFill="0" autoLine="0" autoPict="0">
            <anchor moveWithCells="1" sizeWithCells="1">
              <from>
                <xdr:col>2</xdr:col>
                <xdr:colOff>1568450</xdr:colOff>
                <xdr:row>5</xdr:row>
                <xdr:rowOff>63500</xdr:rowOff>
              </from>
              <to>
                <xdr:col>5</xdr:col>
                <xdr:colOff>69850</xdr:colOff>
                <xdr:row>5</xdr:row>
                <xdr:rowOff>254000</xdr:rowOff>
              </to>
            </anchor>
          </controlPr>
        </control>
      </mc:Choice>
    </mc:AlternateContent>
    <mc:AlternateContent xmlns:mc="http://schemas.openxmlformats.org/markup-compatibility/2006">
      <mc:Choice Requires="x14">
        <control shapeId="12310" r:id="rId22" name="Option Button 22">
          <controlPr locked="0" defaultSize="0" autoFill="0" autoLine="0" autoPict="0">
            <anchor moveWithCells="1" sizeWithCells="1">
              <from>
                <xdr:col>2</xdr:col>
                <xdr:colOff>1568450</xdr:colOff>
                <xdr:row>5</xdr:row>
                <xdr:rowOff>298450</xdr:rowOff>
              </from>
              <to>
                <xdr:col>4</xdr:col>
                <xdr:colOff>901700</xdr:colOff>
                <xdr:row>5</xdr:row>
                <xdr:rowOff>495300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5">
    <outlinePr summaryBelow="0"/>
    <pageSetUpPr fitToPage="1"/>
  </sheetPr>
  <dimension ref="A1:X50"/>
  <sheetViews>
    <sheetView topLeftCell="A25" zoomScale="115" zoomScaleNormal="115" workbookViewId="0">
      <selection activeCell="B3" sqref="B3"/>
    </sheetView>
  </sheetViews>
  <sheetFormatPr defaultColWidth="11" defaultRowHeight="13" outlineLevelRow="1" x14ac:dyDescent="0.3"/>
  <cols>
    <col min="1" max="1" width="5" style="2" customWidth="1"/>
    <col min="2" max="2" width="25.9140625" style="2" customWidth="1"/>
    <col min="3" max="3" width="15.9140625" style="2" customWidth="1"/>
    <col min="4" max="4" width="11.08203125" style="2" customWidth="1"/>
    <col min="5" max="5" width="10" style="2" customWidth="1"/>
    <col min="6" max="6" width="18.58203125" style="2" bestFit="1" customWidth="1"/>
    <col min="7" max="7" width="18.08203125" style="2" customWidth="1"/>
    <col min="8" max="8" width="11" style="2" customWidth="1"/>
    <col min="9" max="9" width="9.9140625" style="2" customWidth="1"/>
    <col min="10" max="10" width="2.58203125" style="2" customWidth="1"/>
    <col min="11" max="11" width="5.9140625" style="2" customWidth="1"/>
    <col min="12" max="13" width="15" style="2" customWidth="1"/>
    <col min="14" max="14" width="16.08203125" style="2" customWidth="1"/>
    <col min="15" max="16" width="15" style="2" customWidth="1"/>
    <col min="17" max="17" width="8.1640625" style="2" bestFit="1" customWidth="1"/>
    <col min="18" max="20" width="11" style="2"/>
    <col min="21" max="21" width="12.5" style="2" bestFit="1" customWidth="1"/>
    <col min="22" max="22" width="69.4140625" style="2" customWidth="1"/>
    <col min="23" max="16384" width="11" style="2"/>
  </cols>
  <sheetData>
    <row r="1" spans="1:24" ht="35.5" thickBot="1" x14ac:dyDescent="0.75">
      <c r="A1" s="558" t="s">
        <v>120</v>
      </c>
      <c r="B1" s="558"/>
      <c r="C1" s="558"/>
      <c r="D1" s="558"/>
      <c r="E1" s="558"/>
      <c r="F1" s="558"/>
      <c r="G1" s="558"/>
      <c r="H1" s="558"/>
      <c r="I1" s="558"/>
      <c r="J1" s="558"/>
      <c r="K1" s="41"/>
    </row>
    <row r="2" spans="1:24" ht="25.5" x14ac:dyDescent="0.55000000000000004">
      <c r="A2" s="3"/>
      <c r="B2" s="4" t="s">
        <v>121</v>
      </c>
      <c r="C2" s="5"/>
      <c r="D2" s="5"/>
      <c r="E2" s="32"/>
      <c r="F2" s="5"/>
      <c r="G2" s="5"/>
      <c r="H2" s="5"/>
      <c r="I2" s="5"/>
      <c r="J2" s="6"/>
      <c r="L2" s="457"/>
      <c r="N2" s="572"/>
      <c r="O2" s="572"/>
    </row>
    <row r="3" spans="1:24" s="22" customFormat="1" ht="8" x14ac:dyDescent="0.2">
      <c r="A3" s="21"/>
      <c r="J3" s="23"/>
      <c r="N3" s="572"/>
      <c r="O3" s="572"/>
    </row>
    <row r="4" spans="1:24" ht="14" x14ac:dyDescent="0.3">
      <c r="A4" s="7"/>
      <c r="B4" s="538" t="s">
        <v>96</v>
      </c>
      <c r="C4" s="538"/>
      <c r="D4" s="561" t="str">
        <f>Datasheet!C11</f>
        <v>85D 407 621/85D 407 621 A</v>
      </c>
      <c r="E4" s="561"/>
      <c r="F4" s="561"/>
      <c r="G4" s="561"/>
      <c r="H4" s="561"/>
      <c r="I4" s="561"/>
      <c r="J4" s="53"/>
      <c r="L4" s="566"/>
      <c r="M4" s="566"/>
      <c r="O4" s="568"/>
      <c r="P4" s="568"/>
      <c r="Q4" s="568"/>
    </row>
    <row r="5" spans="1:24" ht="14" x14ac:dyDescent="0.3">
      <c r="A5" s="7"/>
      <c r="B5" s="562" t="s">
        <v>97</v>
      </c>
      <c r="C5" s="562"/>
      <c r="D5" s="562" t="str">
        <f>Datasheet!C12</f>
        <v>Wheel Bearing</v>
      </c>
      <c r="E5" s="562"/>
      <c r="F5" s="562"/>
      <c r="G5" s="562"/>
      <c r="H5" s="562"/>
      <c r="I5" s="562"/>
      <c r="J5" s="53"/>
      <c r="L5" s="566"/>
      <c r="M5" s="567"/>
      <c r="O5" s="568"/>
      <c r="P5" s="569"/>
      <c r="Q5" s="569"/>
    </row>
    <row r="6" spans="1:24" ht="14" x14ac:dyDescent="0.3">
      <c r="A6" s="7"/>
      <c r="B6" s="563" t="s">
        <v>122</v>
      </c>
      <c r="C6" s="563"/>
      <c r="D6" s="564">
        <v>12</v>
      </c>
      <c r="E6" s="564"/>
      <c r="F6" s="564"/>
      <c r="G6" s="14"/>
      <c r="H6" s="14"/>
      <c r="I6" s="379" t="s">
        <v>239</v>
      </c>
      <c r="J6" s="53"/>
      <c r="L6" s="566"/>
      <c r="M6" s="567"/>
      <c r="O6" s="568"/>
      <c r="P6" s="569"/>
      <c r="Q6" s="569"/>
    </row>
    <row r="7" spans="1:24" ht="45.5" thickBot="1" x14ac:dyDescent="0.95">
      <c r="A7" s="9"/>
      <c r="B7" s="49"/>
      <c r="C7" s="49"/>
      <c r="D7" s="49"/>
      <c r="E7" s="49"/>
      <c r="F7" s="380" t="str">
        <f>CONCATENATE("inkl. ",$Q$9*100,"% Flex")</f>
        <v>inkl. 15% Flex</v>
      </c>
      <c r="G7" s="380" t="str">
        <f>CONCATENATE("exkl. ",$Q$9*100,"% Flex")</f>
        <v>exkl. 15% Flex</v>
      </c>
      <c r="H7" s="49"/>
      <c r="I7" s="226">
        <v>2</v>
      </c>
      <c r="J7" s="279"/>
      <c r="L7" s="570"/>
      <c r="M7" s="571"/>
      <c r="N7" s="571"/>
      <c r="O7" s="571"/>
      <c r="P7" s="571"/>
      <c r="Q7" s="571"/>
    </row>
    <row r="8" spans="1:24" ht="25.5" x14ac:dyDescent="0.55000000000000004">
      <c r="A8" s="3"/>
      <c r="B8" s="4" t="str">
        <f>CONCATENATE("Demands ",IF(Abnahme=1,"Pre-Check",IF(Abnahme=2,"Performance test",IF(Abnahme=3,"Process acceptance",""))))</f>
        <v>Demands Performance test</v>
      </c>
      <c r="C8" s="5"/>
      <c r="D8" s="5"/>
      <c r="E8" s="5"/>
      <c r="F8" s="5"/>
      <c r="G8" s="5"/>
      <c r="H8" s="5"/>
      <c r="I8" s="5"/>
      <c r="J8" s="203"/>
      <c r="K8" s="204"/>
      <c r="L8" s="536" t="s">
        <v>129</v>
      </c>
      <c r="M8" s="537"/>
      <c r="N8" s="212" t="s">
        <v>130</v>
      </c>
      <c r="O8" s="212" t="s">
        <v>131</v>
      </c>
      <c r="P8" s="318"/>
      <c r="Q8" s="377" t="s">
        <v>238</v>
      </c>
      <c r="R8" s="204"/>
      <c r="S8" s="204"/>
      <c r="T8" s="204"/>
      <c r="U8" s="204"/>
    </row>
    <row r="9" spans="1:24" ht="18" x14ac:dyDescent="0.4">
      <c r="A9" s="7"/>
      <c r="G9" s="559" t="s">
        <v>126</v>
      </c>
      <c r="H9" s="560"/>
      <c r="I9" s="560"/>
      <c r="J9" s="205"/>
      <c r="K9" s="204"/>
      <c r="L9" s="545" t="s">
        <v>135</v>
      </c>
      <c r="M9" s="546"/>
      <c r="N9" s="329">
        <f>IFERROR(IF(I11&gt;0,F11*I11,0)+IF(I12&gt;0,F12*I12,0)+IF(I13&gt;0,F13*I13,0)+IF(I14&gt;0,F14*I14,0)+IF(I15&gt;0,F15*I15,0),0)</f>
        <v>2.3001998001997999</v>
      </c>
      <c r="O9" s="330">
        <f>IFERROR(IF(Q11&gt;0,F11*Q11,0)+IF(Q12&gt;0,F12*Q12,0)+IF(Q13&gt;0,F13*Q13,0)+IF(Q14&gt;0,F14*Q14,0)+IF(Q15&gt;0,F15*Q15,0),0)</f>
        <v>2.300477637863656</v>
      </c>
      <c r="P9" s="319"/>
      <c r="Q9" s="378">
        <v>0.15</v>
      </c>
      <c r="R9" s="204"/>
      <c r="S9" s="204"/>
      <c r="T9" s="204"/>
      <c r="U9" s="204"/>
    </row>
    <row r="10" spans="1:24" s="16" customFormat="1" ht="23.5" x14ac:dyDescent="0.3">
      <c r="A10" s="280"/>
      <c r="B10" s="486" t="s">
        <v>123</v>
      </c>
      <c r="C10" s="487" t="s">
        <v>124</v>
      </c>
      <c r="D10" s="487" t="s">
        <v>125</v>
      </c>
      <c r="E10" s="488" t="s">
        <v>83</v>
      </c>
      <c r="F10" s="488" t="s">
        <v>84</v>
      </c>
      <c r="G10" s="337" t="s">
        <v>125</v>
      </c>
      <c r="H10" s="338" t="s">
        <v>127</v>
      </c>
      <c r="I10" s="338" t="s">
        <v>128</v>
      </c>
      <c r="J10" s="281"/>
      <c r="L10" s="371" t="s">
        <v>221</v>
      </c>
      <c r="M10" s="282" t="s">
        <v>132</v>
      </c>
      <c r="N10" s="283" t="s">
        <v>133</v>
      </c>
      <c r="O10" s="282" t="s">
        <v>134</v>
      </c>
      <c r="P10" s="283" t="s">
        <v>133</v>
      </c>
      <c r="Q10" s="283" t="s">
        <v>128</v>
      </c>
      <c r="R10" s="284"/>
      <c r="S10" s="284"/>
      <c r="T10" s="284"/>
      <c r="U10" s="284"/>
    </row>
    <row r="11" spans="1:24" ht="18" x14ac:dyDescent="0.4">
      <c r="A11" s="201"/>
      <c r="B11" s="489" t="s">
        <v>495</v>
      </c>
      <c r="C11" s="490" t="s">
        <v>494</v>
      </c>
      <c r="D11" s="491">
        <v>601</v>
      </c>
      <c r="E11" s="157">
        <v>1</v>
      </c>
      <c r="F11" s="492">
        <v>4</v>
      </c>
      <c r="G11" s="334">
        <f>ROUNDUP(D11*IF(E11&gt;0,E11,1),1)</f>
        <v>601</v>
      </c>
      <c r="H11" s="335">
        <f>ROUNDUP(G11*IF(F11&gt;0,F11,1),1)</f>
        <v>2404</v>
      </c>
      <c r="I11" s="336">
        <f>IFERROR(IF(H11&lt;&gt;"",H11/SUM($H$11:$H$15),""),"")</f>
        <v>0.1500999000999001</v>
      </c>
      <c r="J11" s="205"/>
      <c r="L11" s="276">
        <v>601</v>
      </c>
      <c r="M11" s="320">
        <f>L11*E11</f>
        <v>601</v>
      </c>
      <c r="N11" s="254">
        <f>M11*IF(F11&gt;0,F11,1)</f>
        <v>2404</v>
      </c>
      <c r="O11" s="255">
        <f>ROUNDUP(M11*(1+$Q$9),0)</f>
        <v>692</v>
      </c>
      <c r="P11" s="254">
        <f>O11*IF(F11&gt;0,F11,1)</f>
        <v>2768</v>
      </c>
      <c r="Q11" s="323">
        <f>IFERROR(IF(P11&lt;&gt;"",P11/SUM($P$11:$P$15),""),"")</f>
        <v>0.15023881893182806</v>
      </c>
      <c r="R11" s="204"/>
      <c r="S11" s="204"/>
      <c r="T11" s="204"/>
      <c r="U11" s="204"/>
    </row>
    <row r="12" spans="1:24" ht="18" x14ac:dyDescent="0.4">
      <c r="A12" s="201"/>
      <c r="B12" s="489" t="s">
        <v>496</v>
      </c>
      <c r="C12" s="490" t="s">
        <v>497</v>
      </c>
      <c r="D12" s="491">
        <v>3403</v>
      </c>
      <c r="E12" s="157">
        <v>1</v>
      </c>
      <c r="F12" s="492">
        <v>2</v>
      </c>
      <c r="G12" s="235">
        <f>ROUNDUP(D12*IF(E12&gt;0,E12,1),1)</f>
        <v>3403</v>
      </c>
      <c r="H12" s="236">
        <f t="shared" ref="H12:H15" si="0">ROUNDUP(G12*IF(F12&gt;0,F12,1),1)</f>
        <v>6806</v>
      </c>
      <c r="I12" s="237">
        <f t="shared" ref="I12:I15" si="1">IFERROR(IF(H12&lt;&gt;"",H12/SUM($H$11:$H$15),""),"")</f>
        <v>0.42495004995004992</v>
      </c>
      <c r="J12" s="205"/>
      <c r="L12" s="277">
        <v>3403</v>
      </c>
      <c r="M12" s="321">
        <f t="shared" ref="M12:M15" si="2">L12*E12</f>
        <v>3403</v>
      </c>
      <c r="N12" s="256">
        <f t="shared" ref="N12:N15" si="3">M12*IF(F12&gt;0,F12,1)</f>
        <v>6806</v>
      </c>
      <c r="O12" s="257">
        <f>ROUNDUP(M12*(1+$Q$9),0)</f>
        <v>3914</v>
      </c>
      <c r="P12" s="256">
        <f t="shared" ref="P12:P15" si="4">O12*IF(F12&gt;0,F12,1)</f>
        <v>7828</v>
      </c>
      <c r="Q12" s="324">
        <f t="shared" ref="Q12:Q15" si="5">IFERROR(IF(P12&lt;&gt;"",P12/SUM($P$11:$P$15),""),"")</f>
        <v>0.424880590534086</v>
      </c>
      <c r="R12" s="204"/>
      <c r="S12" s="204"/>
      <c r="T12" s="204"/>
      <c r="U12" s="204"/>
    </row>
    <row r="13" spans="1:24" ht="18" x14ac:dyDescent="0.4">
      <c r="A13" s="201"/>
      <c r="B13" s="489" t="s">
        <v>498</v>
      </c>
      <c r="C13" s="490" t="s">
        <v>499</v>
      </c>
      <c r="D13" s="493">
        <v>3403</v>
      </c>
      <c r="E13" s="157">
        <v>1</v>
      </c>
      <c r="F13" s="492">
        <v>2</v>
      </c>
      <c r="G13" s="235">
        <f t="shared" ref="G13:G15" si="6">ROUNDUP(D13*IF(E13&gt;0,E13,1),1)</f>
        <v>3403</v>
      </c>
      <c r="H13" s="236">
        <f t="shared" si="0"/>
        <v>6806</v>
      </c>
      <c r="I13" s="237">
        <f t="shared" si="1"/>
        <v>0.42495004995004992</v>
      </c>
      <c r="J13" s="205"/>
      <c r="L13" s="277">
        <v>3403</v>
      </c>
      <c r="M13" s="321">
        <f t="shared" si="2"/>
        <v>3403</v>
      </c>
      <c r="N13" s="256">
        <f t="shared" si="3"/>
        <v>6806</v>
      </c>
      <c r="O13" s="257">
        <f>ROUNDUP(M13*(1+$Q$9),0)</f>
        <v>3914</v>
      </c>
      <c r="P13" s="256">
        <f t="shared" si="4"/>
        <v>7828</v>
      </c>
      <c r="Q13" s="324">
        <f t="shared" si="5"/>
        <v>0.424880590534086</v>
      </c>
      <c r="R13" s="204"/>
      <c r="S13" s="204"/>
      <c r="T13" s="204"/>
      <c r="U13" s="230"/>
    </row>
    <row r="14" spans="1:24" ht="18" x14ac:dyDescent="0.4">
      <c r="A14" s="201"/>
      <c r="B14" s="489"/>
      <c r="C14" s="490"/>
      <c r="D14" s="493"/>
      <c r="E14" s="157"/>
      <c r="F14" s="494"/>
      <c r="G14" s="235">
        <f t="shared" si="6"/>
        <v>0</v>
      </c>
      <c r="H14" s="236">
        <f t="shared" si="0"/>
        <v>0</v>
      </c>
      <c r="I14" s="237">
        <f t="shared" si="1"/>
        <v>0</v>
      </c>
      <c r="J14" s="205"/>
      <c r="L14" s="277"/>
      <c r="M14" s="321">
        <f t="shared" si="2"/>
        <v>0</v>
      </c>
      <c r="N14" s="256">
        <f t="shared" si="3"/>
        <v>0</v>
      </c>
      <c r="O14" s="257">
        <f>ROUNDUP(M14*(1+$Q$9),0)</f>
        <v>0</v>
      </c>
      <c r="P14" s="256">
        <f t="shared" si="4"/>
        <v>0</v>
      </c>
      <c r="Q14" s="324">
        <f t="shared" si="5"/>
        <v>0</v>
      </c>
      <c r="R14" s="204"/>
      <c r="S14" s="204"/>
      <c r="T14" s="204"/>
      <c r="U14" s="230"/>
    </row>
    <row r="15" spans="1:24" ht="18" x14ac:dyDescent="0.4">
      <c r="A15" s="201"/>
      <c r="B15" s="495"/>
      <c r="C15" s="496"/>
      <c r="D15" s="497"/>
      <c r="E15" s="158"/>
      <c r="F15" s="498"/>
      <c r="G15" s="238">
        <f t="shared" si="6"/>
        <v>0</v>
      </c>
      <c r="H15" s="239">
        <f t="shared" si="0"/>
        <v>0</v>
      </c>
      <c r="I15" s="240">
        <f t="shared" si="1"/>
        <v>0</v>
      </c>
      <c r="J15" s="205"/>
      <c r="L15" s="278"/>
      <c r="M15" s="322">
        <f t="shared" si="2"/>
        <v>0</v>
      </c>
      <c r="N15" s="258">
        <f t="shared" si="3"/>
        <v>0</v>
      </c>
      <c r="O15" s="259">
        <f>ROUNDUP(M15*(1+$Q$9),0)</f>
        <v>0</v>
      </c>
      <c r="P15" s="258">
        <f t="shared" si="4"/>
        <v>0</v>
      </c>
      <c r="Q15" s="325">
        <f t="shared" si="5"/>
        <v>0</v>
      </c>
      <c r="R15" s="204"/>
      <c r="S15" s="204"/>
      <c r="T15" s="204"/>
      <c r="U15" s="230"/>
    </row>
    <row r="16" spans="1:24" s="22" customFormat="1" ht="13.5" thickBot="1" x14ac:dyDescent="0.35">
      <c r="A16" s="202"/>
      <c r="G16" s="84"/>
      <c r="H16" s="84"/>
      <c r="J16" s="206"/>
      <c r="L16" s="213"/>
      <c r="M16" s="214"/>
      <c r="N16" s="214"/>
      <c r="O16" s="261"/>
      <c r="P16" s="261"/>
      <c r="Q16" s="327"/>
      <c r="R16" s="207"/>
      <c r="S16" s="207"/>
      <c r="T16" s="207"/>
      <c r="U16" s="230"/>
      <c r="V16" s="2"/>
      <c r="W16" s="2"/>
      <c r="X16" s="2"/>
    </row>
    <row r="17" spans="1:22" ht="18.5" thickBot="1" x14ac:dyDescent="0.45">
      <c r="A17" s="201"/>
      <c r="E17" s="83"/>
      <c r="F17" s="85" t="s">
        <v>136</v>
      </c>
      <c r="G17" s="86">
        <f>ROUNDUP(SUM(G11:G15),0)</f>
        <v>7407</v>
      </c>
      <c r="H17" s="86">
        <f>ROUNDUP(SUM(H11:H15),0)</f>
        <v>16016</v>
      </c>
      <c r="J17" s="205"/>
      <c r="L17" s="215">
        <f>ROUNDUP(SUM(L11:L15),0)</f>
        <v>7407</v>
      </c>
      <c r="M17" s="215">
        <f>ROUNDUP(SUM(M11:M15),0)</f>
        <v>7407</v>
      </c>
      <c r="N17" s="216">
        <f>ROUNDUP(SUM(N11:N15),0)</f>
        <v>16016</v>
      </c>
      <c r="O17" s="217">
        <f>ROUNDUP(SUM(O11:O15),0)</f>
        <v>8520</v>
      </c>
      <c r="P17" s="216">
        <f>ROUNDUP(SUM(P11:P15),0)</f>
        <v>18424</v>
      </c>
      <c r="Q17" s="328"/>
      <c r="R17" s="204"/>
      <c r="S17" s="204"/>
      <c r="T17" s="204"/>
      <c r="U17" s="230"/>
    </row>
    <row r="18" spans="1:22" s="22" customFormat="1" ht="13.5" thickBot="1" x14ac:dyDescent="0.35">
      <c r="A18" s="21"/>
      <c r="J18" s="206"/>
      <c r="K18" s="207"/>
      <c r="L18" s="209"/>
      <c r="M18" s="211"/>
      <c r="N18" s="211"/>
      <c r="O18" s="211"/>
      <c r="P18" s="326"/>
      <c r="Q18" s="210"/>
      <c r="R18" s="207"/>
      <c r="S18" s="207"/>
      <c r="T18" s="207"/>
      <c r="U18" s="231"/>
      <c r="V18" s="2"/>
    </row>
    <row r="19" spans="1:22" ht="25.5" x14ac:dyDescent="0.55000000000000004">
      <c r="A19" s="174"/>
      <c r="B19" s="4" t="s">
        <v>137</v>
      </c>
      <c r="C19" s="218"/>
      <c r="D19" s="218"/>
      <c r="E19" s="218"/>
      <c r="F19" s="218"/>
      <c r="G19" s="218"/>
      <c r="H19" s="218"/>
      <c r="I19" s="218"/>
      <c r="J19" s="47"/>
      <c r="K19" s="89"/>
      <c r="L19" s="89"/>
      <c r="M19" s="89"/>
      <c r="N19" s="89"/>
      <c r="O19" s="89"/>
      <c r="P19" s="89"/>
      <c r="Q19" s="89"/>
      <c r="R19" s="89"/>
      <c r="S19" s="89"/>
      <c r="U19" s="231"/>
    </row>
    <row r="20" spans="1:22" s="22" customFormat="1" ht="8" x14ac:dyDescent="0.2">
      <c r="A20" s="285"/>
      <c r="J20" s="23"/>
      <c r="K20" s="96"/>
      <c r="L20" s="96"/>
      <c r="M20" s="96"/>
      <c r="N20" s="96"/>
      <c r="O20" s="96"/>
      <c r="P20" s="96"/>
      <c r="Q20" s="96"/>
      <c r="R20" s="96"/>
      <c r="S20" s="96"/>
      <c r="U20" s="286"/>
    </row>
    <row r="21" spans="1:22" ht="18" x14ac:dyDescent="0.4">
      <c r="A21" s="201"/>
      <c r="B21" s="542" t="str">
        <f>CONCATENATE("Nominated volume excl. ",$Q$9*100,"% flex")</f>
        <v>Nominated volume excl. 15% flex</v>
      </c>
      <c r="C21" s="542"/>
      <c r="D21" s="539" t="s">
        <v>138</v>
      </c>
      <c r="E21" s="539"/>
      <c r="F21" s="262">
        <f>M17</f>
        <v>7407</v>
      </c>
      <c r="G21" s="540" t="s">
        <v>139</v>
      </c>
      <c r="H21" s="540"/>
      <c r="I21" s="229">
        <f>N17</f>
        <v>16016</v>
      </c>
      <c r="J21" s="205"/>
      <c r="K21" s="89"/>
      <c r="L21" s="89"/>
      <c r="M21" s="89"/>
      <c r="N21" s="89"/>
      <c r="O21" s="89"/>
      <c r="P21" s="89"/>
      <c r="Q21" s="89"/>
      <c r="R21" s="89"/>
      <c r="S21" s="89"/>
      <c r="T21" s="204"/>
      <c r="U21" s="231"/>
    </row>
    <row r="22" spans="1:22" ht="18" x14ac:dyDescent="0.4">
      <c r="A22" s="201"/>
      <c r="B22" s="542" t="str">
        <f>CONCATENATE("Nominated volume incl. ",$Q$9*100,"% flex")</f>
        <v>Nominated volume incl. 15% flex</v>
      </c>
      <c r="C22" s="542"/>
      <c r="D22" s="539" t="s">
        <v>138</v>
      </c>
      <c r="E22" s="539"/>
      <c r="F22" s="368">
        <f>O17</f>
        <v>8520</v>
      </c>
      <c r="G22" s="541" t="s">
        <v>139</v>
      </c>
      <c r="H22" s="541"/>
      <c r="I22" s="369">
        <f>P17</f>
        <v>18424</v>
      </c>
      <c r="J22" s="205"/>
      <c r="K22" s="89"/>
      <c r="L22" s="89"/>
      <c r="M22" s="89"/>
      <c r="N22" s="89"/>
      <c r="O22" s="89"/>
      <c r="P22" s="89"/>
      <c r="Q22" s="89"/>
      <c r="R22" s="89"/>
      <c r="S22" s="89"/>
      <c r="T22" s="204"/>
      <c r="U22" s="231"/>
    </row>
    <row r="23" spans="1:22" s="22" customFormat="1" ht="8.5" thickBot="1" x14ac:dyDescent="0.25">
      <c r="A23" s="27"/>
      <c r="B23" s="28"/>
      <c r="C23" s="28"/>
      <c r="D23" s="28"/>
      <c r="E23" s="28"/>
      <c r="F23" s="28"/>
      <c r="G23" s="28"/>
      <c r="H23" s="28"/>
      <c r="I23" s="28"/>
      <c r="J23" s="208"/>
      <c r="K23" s="96"/>
      <c r="L23" s="96"/>
      <c r="M23" s="96"/>
      <c r="N23" s="96"/>
      <c r="O23" s="96"/>
      <c r="P23" s="96"/>
      <c r="Q23" s="96"/>
      <c r="R23" s="96"/>
      <c r="S23" s="96"/>
      <c r="T23" s="287"/>
      <c r="U23" s="287"/>
      <c r="V23" s="288"/>
    </row>
    <row r="24" spans="1:22" ht="25.5" x14ac:dyDescent="0.55000000000000004">
      <c r="A24" s="174"/>
      <c r="B24" s="4" t="s">
        <v>140</v>
      </c>
      <c r="C24" s="549" t="str">
        <f>'Capacity Calculation'!E6</f>
        <v/>
      </c>
      <c r="D24" s="549"/>
      <c r="E24" s="549"/>
      <c r="F24" s="549"/>
      <c r="G24" s="549"/>
      <c r="H24" s="549"/>
      <c r="I24" s="549"/>
      <c r="J24" s="47"/>
      <c r="K24" s="118"/>
      <c r="L24" s="118"/>
      <c r="M24" s="118"/>
      <c r="N24" s="118"/>
      <c r="O24" s="118"/>
      <c r="P24" s="118"/>
      <c r="Q24" s="118"/>
      <c r="R24" s="118"/>
      <c r="S24" s="89"/>
      <c r="T24" s="232"/>
      <c r="U24" s="234"/>
      <c r="V24" s="233"/>
    </row>
    <row r="25" spans="1:22" ht="150" x14ac:dyDescent="0.75">
      <c r="A25" s="117"/>
      <c r="B25" s="10"/>
      <c r="C25" s="294"/>
      <c r="D25" s="294"/>
      <c r="E25" s="294"/>
      <c r="F25" s="294"/>
      <c r="G25" s="294"/>
      <c r="H25" s="294"/>
      <c r="I25" s="294"/>
      <c r="J25" s="295" t="s">
        <v>89</v>
      </c>
      <c r="K25" s="118"/>
      <c r="L25" s="118"/>
      <c r="M25" s="118"/>
      <c r="N25" s="118"/>
      <c r="O25" s="118"/>
      <c r="P25" s="118"/>
      <c r="Q25" s="118"/>
      <c r="R25" s="118"/>
      <c r="S25" s="89"/>
      <c r="T25" s="232"/>
      <c r="U25" s="234"/>
      <c r="V25" s="233"/>
    </row>
    <row r="26" spans="1:22" x14ac:dyDescent="0.3">
      <c r="A26" s="117"/>
      <c r="F26" s="543" t="s">
        <v>144</v>
      </c>
      <c r="G26" s="544"/>
      <c r="J26" s="105"/>
      <c r="K26" s="118"/>
      <c r="L26" s="118"/>
      <c r="M26" s="118"/>
      <c r="N26" s="118"/>
      <c r="O26" s="118"/>
      <c r="P26" s="118"/>
      <c r="Q26" s="118"/>
      <c r="R26" s="118"/>
      <c r="S26" s="89"/>
      <c r="U26" s="233"/>
      <c r="V26" s="233"/>
    </row>
    <row r="27" spans="1:22" ht="30.5" collapsed="1" x14ac:dyDescent="0.65">
      <c r="A27" s="117"/>
      <c r="B27" s="552" t="s">
        <v>141</v>
      </c>
      <c r="C27" s="552"/>
      <c r="D27" s="550" t="s">
        <v>237</v>
      </c>
      <c r="E27" s="550"/>
      <c r="F27" s="289" t="s">
        <v>142</v>
      </c>
      <c r="G27" s="292" t="s">
        <v>143</v>
      </c>
      <c r="H27" s="551" t="s">
        <v>145</v>
      </c>
      <c r="I27" s="551"/>
      <c r="J27" s="223"/>
      <c r="K27" s="118"/>
      <c r="L27" s="445" t="s">
        <v>262</v>
      </c>
      <c r="M27" s="445" t="s">
        <v>263</v>
      </c>
      <c r="N27" s="156" t="s">
        <v>264</v>
      </c>
      <c r="O27" s="156" t="s">
        <v>265</v>
      </c>
      <c r="P27" s="462" t="s">
        <v>468</v>
      </c>
      <c r="Q27" s="156" t="s">
        <v>470</v>
      </c>
      <c r="R27" s="462" t="s">
        <v>469</v>
      </c>
      <c r="S27" s="89"/>
    </row>
    <row r="28" spans="1:22" ht="18" hidden="1" outlineLevel="1" x14ac:dyDescent="0.4">
      <c r="A28" s="117">
        <f>IF($H$41="requirements not met",IFERROR(RANK(P28,$P$28:$P$39,2),9999),IF($H$41="requirements partially met",IFERROR(RANK(Q28,$Q$28:$Q$39,2),9999),IF($H$41="requirements met",IFERROR(RANK(R28,$R$28:$R$39,2),9999),"")))</f>
        <v>9999</v>
      </c>
      <c r="B28" s="538" t="str">
        <f>IF('Capacity Calculation'!$C$18="",IF('Capacity Planning'!$C$17="","-",CONCATENATE('Capacity Planning'!$C$15,": ",'Capacity Planning'!$C$17)),CONCATENATE('Capacity Calculation'!$C$16,": ",'Capacity Calculation'!$C$18))</f>
        <v>Prozess 1:  IR HT</v>
      </c>
      <c r="C28" s="538"/>
      <c r="D28" s="553">
        <f>'Capacity Calculation'!$C$69</f>
        <v>16061</v>
      </c>
      <c r="E28" s="553"/>
      <c r="F28" s="339">
        <f>'Capacity Planning'!$C$51</f>
        <v>42302.131200000003</v>
      </c>
      <c r="G28" s="340" t="str">
        <f>'Capacity Calculation'!$C$65</f>
        <v/>
      </c>
      <c r="H28" s="540" t="str">
        <f>IF(G28="","",IF(D28&gt;G28,nichterfuellt,IF('Capacity Calculation'!C72&gt;G28,bedingterfuellt,erfuellt)))</f>
        <v/>
      </c>
      <c r="I28" s="540"/>
      <c r="J28" s="116"/>
      <c r="K28" s="463" t="str">
        <f>IFERROR((G28-D28)/D28,"")</f>
        <v/>
      </c>
      <c r="L28" s="118">
        <f t="shared" ref="L28:L39" si="7">IFERROR(M28/(1+$Q$9),0)</f>
        <v>16061</v>
      </c>
      <c r="M28" s="332">
        <f>IF(B28="-",$I$22,IF(N28&lt;&gt;"",N28,O28)*IF($I$7=1,1,(1+$Q$9)))</f>
        <v>18470.149999999998</v>
      </c>
      <c r="N28" s="118">
        <f>'Capacity Calculation'!$C$72</f>
        <v>16061</v>
      </c>
      <c r="O28" s="118">
        <f>'Capacity Planning'!$C$55</f>
        <v>16195</v>
      </c>
      <c r="P28" s="118" t="str">
        <f>IF(H28="requirements not met",(G28-D28)/D28,"")</f>
        <v/>
      </c>
      <c r="Q28" s="464" t="str">
        <f>IF(H28="requirements partially met",($G28-$D28)/$D28,"")</f>
        <v/>
      </c>
      <c r="R28" s="464" t="str">
        <f>IF($H28="requirements met",($G28-$D28)/$D28,"")</f>
        <v/>
      </c>
      <c r="S28" s="89"/>
    </row>
    <row r="29" spans="1:22" ht="18" hidden="1" outlineLevel="1" x14ac:dyDescent="0.4">
      <c r="A29" s="117">
        <f t="shared" ref="A29:A39" si="8">IF($H$41="requirements not met",IFERROR(RANK(P29,$P$28:$P$39,2),9999),IF($H$41="requirements partially met",IFERROR(RANK(Q29,$Q$28:$Q$39,2),9999),IF($H$41="requirements met",IFERROR(RANK(R29,$R$28:$R$39,2),9999),"")))</f>
        <v>9999</v>
      </c>
      <c r="B29" s="538" t="str">
        <f>IF('Capacity Calculation'!$D$18="",IF('Capacity Planning'!$D$17="","-",CONCATENATE('Capacity Planning'!$D$15,": ",'Capacity Planning'!$D$17)),CONCATENATE('Capacity Calculation'!$D$16,": ",'Capacity Calculation'!$D$18))</f>
        <v>Prozess 2: IR Grinding</v>
      </c>
      <c r="C29" s="538"/>
      <c r="D29" s="553">
        <f>'Capacity Calculation'!$D$69</f>
        <v>16061</v>
      </c>
      <c r="E29" s="553"/>
      <c r="F29" s="339">
        <f>'Capacity Planning'!$D$51</f>
        <v>20090.96399884337</v>
      </c>
      <c r="G29" s="340" t="str">
        <f>'Capacity Calculation'!$D$65</f>
        <v/>
      </c>
      <c r="H29" s="540" t="str">
        <f>IF(G29="","",IF(D29&gt;G29,nichterfuellt,IF('Capacity Calculation'!D72&gt;G29,bedingterfuellt,erfuellt)))</f>
        <v/>
      </c>
      <c r="I29" s="540"/>
      <c r="J29" s="116"/>
      <c r="K29" s="463" t="str">
        <f t="shared" ref="K29:K39" si="9">IFERROR((G29-D29)/D29,"")</f>
        <v/>
      </c>
      <c r="L29" s="118">
        <f t="shared" si="7"/>
        <v>16061</v>
      </c>
      <c r="M29" s="332">
        <f t="shared" ref="M29:M39" si="10">IF(B29="-",$I$22,IF(N29&lt;&gt;"",N29,O29)*IF($I$7=1,1,(1+$Q$9)))</f>
        <v>18470.149999999998</v>
      </c>
      <c r="N29" s="118">
        <f>'Capacity Calculation'!$D$72</f>
        <v>16061</v>
      </c>
      <c r="O29" s="118">
        <f>'Capacity Planning'!$D$55</f>
        <v>16182</v>
      </c>
      <c r="P29" s="118" t="str">
        <f t="shared" ref="P29:P39" si="11">IF(H29="requirements not met",(G29-D29)/D29,"")</f>
        <v/>
      </c>
      <c r="Q29" s="464" t="str">
        <f t="shared" ref="Q29:Q39" si="12">IF(H29="requirements partially met",($G29-$D29)/$D29,"")</f>
        <v/>
      </c>
      <c r="R29" s="464" t="str">
        <f t="shared" ref="R29:R39" si="13">IF($H29="requirements met",($G29-$D29)/$D29,"")</f>
        <v/>
      </c>
      <c r="S29" s="89"/>
    </row>
    <row r="30" spans="1:22" ht="18" hidden="1" outlineLevel="1" x14ac:dyDescent="0.4">
      <c r="A30" s="117">
        <f t="shared" si="8"/>
        <v>9999</v>
      </c>
      <c r="B30" s="538" t="str">
        <f>IF('Capacity Calculation'!$E$18="",IF('Capacity Planning'!$E$17="","-",CONCATENATE('Capacity Planning'!$E$15,": ",'Capacity Planning'!$E$17)),CONCATENATE('Capacity Calculation'!$E$16,": ",'Capacity Calculation'!$E$18))</f>
        <v>Prozess 3: AU Grinding</v>
      </c>
      <c r="C30" s="538"/>
      <c r="D30" s="553">
        <f>'Capacity Calculation'!$E$69</f>
        <v>16061</v>
      </c>
      <c r="E30" s="553"/>
      <c r="F30" s="339">
        <f>'Capacity Planning'!$E$51</f>
        <v>19406.389200564707</v>
      </c>
      <c r="G30" s="340" t="str">
        <f>'Capacity Calculation'!$E$65</f>
        <v/>
      </c>
      <c r="H30" s="540" t="str">
        <f>IF(G30="","",IF(D30&gt;G30,nichterfuellt,IF('Capacity Calculation'!E72&gt;G30,bedingterfuellt,erfuellt)))</f>
        <v/>
      </c>
      <c r="I30" s="540"/>
      <c r="J30" s="116"/>
      <c r="K30" s="463" t="str">
        <f t="shared" si="9"/>
        <v/>
      </c>
      <c r="L30" s="118">
        <f t="shared" si="7"/>
        <v>16061</v>
      </c>
      <c r="M30" s="332">
        <f t="shared" si="10"/>
        <v>18470.149999999998</v>
      </c>
      <c r="N30" s="118">
        <f>'Capacity Calculation'!$E$72</f>
        <v>16061</v>
      </c>
      <c r="O30" s="118">
        <f>'Capacity Planning'!$E$55</f>
        <v>16160</v>
      </c>
      <c r="P30" s="118" t="str">
        <f t="shared" si="11"/>
        <v/>
      </c>
      <c r="Q30" s="464" t="str">
        <f t="shared" si="12"/>
        <v/>
      </c>
      <c r="R30" s="464" t="str">
        <f t="shared" si="13"/>
        <v/>
      </c>
      <c r="S30" s="89"/>
    </row>
    <row r="31" spans="1:22" ht="18" hidden="1" outlineLevel="1" x14ac:dyDescent="0.4">
      <c r="A31" s="117">
        <f t="shared" si="8"/>
        <v>9999</v>
      </c>
      <c r="B31" s="538" t="str">
        <f>IF('Capacity Calculation'!$F$18="",IF('Capacity Planning'!$F$17="","-",CONCATENATE('Capacity Planning'!$F$15,": ",'Capacity Planning'!$F$17)),CONCATENATE('Capacity Calculation'!$F$16,": ",'Capacity Calculation'!$F$18))</f>
        <v>Prozess 4: FL Grinding</v>
      </c>
      <c r="C31" s="538"/>
      <c r="D31" s="553">
        <f>'Capacity Calculation'!$F$69</f>
        <v>16061</v>
      </c>
      <c r="E31" s="553"/>
      <c r="F31" s="339">
        <f>'Capacity Planning'!$F$51</f>
        <v>19406.389200564707</v>
      </c>
      <c r="G31" s="340" t="str">
        <f>'Capacity Calculation'!$F$65</f>
        <v/>
      </c>
      <c r="H31" s="540" t="str">
        <f>IF(G31="","",IF(D31&gt;G31,nichterfuellt,IF('Capacity Calculation'!F72&gt;G31,bedingterfuellt,erfuellt)))</f>
        <v/>
      </c>
      <c r="I31" s="540"/>
      <c r="J31" s="116"/>
      <c r="K31" s="463" t="str">
        <f t="shared" si="9"/>
        <v/>
      </c>
      <c r="L31" s="118">
        <f t="shared" si="7"/>
        <v>16061</v>
      </c>
      <c r="M31" s="332">
        <f t="shared" si="10"/>
        <v>18470.149999999998</v>
      </c>
      <c r="N31" s="118">
        <f>'Capacity Calculation'!$F$72</f>
        <v>16061</v>
      </c>
      <c r="O31" s="118">
        <f>'Capacity Planning'!$F$55</f>
        <v>16137</v>
      </c>
      <c r="P31" s="118" t="str">
        <f t="shared" si="11"/>
        <v/>
      </c>
      <c r="Q31" s="464" t="str">
        <f t="shared" si="12"/>
        <v/>
      </c>
      <c r="R31" s="464" t="str">
        <f t="shared" si="13"/>
        <v/>
      </c>
      <c r="S31" s="89"/>
    </row>
    <row r="32" spans="1:22" ht="18" hidden="1" outlineLevel="1" x14ac:dyDescent="0.4">
      <c r="A32" s="117">
        <f t="shared" si="8"/>
        <v>9999</v>
      </c>
      <c r="B32" s="538" t="str">
        <f>IF('Capacity Calculation'!$G$18="",IF('Capacity Planning'!$G$17="","-",CONCATENATE('Capacity Planning'!$G$15,": ",'Capacity Planning'!$G$17)),CONCATENATE('Capacity Calculation'!$G$16,": ",'Capacity Calculation'!$G$18))</f>
        <v>Prozess 5: MVM1</v>
      </c>
      <c r="C32" s="538"/>
      <c r="D32" s="553">
        <f>'Capacity Calculation'!$G$69</f>
        <v>16061</v>
      </c>
      <c r="E32" s="553"/>
      <c r="F32" s="339">
        <f>'Capacity Planning'!$G$51</f>
        <v>21361.729535999999</v>
      </c>
      <c r="G32" s="340" t="str">
        <f>'Capacity Calculation'!$G$65</f>
        <v/>
      </c>
      <c r="H32" s="540" t="str">
        <f>IF(G32="","",IF(D32&gt;G32,nichterfuellt,IF('Capacity Calculation'!G72&gt;G32,bedingterfuellt,erfuellt)))</f>
        <v/>
      </c>
      <c r="I32" s="540"/>
      <c r="J32" s="116"/>
      <c r="K32" s="463" t="str">
        <f t="shared" si="9"/>
        <v/>
      </c>
      <c r="L32" s="118">
        <f t="shared" si="7"/>
        <v>16061</v>
      </c>
      <c r="M32" s="332">
        <f t="shared" si="10"/>
        <v>18470.149999999998</v>
      </c>
      <c r="N32" s="118">
        <f>'Capacity Calculation'!$G$72</f>
        <v>16061</v>
      </c>
      <c r="O32" s="118">
        <f>'Capacity Planning'!$G$55</f>
        <v>16111</v>
      </c>
      <c r="P32" s="118" t="str">
        <f t="shared" si="11"/>
        <v/>
      </c>
      <c r="Q32" s="464" t="str">
        <f t="shared" si="12"/>
        <v/>
      </c>
      <c r="R32" s="464" t="str">
        <f t="shared" si="13"/>
        <v/>
      </c>
      <c r="S32" s="89"/>
    </row>
    <row r="33" spans="1:22" ht="18" hidden="1" outlineLevel="1" x14ac:dyDescent="0.4">
      <c r="A33" s="117">
        <f t="shared" si="8"/>
        <v>9999</v>
      </c>
      <c r="B33" s="538" t="str">
        <f>IF('Capacity Calculation'!$H$18="",IF('Capacity Planning'!$H$17="","-",CONCATENATE('Capacity Planning'!$H$15,": ",'Capacity Planning'!$H$17)),CONCATENATE('Capacity Calculation'!$H$16,": ",'Capacity Calculation'!$H$18))</f>
        <v>Prozess 6: MVM2</v>
      </c>
      <c r="C33" s="538"/>
      <c r="D33" s="553">
        <f>'Capacity Calculation'!$H$69</f>
        <v>16061</v>
      </c>
      <c r="E33" s="553"/>
      <c r="F33" s="339">
        <f>'Capacity Planning'!$H$51</f>
        <v>21374.567113846151</v>
      </c>
      <c r="G33" s="340" t="str">
        <f>'Capacity Calculation'!$H$65</f>
        <v/>
      </c>
      <c r="H33" s="540" t="str">
        <f>IF(G33="","",IF(D33&gt;G33,nichterfuellt,IF('Capacity Calculation'!H72&gt;G33,bedingterfuellt,erfuellt)))</f>
        <v/>
      </c>
      <c r="I33" s="540"/>
      <c r="J33" s="116"/>
      <c r="K33" s="463" t="str">
        <f t="shared" si="9"/>
        <v/>
      </c>
      <c r="L33" s="118">
        <f t="shared" si="7"/>
        <v>16061</v>
      </c>
      <c r="M33" s="332">
        <f t="shared" si="10"/>
        <v>18470.149999999998</v>
      </c>
      <c r="N33" s="118">
        <f>'Capacity Calculation'!$H$72</f>
        <v>16061</v>
      </c>
      <c r="O33" s="118">
        <f>'Capacity Planning'!$H$55</f>
        <v>16095</v>
      </c>
      <c r="P33" s="118" t="str">
        <f t="shared" si="11"/>
        <v/>
      </c>
      <c r="Q33" s="464" t="str">
        <f t="shared" si="12"/>
        <v/>
      </c>
      <c r="R33" s="464" t="str">
        <f t="shared" si="13"/>
        <v/>
      </c>
      <c r="S33" s="89"/>
    </row>
    <row r="34" spans="1:22" ht="18" hidden="1" outlineLevel="1" x14ac:dyDescent="0.4">
      <c r="A34" s="117">
        <f t="shared" si="8"/>
        <v>9999</v>
      </c>
      <c r="B34" s="538" t="str">
        <f>IF('Capacity Calculation'!$I$18="",IF('Capacity Planning'!$I$17="","-",CONCATENATE('Capacity Planning'!$I$15,": ",'Capacity Planning'!$I$17)),CONCATENATE('Capacity Calculation'!$I$16,": ",'Capacity Calculation'!$I$18))</f>
        <v>Prozess 7: WNM+PM</v>
      </c>
      <c r="C34" s="538"/>
      <c r="D34" s="553">
        <f>'Capacity Calculation'!$I$69</f>
        <v>16061</v>
      </c>
      <c r="E34" s="553"/>
      <c r="F34" s="339">
        <f>'Capacity Planning'!$I$51</f>
        <v>19604.491674352943</v>
      </c>
      <c r="G34" s="340" t="str">
        <f>'Capacity Calculation'!$I$65</f>
        <v/>
      </c>
      <c r="H34" s="540" t="str">
        <f>IF(G34="","",IF(D34&gt;G34,nichterfuellt,IF('Capacity Calculation'!I72&gt;G34,bedingterfuellt,erfuellt)))</f>
        <v/>
      </c>
      <c r="I34" s="540"/>
      <c r="J34" s="116"/>
      <c r="K34" s="463" t="str">
        <f t="shared" si="9"/>
        <v/>
      </c>
      <c r="L34" s="118">
        <f t="shared" si="7"/>
        <v>16061</v>
      </c>
      <c r="M34" s="332">
        <f t="shared" si="10"/>
        <v>18470.149999999998</v>
      </c>
      <c r="N34" s="118">
        <f>'Capacity Calculation'!$I$72</f>
        <v>16061</v>
      </c>
      <c r="O34" s="118">
        <f>'Capacity Planning'!$I$55</f>
        <v>16071</v>
      </c>
      <c r="P34" s="118" t="str">
        <f t="shared" si="11"/>
        <v/>
      </c>
      <c r="Q34" s="464" t="str">
        <f t="shared" si="12"/>
        <v/>
      </c>
      <c r="R34" s="464" t="str">
        <f t="shared" si="13"/>
        <v/>
      </c>
      <c r="S34" s="89"/>
    </row>
    <row r="35" spans="1:22" ht="18" hidden="1" outlineLevel="1" x14ac:dyDescent="0.4">
      <c r="A35" s="117">
        <f t="shared" si="8"/>
        <v>9999</v>
      </c>
      <c r="B35" s="538" t="str">
        <f>IF('Capacity Calculation'!$J$18="",IF('Capacity Planning'!$J$17="","-",CONCATENATE('Capacity Planning'!$J$15,": ",'Capacity Planning'!$J$17)),CONCATENATE('Capacity Calculation'!$J$16,": ",'Capacity Calculation'!$J$18))</f>
        <v>Prozess 8: Broaching+Run out turning+DMM</v>
      </c>
      <c r="C35" s="538"/>
      <c r="D35" s="553">
        <f>'Capacity Calculation'!$J$69</f>
        <v>16061</v>
      </c>
      <c r="E35" s="553"/>
      <c r="F35" s="339">
        <f>'Capacity Planning'!$J$51</f>
        <v>20827.686297599997</v>
      </c>
      <c r="G35" s="340" t="str">
        <f>'Capacity Calculation'!$J$65</f>
        <v/>
      </c>
      <c r="H35" s="540" t="str">
        <f>IF(G35="","",IF(D35&gt;G35,nichterfuellt,IF('Capacity Calculation'!J72&gt;G35,bedingterfuellt,erfuellt)))</f>
        <v/>
      </c>
      <c r="I35" s="540"/>
      <c r="J35" s="116"/>
      <c r="K35" s="463" t="str">
        <f t="shared" si="9"/>
        <v/>
      </c>
      <c r="L35" s="118">
        <f t="shared" si="7"/>
        <v>16061</v>
      </c>
      <c r="M35" s="332">
        <f t="shared" si="10"/>
        <v>18470.149999999998</v>
      </c>
      <c r="N35" s="118">
        <f>'Capacity Calculation'!$J$72</f>
        <v>16061</v>
      </c>
      <c r="O35" s="118">
        <f>'Capacity Planning'!$J$55</f>
        <v>16045</v>
      </c>
      <c r="P35" s="118" t="str">
        <f t="shared" si="11"/>
        <v/>
      </c>
      <c r="Q35" s="464" t="str">
        <f t="shared" si="12"/>
        <v/>
      </c>
      <c r="R35" s="464" t="str">
        <f t="shared" si="13"/>
        <v/>
      </c>
      <c r="S35" s="89"/>
    </row>
    <row r="36" spans="1:22" ht="18" hidden="1" outlineLevel="1" x14ac:dyDescent="0.4">
      <c r="A36" s="117">
        <f t="shared" si="8"/>
        <v>9999</v>
      </c>
      <c r="B36" s="538" t="str">
        <f>IF('Capacity Calculation'!$K$18="",IF('Capacity Planning'!$K$17="","-",CONCATENATE('Capacity Planning'!$K$15,": ",'Capacity Planning'!$K$17)),CONCATENATE('Capacity Calculation'!$K$16,": ",'Capacity Calculation'!$K$18))</f>
        <v>Prozess 9: Washing+MPM1</v>
      </c>
      <c r="C36" s="538"/>
      <c r="D36" s="553">
        <f>'Capacity Calculation'!$K$69</f>
        <v>16061</v>
      </c>
      <c r="E36" s="553"/>
      <c r="F36" s="339">
        <f>'Capacity Planning'!$K$51</f>
        <v>20582.91648</v>
      </c>
      <c r="G36" s="340" t="str">
        <f>'Capacity Calculation'!$K$65</f>
        <v/>
      </c>
      <c r="H36" s="540" t="str">
        <f>IF(G36="","",IF(D36&gt;G36,nichterfuellt,IF('Capacity Calculation'!K72&gt;G36,bedingterfuellt,erfuellt)))</f>
        <v/>
      </c>
      <c r="I36" s="540"/>
      <c r="J36" s="116"/>
      <c r="K36" s="463" t="str">
        <f t="shared" si="9"/>
        <v/>
      </c>
      <c r="L36" s="118">
        <f t="shared" si="7"/>
        <v>16061</v>
      </c>
      <c r="M36" s="332">
        <f t="shared" si="10"/>
        <v>18470.149999999998</v>
      </c>
      <c r="N36" s="118">
        <f>'Capacity Calculation'!$K$72</f>
        <v>16061</v>
      </c>
      <c r="O36" s="118">
        <f>'Capacity Planning'!$K$55</f>
        <v>16029</v>
      </c>
      <c r="P36" s="118" t="str">
        <f t="shared" si="11"/>
        <v/>
      </c>
      <c r="Q36" s="464" t="str">
        <f t="shared" si="12"/>
        <v/>
      </c>
      <c r="R36" s="464" t="str">
        <f t="shared" si="13"/>
        <v/>
      </c>
      <c r="S36" s="89"/>
    </row>
    <row r="37" spans="1:22" ht="18" collapsed="1" x14ac:dyDescent="0.4">
      <c r="A37" s="117">
        <f t="shared" si="8"/>
        <v>1</v>
      </c>
      <c r="B37" s="538" t="str">
        <f>IF('Capacity Calculation'!$L$18="",IF('Capacity Planning'!$L$17="","-",CONCATENATE('Capacity Planning'!$L$15,": ",'Capacity Planning'!$L$17)),CONCATENATE('Capacity Calculation'!$L$16,": ",'Capacity Calculation'!$L$18))</f>
        <v>Prozess 10: Whole production line</v>
      </c>
      <c r="C37" s="538"/>
      <c r="D37" s="553">
        <f>'Capacity Calculation'!$L$69</f>
        <v>16016</v>
      </c>
      <c r="E37" s="553"/>
      <c r="F37" s="339">
        <f>'Capacity Planning'!$L$51</f>
        <v>19618.235434164708</v>
      </c>
      <c r="G37" s="340">
        <f>'Capacity Calculation'!$L$65</f>
        <v>18687.734060396899</v>
      </c>
      <c r="H37" s="540" t="str">
        <f>IF(G37="","",IF(D37&gt;G37,nichterfuellt,IF('Capacity Calculation'!L72&gt;G37,bedingterfuellt,erfuellt)))</f>
        <v>requirements met</v>
      </c>
      <c r="I37" s="540"/>
      <c r="J37" s="116"/>
      <c r="K37" s="463">
        <f t="shared" si="9"/>
        <v>0.16681656221259358</v>
      </c>
      <c r="L37" s="118">
        <f t="shared" si="7"/>
        <v>16016</v>
      </c>
      <c r="M37" s="332">
        <f t="shared" si="10"/>
        <v>18418.399999999998</v>
      </c>
      <c r="N37" s="118">
        <f>'Capacity Calculation'!$L$72</f>
        <v>16016</v>
      </c>
      <c r="O37" s="118">
        <f>'Capacity Planning'!$L$55</f>
        <v>16016</v>
      </c>
      <c r="P37" s="118" t="str">
        <f t="shared" si="11"/>
        <v/>
      </c>
      <c r="Q37" s="464" t="str">
        <f t="shared" si="12"/>
        <v/>
      </c>
      <c r="R37" s="464">
        <f t="shared" si="13"/>
        <v>0.16681656221259358</v>
      </c>
      <c r="S37" s="89"/>
    </row>
    <row r="38" spans="1:22" ht="18" hidden="1" outlineLevel="1" x14ac:dyDescent="0.4">
      <c r="A38" s="117">
        <f t="shared" si="8"/>
        <v>9999</v>
      </c>
      <c r="B38" s="538" t="str">
        <f>IF('Capacity Calculation'!$M$18="",IF('Capacity Planning'!$M$17="","-",CONCATENATE('Capacity Planning'!$M$15,": ",'Capacity Planning'!$M$17)),CONCATENATE('Capacity Calculation'!$M$16,": ",'Capacity Calculation'!$M$18))</f>
        <v>-</v>
      </c>
      <c r="C38" s="538"/>
      <c r="D38" s="553" t="str">
        <f>'Capacity Calculation'!$M$69</f>
        <v/>
      </c>
      <c r="E38" s="553"/>
      <c r="F38" s="339" t="str">
        <f>'Capacity Planning'!$M$51</f>
        <v/>
      </c>
      <c r="G38" s="340" t="str">
        <f>'Capacity Calculation'!$M$65</f>
        <v/>
      </c>
      <c r="H38" s="540" t="str">
        <f>IF(G38="","",IF(D38&gt;G38,nichterfuellt,IF('Capacity Calculation'!M72&gt;G38,bedingterfuellt,erfuellt)))</f>
        <v/>
      </c>
      <c r="I38" s="540"/>
      <c r="J38" s="116"/>
      <c r="K38" s="463" t="str">
        <f t="shared" si="9"/>
        <v/>
      </c>
      <c r="L38" s="118">
        <f t="shared" si="7"/>
        <v>16020.869565217392</v>
      </c>
      <c r="M38" s="332">
        <f t="shared" si="10"/>
        <v>18424</v>
      </c>
      <c r="N38" s="118" t="str">
        <f>'Capacity Calculation'!$M$72</f>
        <v/>
      </c>
      <c r="O38" s="118" t="str">
        <f>'Capacity Planning'!$M$55</f>
        <v/>
      </c>
      <c r="P38" s="118" t="str">
        <f t="shared" si="11"/>
        <v/>
      </c>
      <c r="Q38" s="464" t="str">
        <f t="shared" si="12"/>
        <v/>
      </c>
      <c r="R38" s="464" t="str">
        <f t="shared" si="13"/>
        <v/>
      </c>
      <c r="S38" s="89"/>
    </row>
    <row r="39" spans="1:22" ht="18" hidden="1" outlineLevel="1" x14ac:dyDescent="0.4">
      <c r="A39" s="117">
        <f t="shared" si="8"/>
        <v>9999</v>
      </c>
      <c r="B39" s="538" t="str">
        <f>IF('Capacity Calculation'!$N$18="",IF('Capacity Planning'!$N$17="","-",CONCATENATE('Capacity Planning'!$N$15,": ",'Capacity Planning'!$N$17)),CONCATENATE('Capacity Calculation'!$N$16,": ",'Capacity Calculation'!$N$18))</f>
        <v>-</v>
      </c>
      <c r="C39" s="538"/>
      <c r="D39" s="553" t="str">
        <f>'Capacity Calculation'!$N$69</f>
        <v/>
      </c>
      <c r="E39" s="553"/>
      <c r="F39" s="339" t="str">
        <f>'Capacity Planning'!$N$51</f>
        <v/>
      </c>
      <c r="G39" s="340" t="str">
        <f>'Capacity Calculation'!$N$65</f>
        <v/>
      </c>
      <c r="H39" s="540" t="str">
        <f>IF(G39="","",IF(D39&gt;G39,nichterfuellt,IF('Capacity Calculation'!N72&gt;G39,bedingterfuellt,erfuellt)))</f>
        <v/>
      </c>
      <c r="I39" s="540"/>
      <c r="J39" s="116"/>
      <c r="K39" s="463" t="str">
        <f t="shared" si="9"/>
        <v/>
      </c>
      <c r="L39" s="118">
        <f t="shared" si="7"/>
        <v>16020.869565217392</v>
      </c>
      <c r="M39" s="332">
        <f t="shared" si="10"/>
        <v>18424</v>
      </c>
      <c r="N39" s="118" t="str">
        <f>'Capacity Calculation'!$N$72</f>
        <v/>
      </c>
      <c r="O39" s="118" t="str">
        <f>'Capacity Planning'!$N$55</f>
        <v/>
      </c>
      <c r="P39" s="118" t="str">
        <f t="shared" si="11"/>
        <v/>
      </c>
      <c r="Q39" s="464" t="str">
        <f t="shared" si="12"/>
        <v/>
      </c>
      <c r="R39" s="464" t="str">
        <f t="shared" si="13"/>
        <v/>
      </c>
      <c r="S39" s="89"/>
    </row>
    <row r="40" spans="1:22" s="22" customFormat="1" ht="13.5" thickBot="1" x14ac:dyDescent="0.35">
      <c r="A40" s="285"/>
      <c r="D40" s="310" t="str">
        <f>IF(H41="nicht erfüllt",CONCATENATE("Kapazität um ",ROUND((G41/D41-1),4)*-100,"% zu gering!"),"")</f>
        <v/>
      </c>
      <c r="F40" s="290"/>
      <c r="G40" s="291"/>
      <c r="J40" s="206"/>
      <c r="K40" s="76"/>
      <c r="L40" s="76"/>
      <c r="M40" s="76"/>
      <c r="N40" s="76"/>
      <c r="O40" s="118"/>
      <c r="P40" s="76"/>
      <c r="Q40" s="76"/>
      <c r="R40" s="76"/>
      <c r="S40" s="96"/>
      <c r="T40" s="207"/>
      <c r="U40" s="207"/>
    </row>
    <row r="41" spans="1:22" ht="23.5" thickBot="1" x14ac:dyDescent="0.55000000000000004">
      <c r="A41" s="117"/>
      <c r="B41" s="547" t="s">
        <v>149</v>
      </c>
      <c r="C41" s="548"/>
      <c r="D41" s="554">
        <f>IFERROR(IF($B$28="-","",VLOOKUP(1,$A$28:$I$39,4,FALSE)),"")</f>
        <v>16016</v>
      </c>
      <c r="E41" s="555"/>
      <c r="F41" s="373">
        <f>IFERROR(IF($B$28="-","",VLOOKUP(1,$A$28:$I$39,6,FALSE)),"")</f>
        <v>19618.235434164708</v>
      </c>
      <c r="G41" s="341">
        <f>IFERROR(IF($B$28="-","",VLOOKUP(1,$A$28:$I$39,7,FALSE)),"")</f>
        <v>18687.734060396899</v>
      </c>
      <c r="H41" s="556" t="str">
        <f>IF(COUNTIF(H28:H39,"requirements not met")&gt;0,"requirements not met",IF(COUNTIF(H28:H39,"requirements partially met")&gt;0,"requirements partially met",IF(COUNTIF(H28:H39,"requirements met")&gt;0,"requirements met","")))</f>
        <v>requirements met</v>
      </c>
      <c r="I41" s="557"/>
      <c r="J41" s="224"/>
      <c r="K41" s="118"/>
      <c r="L41" s="118"/>
      <c r="M41" s="118"/>
      <c r="N41" s="118"/>
      <c r="O41" s="118"/>
      <c r="P41" s="118"/>
      <c r="Q41" s="118"/>
      <c r="R41" s="118"/>
      <c r="S41" s="89"/>
    </row>
    <row r="42" spans="1:22" s="22" customFormat="1" ht="13.5" thickBot="1" x14ac:dyDescent="0.35">
      <c r="A42" s="225"/>
      <c r="B42" s="28"/>
      <c r="C42" s="28"/>
      <c r="D42" s="28"/>
      <c r="E42" s="28"/>
      <c r="F42" s="28"/>
      <c r="G42" s="28"/>
      <c r="H42" s="28"/>
      <c r="I42" s="28"/>
      <c r="J42" s="124"/>
      <c r="K42" s="76"/>
      <c r="L42" s="76"/>
      <c r="M42" s="76"/>
      <c r="N42" s="76"/>
      <c r="O42" s="118"/>
      <c r="P42" s="76"/>
      <c r="Q42" s="76"/>
      <c r="R42" s="76"/>
      <c r="S42" s="96"/>
    </row>
    <row r="43" spans="1:22" ht="25.5" x14ac:dyDescent="0.55000000000000004">
      <c r="A43" s="3"/>
      <c r="B43" s="4" t="s">
        <v>150</v>
      </c>
      <c r="C43" s="5"/>
      <c r="D43" s="32"/>
      <c r="E43" s="5"/>
      <c r="F43" s="5"/>
      <c r="G43" s="5"/>
      <c r="H43" s="5"/>
      <c r="I43" s="5"/>
      <c r="J43" s="47"/>
      <c r="K43" s="118"/>
      <c r="L43" s="118"/>
      <c r="M43" s="118"/>
      <c r="N43" s="118"/>
      <c r="O43" s="118"/>
      <c r="P43" s="118"/>
      <c r="Q43" s="118"/>
      <c r="R43" s="118"/>
      <c r="S43" s="89"/>
    </row>
    <row r="44" spans="1:22" ht="221" x14ac:dyDescent="0.3">
      <c r="A44" s="7"/>
      <c r="B44" s="565" t="s">
        <v>520</v>
      </c>
      <c r="C44" s="521"/>
      <c r="D44" s="521"/>
      <c r="E44" s="521"/>
      <c r="F44" s="521"/>
      <c r="G44" s="521"/>
      <c r="H44" s="521"/>
      <c r="I44" s="521"/>
      <c r="J44" s="293" t="s">
        <v>88</v>
      </c>
      <c r="K44" s="118"/>
      <c r="L44" s="118"/>
      <c r="M44" s="118"/>
      <c r="N44" s="118"/>
      <c r="O44" s="118"/>
      <c r="P44" s="118"/>
      <c r="Q44" s="118"/>
      <c r="R44" s="118"/>
      <c r="S44" s="89"/>
      <c r="U44" s="42"/>
      <c r="V44" s="156" t="str">
        <f>B44</f>
        <v>Overview:
Capacity target: 4,003cars (16,012parts)/week (PCA3 capacity target)
- Result: Proved capacity is 18,688parts/week. Successfully passed the PCA3 (R@R2) capacity test.
Details:
- All machines were turn on in PCA3 on-site checking.
- The interruptions will not be recorded in MES if the stopping time is shorter than 3min. (by MES function setup)
- The running situation is better than PCA3(R@R1), the "Unplanned interruptions" was recorded by 7mins (of nearly 27 hours). (refer to &lt;Record and Calculation sheet&gt;)
- The average C.T. of this R@R2 is 8.8secs (Planned C.T. is 8.5secs).
-  "Planned system availability" is 70.4% by below factors (R@R1 is 68.5%):
1) Breaks were shorter than RR1. (from 65min/shift to 60min/shift)
2) Unplanned interruption was shorter than RR1. (from 17.1min/shift to 3.1min/shift)
3) The "Change Over" (Planned interruption/Setup time) was longer than RR1. (from 145min/shift to 150min/shift)</v>
      </c>
    </row>
    <row r="45" spans="1:22" s="22" customFormat="1" ht="13.5" thickBot="1" x14ac:dyDescent="0.35">
      <c r="A45" s="27"/>
      <c r="B45" s="46"/>
      <c r="C45" s="28"/>
      <c r="D45" s="28"/>
      <c r="E45" s="28"/>
      <c r="F45" s="28"/>
      <c r="G45" s="28"/>
      <c r="H45" s="28"/>
      <c r="I45" s="28"/>
      <c r="J45" s="30"/>
      <c r="K45" s="76"/>
      <c r="L45" s="76"/>
      <c r="M45" s="76"/>
      <c r="N45" s="76"/>
      <c r="O45" s="118"/>
      <c r="P45" s="76"/>
      <c r="Q45" s="76"/>
      <c r="R45" s="76"/>
      <c r="S45" s="96"/>
    </row>
    <row r="46" spans="1:22" x14ac:dyDescent="0.3">
      <c r="O46" s="204"/>
    </row>
    <row r="47" spans="1:22" x14ac:dyDescent="0.3">
      <c r="O47" s="204"/>
    </row>
    <row r="48" spans="1:22" x14ac:dyDescent="0.3">
      <c r="O48" s="204"/>
    </row>
    <row r="49" spans="15:15" x14ac:dyDescent="0.3">
      <c r="O49" s="204"/>
    </row>
    <row r="50" spans="15:15" x14ac:dyDescent="0.3">
      <c r="O50" s="204"/>
    </row>
  </sheetData>
  <mergeCells count="70">
    <mergeCell ref="L6:M6"/>
    <mergeCell ref="O6:Q6"/>
    <mergeCell ref="L7:Q7"/>
    <mergeCell ref="N2:N3"/>
    <mergeCell ref="O2:O3"/>
    <mergeCell ref="L4:M4"/>
    <mergeCell ref="O4:Q4"/>
    <mergeCell ref="L5:M5"/>
    <mergeCell ref="O5:Q5"/>
    <mergeCell ref="B39:C39"/>
    <mergeCell ref="D39:E39"/>
    <mergeCell ref="H39:I39"/>
    <mergeCell ref="H36:I36"/>
    <mergeCell ref="B37:C37"/>
    <mergeCell ref="D37:E37"/>
    <mergeCell ref="H37:I37"/>
    <mergeCell ref="B38:C38"/>
    <mergeCell ref="D38:E38"/>
    <mergeCell ref="H38:I38"/>
    <mergeCell ref="B44:I44"/>
    <mergeCell ref="H29:I29"/>
    <mergeCell ref="H30:I30"/>
    <mergeCell ref="H31:I31"/>
    <mergeCell ref="H32:I32"/>
    <mergeCell ref="H33:I33"/>
    <mergeCell ref="D29:E29"/>
    <mergeCell ref="D30:E30"/>
    <mergeCell ref="B34:C34"/>
    <mergeCell ref="D34:E34"/>
    <mergeCell ref="H34:I34"/>
    <mergeCell ref="B35:C35"/>
    <mergeCell ref="D35:E35"/>
    <mergeCell ref="H35:I35"/>
    <mergeCell ref="B36:C36"/>
    <mergeCell ref="D36:E36"/>
    <mergeCell ref="A1:J1"/>
    <mergeCell ref="G9:I9"/>
    <mergeCell ref="D4:I4"/>
    <mergeCell ref="D5:I5"/>
    <mergeCell ref="B4:C4"/>
    <mergeCell ref="B5:C5"/>
    <mergeCell ref="B6:C6"/>
    <mergeCell ref="D6:F6"/>
    <mergeCell ref="B41:C41"/>
    <mergeCell ref="C24:I24"/>
    <mergeCell ref="D27:E27"/>
    <mergeCell ref="H27:I27"/>
    <mergeCell ref="B27:C27"/>
    <mergeCell ref="D28:E28"/>
    <mergeCell ref="B28:C28"/>
    <mergeCell ref="H28:I28"/>
    <mergeCell ref="D31:E31"/>
    <mergeCell ref="D32:E32"/>
    <mergeCell ref="D33:E33"/>
    <mergeCell ref="B29:C29"/>
    <mergeCell ref="B30:C30"/>
    <mergeCell ref="B31:C31"/>
    <mergeCell ref="D41:E41"/>
    <mergeCell ref="H41:I41"/>
    <mergeCell ref="L8:M8"/>
    <mergeCell ref="B32:C32"/>
    <mergeCell ref="B33:C33"/>
    <mergeCell ref="D21:E21"/>
    <mergeCell ref="D22:E22"/>
    <mergeCell ref="G21:H21"/>
    <mergeCell ref="G22:H22"/>
    <mergeCell ref="B21:C21"/>
    <mergeCell ref="B22:C22"/>
    <mergeCell ref="F26:G26"/>
    <mergeCell ref="L9:M9"/>
  </mergeCells>
  <phoneticPr fontId="75" type="noConversion"/>
  <conditionalFormatting sqref="H28:I39">
    <cfRule type="cellIs" dxfId="73" priority="6" operator="equal">
      <formula>nichterfuellt</formula>
    </cfRule>
    <cfRule type="cellIs" dxfId="72" priority="8" operator="equal">
      <formula>bedingterfuellt</formula>
    </cfRule>
  </conditionalFormatting>
  <conditionalFormatting sqref="H41:I41">
    <cfRule type="cellIs" dxfId="71" priority="3" operator="equal">
      <formula>erfuellt</formula>
    </cfRule>
  </conditionalFormatting>
  <conditionalFormatting sqref="H41:I41">
    <cfRule type="cellIs" dxfId="70" priority="1" operator="equal">
      <formula>nichterfuellt</formula>
    </cfRule>
    <cfRule type="cellIs" dxfId="69" priority="2" operator="equal">
      <formula>bedingterfuellt</formula>
    </cfRule>
  </conditionalFormatting>
  <dataValidations count="1">
    <dataValidation type="whole" allowBlank="1" showInputMessage="1" showErrorMessage="1" sqref="D6:F6" xr:uid="{00000000-0002-0000-0100-000000000000}">
      <formula1>0</formula1>
      <formula2>100</formula2>
    </dataValidation>
  </dataValidations>
  <printOptions horizontalCentered="1"/>
  <pageMargins left="0.70866141732283472" right="0.70866141732283472" top="0.9055118110236221" bottom="0.78740157480314965" header="0.31496062992125984" footer="0.31496062992125984"/>
  <pageSetup paperSize="9" scale="63" orientation="portrait" r:id="rId1"/>
  <headerFooter>
    <oddHeader>&amp;L&amp;"Calibri"&amp;10&amp;K000000 INTERNAL&amp;1#_x000D_&amp;"Arial"&amp;11&amp;K000000&amp;"Arial"&amp;11&amp;K000000
&amp;"Calibri,Standard"Kapazitätsplanung und abnahme
&amp;A&amp;R&amp;G</oddHeader>
    <oddFooter>&amp;L&amp;"Audi Type,Standard"&amp;8&amp;F_x000D_&amp;1#&amp;"Calibri"&amp;10&amp;K000000 Internal&amp;C&amp;"Audi Type,Standard"&amp;8&amp;P von &amp;N&amp;R&amp;"Audi Type,Standard"&amp;8&amp;D</oddFooter>
  </headerFooter>
  <drawing r:id="rId2"/>
  <legacyDrawing r:id="rId3"/>
  <legacyDrawingHF r:id="rId4"/>
  <controls>
    <mc:AlternateContent xmlns:mc="http://schemas.openxmlformats.org/markup-compatibility/2006">
      <mc:Choice Requires="x14">
        <control shapeId="24600" r:id="rId5" name="BedarfeAktualisieren">
          <controlPr defaultSize="0" print="0" autoLine="0" r:id="rId6">
            <anchor moveWithCells="1">
              <from>
                <xdr:col>0</xdr:col>
                <xdr:colOff>260350</xdr:colOff>
                <xdr:row>6</xdr:row>
                <xdr:rowOff>107950</xdr:rowOff>
              </from>
              <to>
                <xdr:col>2</xdr:col>
                <xdr:colOff>450850</xdr:colOff>
                <xdr:row>6</xdr:row>
                <xdr:rowOff>488950</xdr:rowOff>
              </to>
            </anchor>
          </controlPr>
        </control>
      </mc:Choice>
      <mc:Fallback>
        <control shapeId="24600" r:id="rId5" name="BedarfeAktualisieren"/>
      </mc:Fallback>
    </mc:AlternateContent>
    <mc:AlternateContent xmlns:mc="http://schemas.openxmlformats.org/markup-compatibility/2006">
      <mc:Choice Requires="x14">
        <control shapeId="24610" r:id="rId7" name="CheckBox1">
          <controlPr defaultSize="0" autoLine="0" r:id="rId8">
            <anchor moveWithCells="1">
              <from>
                <xdr:col>6</xdr:col>
                <xdr:colOff>774700</xdr:colOff>
                <xdr:row>6</xdr:row>
                <xdr:rowOff>107950</xdr:rowOff>
              </from>
              <to>
                <xdr:col>7</xdr:col>
                <xdr:colOff>660400</xdr:colOff>
                <xdr:row>6</xdr:row>
                <xdr:rowOff>488950</xdr:rowOff>
              </to>
            </anchor>
          </controlPr>
        </control>
      </mc:Choice>
      <mc:Fallback>
        <control shapeId="24610" r:id="rId7" name="CheckBox1"/>
      </mc:Fallback>
    </mc:AlternateContent>
    <mc:AlternateContent xmlns:mc="http://schemas.openxmlformats.org/markup-compatibility/2006">
      <mc:Choice Requires="x14">
        <control shapeId="24604" r:id="rId9" name="Option Button 28">
          <controlPr defaultSize="0" autoFill="0" autoLine="0" autoPict="0">
            <anchor moveWithCells="1" sizeWithCells="1">
              <from>
                <xdr:col>3</xdr:col>
                <xdr:colOff>742950</xdr:colOff>
                <xdr:row>6</xdr:row>
                <xdr:rowOff>209550</xdr:rowOff>
              </from>
              <to>
                <xdr:col>5</xdr:col>
                <xdr:colOff>400050</xdr:colOff>
                <xdr:row>6</xdr:row>
                <xdr:rowOff>469900</xdr:rowOff>
              </to>
            </anchor>
          </controlPr>
        </control>
      </mc:Choice>
    </mc:AlternateContent>
    <mc:AlternateContent xmlns:mc="http://schemas.openxmlformats.org/markup-compatibility/2006">
      <mc:Choice Requires="x14">
        <control shapeId="24605" r:id="rId10" name="Option Button 29">
          <controlPr defaultSize="0" autoFill="0" autoLine="0" autoPict="0">
            <anchor moveWithCells="1" sizeWithCells="1">
              <from>
                <xdr:col>5</xdr:col>
                <xdr:colOff>495300</xdr:colOff>
                <xdr:row>6</xdr:row>
                <xdr:rowOff>209550</xdr:rowOff>
              </from>
              <to>
                <xdr:col>6</xdr:col>
                <xdr:colOff>349250</xdr:colOff>
                <xdr:row>6</xdr:row>
                <xdr:rowOff>469900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Uebertragen">
    <outlinePr summaryBelow="0" summaryRight="0"/>
    <pageSetUpPr fitToPage="1"/>
  </sheetPr>
  <dimension ref="A1:Z87"/>
  <sheetViews>
    <sheetView tabSelected="1" zoomScale="115" zoomScaleNormal="115" workbookViewId="0">
      <pane xSplit="2" ySplit="1" topLeftCell="C40" activePane="bottomRight" state="frozen"/>
      <selection activeCell="C29" sqref="C29:E29"/>
      <selection pane="topRight" activeCell="C29" sqref="C29:E29"/>
      <selection pane="bottomLeft" activeCell="C29" sqref="C29:E29"/>
      <selection pane="bottomRight" activeCell="U49" sqref="U49"/>
    </sheetView>
  </sheetViews>
  <sheetFormatPr defaultColWidth="11" defaultRowHeight="13" outlineLevelRow="1" outlineLevelCol="1" x14ac:dyDescent="0.3"/>
  <cols>
    <col min="1" max="1" width="2.58203125" style="89" customWidth="1"/>
    <col min="2" max="2" width="38.25" style="89" customWidth="1" collapsed="1"/>
    <col min="3" max="11" width="22.1640625" style="89" hidden="1" customWidth="1" outlineLevel="1"/>
    <col min="12" max="12" width="22.1640625" style="89" customWidth="1" collapsed="1"/>
    <col min="13" max="14" width="22.1640625" style="89" hidden="1" customWidth="1" outlineLevel="1"/>
    <col min="15" max="15" width="2.58203125" style="89" customWidth="1"/>
    <col min="16" max="27" width="11" style="89"/>
    <col min="28" max="28" width="69.4140625" style="89" customWidth="1"/>
    <col min="29" max="16384" width="11" style="89"/>
  </cols>
  <sheetData>
    <row r="1" spans="1:26" ht="35.5" thickBot="1" x14ac:dyDescent="0.75">
      <c r="A1" s="579" t="s">
        <v>223</v>
      </c>
      <c r="B1" s="579"/>
      <c r="C1" s="579"/>
      <c r="D1" s="579"/>
      <c r="E1" s="579"/>
      <c r="F1" s="579"/>
      <c r="G1" s="579"/>
      <c r="H1" s="579"/>
      <c r="I1" s="579"/>
      <c r="J1" s="579"/>
      <c r="K1" s="579"/>
      <c r="L1" s="579"/>
      <c r="M1" s="579"/>
      <c r="N1" s="579"/>
      <c r="O1" s="579"/>
      <c r="Z1" s="100"/>
    </row>
    <row r="2" spans="1:26" ht="28" x14ac:dyDescent="0.6">
      <c r="A2" s="90"/>
      <c r="B2" s="91" t="s">
        <v>152</v>
      </c>
      <c r="C2" s="582" t="s">
        <v>194</v>
      </c>
      <c r="D2" s="582"/>
      <c r="E2" s="582"/>
      <c r="F2" s="92"/>
      <c r="G2" s="92"/>
      <c r="H2" s="92"/>
      <c r="I2" s="92"/>
      <c r="J2" s="92"/>
      <c r="K2" s="92"/>
      <c r="L2" s="92"/>
      <c r="M2" s="92"/>
      <c r="N2" s="92"/>
      <c r="O2" s="296"/>
    </row>
    <row r="3" spans="1:26" s="96" customFormat="1" ht="8" x14ac:dyDescent="0.2">
      <c r="A3" s="95"/>
      <c r="O3" s="97"/>
    </row>
    <row r="4" spans="1:26" ht="14" x14ac:dyDescent="0.3">
      <c r="A4" s="98"/>
      <c r="B4" s="101" t="s">
        <v>96</v>
      </c>
      <c r="C4" s="578" t="str">
        <f>Datasheet!C11</f>
        <v>85D 407 621/85D 407 621 A</v>
      </c>
      <c r="D4" s="578"/>
      <c r="E4" s="578"/>
      <c r="F4" s="578"/>
      <c r="G4" s="578"/>
      <c r="H4" s="578"/>
      <c r="I4" s="250"/>
      <c r="J4" s="250"/>
      <c r="K4" s="250"/>
      <c r="L4" s="250"/>
      <c r="M4" s="250"/>
      <c r="N4" s="250"/>
      <c r="O4" s="99"/>
    </row>
    <row r="5" spans="1:26" ht="14" x14ac:dyDescent="0.3">
      <c r="A5" s="98"/>
      <c r="B5" s="102" t="s">
        <v>97</v>
      </c>
      <c r="C5" s="577" t="str">
        <f>Datasheet!C12</f>
        <v>Wheel Bearing</v>
      </c>
      <c r="D5" s="577"/>
      <c r="E5" s="577"/>
      <c r="F5" s="577"/>
      <c r="G5" s="577"/>
      <c r="H5" s="577"/>
      <c r="I5" s="251"/>
      <c r="J5" s="251"/>
      <c r="K5" s="251"/>
      <c r="L5" s="251"/>
      <c r="M5" s="251"/>
      <c r="N5" s="251"/>
      <c r="O5" s="99"/>
    </row>
    <row r="6" spans="1:26" ht="14" x14ac:dyDescent="0.3">
      <c r="A6" s="98"/>
      <c r="B6" s="103" t="s">
        <v>122</v>
      </c>
      <c r="C6" s="580">
        <f>'Capacity overview'!D6</f>
        <v>12</v>
      </c>
      <c r="D6" s="580"/>
      <c r="E6" s="581" t="str">
        <f>IF(MAX(C28:N28)&gt;C6,"The number of shifts is higher than nominated number of shifts/week!","")</f>
        <v/>
      </c>
      <c r="F6" s="581"/>
      <c r="G6" s="581"/>
      <c r="H6" s="581"/>
      <c r="I6" s="252"/>
      <c r="J6" s="252"/>
      <c r="K6" s="252"/>
      <c r="L6" s="252"/>
      <c r="M6" s="252"/>
      <c r="N6" s="252"/>
      <c r="O6" s="99"/>
    </row>
    <row r="7" spans="1:26" ht="14" x14ac:dyDescent="0.3">
      <c r="A7" s="98"/>
      <c r="B7" s="221" t="s">
        <v>186</v>
      </c>
      <c r="C7" s="576">
        <f>'Capacity overview'!H17</f>
        <v>16016</v>
      </c>
      <c r="D7" s="576"/>
      <c r="E7" s="222"/>
      <c r="F7" s="222"/>
      <c r="G7" s="222"/>
      <c r="H7" s="222"/>
      <c r="I7" s="252"/>
      <c r="J7" s="252"/>
      <c r="K7" s="252"/>
      <c r="L7" s="252"/>
      <c r="M7" s="252"/>
      <c r="N7" s="252"/>
      <c r="O7" s="99"/>
    </row>
    <row r="8" spans="1:26" ht="14.5" thickBot="1" x14ac:dyDescent="0.35">
      <c r="A8" s="98"/>
      <c r="B8" s="125" t="s">
        <v>455</v>
      </c>
      <c r="C8" s="576">
        <f>IF('Capacity overview'!$I$7=1,'Capacity overview'!I22,'Capacity overview'!I21)</f>
        <v>16016</v>
      </c>
      <c r="D8" s="576"/>
      <c r="E8" s="151"/>
      <c r="F8" s="151"/>
      <c r="G8" s="151"/>
      <c r="H8" s="152"/>
      <c r="I8" s="253"/>
      <c r="J8" s="253"/>
      <c r="K8" s="253"/>
      <c r="L8" s="253"/>
      <c r="M8" s="253"/>
      <c r="N8" s="253"/>
      <c r="O8" s="99"/>
    </row>
    <row r="9" spans="1:26" ht="18" x14ac:dyDescent="0.3">
      <c r="A9" s="98"/>
      <c r="B9" s="315"/>
      <c r="C9" s="465"/>
      <c r="D9" s="466"/>
      <c r="E9" s="150"/>
      <c r="F9" s="360" t="s">
        <v>188</v>
      </c>
      <c r="G9" s="361" t="s">
        <v>189</v>
      </c>
      <c r="H9" s="153"/>
      <c r="I9" s="153"/>
      <c r="J9" s="153"/>
      <c r="K9" s="153"/>
      <c r="L9" s="153"/>
      <c r="M9" s="153"/>
      <c r="N9" s="153"/>
      <c r="O9" s="105"/>
    </row>
    <row r="10" spans="1:26" ht="18.5" thickBot="1" x14ac:dyDescent="0.45">
      <c r="A10" s="98"/>
      <c r="B10" s="15"/>
      <c r="C10" s="573" t="s">
        <v>187</v>
      </c>
      <c r="D10" s="574"/>
      <c r="E10" s="149" t="s">
        <v>190</v>
      </c>
      <c r="F10" s="143">
        <v>0</v>
      </c>
      <c r="G10" s="142">
        <v>0</v>
      </c>
      <c r="H10" s="154"/>
      <c r="I10" s="153"/>
      <c r="J10" s="153"/>
      <c r="K10" s="153"/>
      <c r="L10" s="153"/>
      <c r="M10" s="153"/>
      <c r="N10" s="153"/>
      <c r="O10" s="116"/>
    </row>
    <row r="11" spans="1:26" ht="18" x14ac:dyDescent="0.3">
      <c r="A11" s="98"/>
      <c r="B11" s="316"/>
      <c r="C11" s="575"/>
      <c r="D11" s="574"/>
      <c r="E11" s="145"/>
      <c r="F11" s="146" t="s">
        <v>191</v>
      </c>
      <c r="G11" s="147" t="s">
        <v>192</v>
      </c>
      <c r="H11" s="148" t="s">
        <v>189</v>
      </c>
      <c r="I11" s="153"/>
      <c r="J11" s="153"/>
      <c r="K11" s="153"/>
      <c r="L11" s="153"/>
      <c r="M11" s="153"/>
      <c r="N11" s="153"/>
      <c r="O11" s="105"/>
    </row>
    <row r="12" spans="1:26" ht="18.5" thickBot="1" x14ac:dyDescent="0.45">
      <c r="A12" s="98"/>
      <c r="B12" s="15"/>
      <c r="C12" s="575"/>
      <c r="D12" s="574"/>
      <c r="E12" s="149" t="s">
        <v>193</v>
      </c>
      <c r="F12" s="141">
        <v>0</v>
      </c>
      <c r="G12" s="141">
        <v>0</v>
      </c>
      <c r="H12" s="142">
        <v>0</v>
      </c>
      <c r="I12" s="153"/>
      <c r="J12" s="153"/>
      <c r="K12" s="153"/>
      <c r="L12" s="153"/>
      <c r="M12" s="153"/>
      <c r="N12" s="153"/>
      <c r="O12" s="116"/>
      <c r="Q12" s="140"/>
    </row>
    <row r="13" spans="1:26" s="96" customFormat="1" ht="8.5" thickBot="1" x14ac:dyDescent="0.25">
      <c r="A13" s="122"/>
      <c r="B13" s="144"/>
      <c r="C13" s="220"/>
      <c r="D13" s="227">
        <v>1</v>
      </c>
      <c r="H13" s="155"/>
      <c r="I13" s="155"/>
      <c r="J13" s="155"/>
      <c r="K13" s="155"/>
      <c r="L13" s="155"/>
      <c r="M13" s="155"/>
      <c r="N13" s="155"/>
      <c r="O13" s="124"/>
    </row>
    <row r="14" spans="1:26" ht="18" x14ac:dyDescent="0.4">
      <c r="A14" s="90"/>
      <c r="B14" s="91" t="s">
        <v>224</v>
      </c>
      <c r="C14" s="92"/>
      <c r="D14" s="92"/>
      <c r="E14" s="92"/>
      <c r="F14" s="92"/>
      <c r="G14" s="92"/>
      <c r="H14" s="92"/>
      <c r="I14" s="92"/>
      <c r="J14" s="92"/>
      <c r="K14" s="92"/>
      <c r="L14" s="92"/>
      <c r="M14" s="92"/>
      <c r="N14" s="92"/>
      <c r="O14" s="94"/>
    </row>
    <row r="15" spans="1:26" s="96" customFormat="1" ht="8" x14ac:dyDescent="0.2">
      <c r="A15" s="95"/>
      <c r="O15" s="97"/>
    </row>
    <row r="16" spans="1:26" x14ac:dyDescent="0.3">
      <c r="A16" s="98"/>
      <c r="B16" s="107"/>
      <c r="C16" s="453" t="s">
        <v>472</v>
      </c>
      <c r="D16" s="453" t="s">
        <v>473</v>
      </c>
      <c r="E16" s="453" t="s">
        <v>474</v>
      </c>
      <c r="F16" s="453" t="s">
        <v>475</v>
      </c>
      <c r="G16" s="453" t="s">
        <v>476</v>
      </c>
      <c r="H16" s="453" t="s">
        <v>477</v>
      </c>
      <c r="I16" s="453" t="s">
        <v>478</v>
      </c>
      <c r="J16" s="453" t="s">
        <v>479</v>
      </c>
      <c r="K16" s="453" t="s">
        <v>480</v>
      </c>
      <c r="L16" s="453" t="s">
        <v>481</v>
      </c>
      <c r="M16" s="453" t="s">
        <v>482</v>
      </c>
      <c r="N16" s="453" t="s">
        <v>483</v>
      </c>
      <c r="O16" s="105"/>
    </row>
    <row r="17" spans="1:15" ht="18" x14ac:dyDescent="0.4">
      <c r="A17" s="98"/>
      <c r="B17" s="120" t="s">
        <v>154</v>
      </c>
      <c r="C17" s="113"/>
      <c r="D17" s="113"/>
      <c r="E17" s="113"/>
      <c r="F17" s="113"/>
      <c r="G17" s="113"/>
      <c r="H17" s="114"/>
      <c r="I17" s="113"/>
      <c r="J17" s="114"/>
      <c r="K17" s="113"/>
      <c r="L17" s="114"/>
      <c r="M17" s="113"/>
      <c r="N17" s="114"/>
      <c r="O17" s="116"/>
    </row>
    <row r="18" spans="1:15" ht="26" x14ac:dyDescent="0.3">
      <c r="A18" s="98"/>
      <c r="B18" s="159" t="s">
        <v>155</v>
      </c>
      <c r="C18" s="499" t="s">
        <v>500</v>
      </c>
      <c r="D18" s="500" t="s">
        <v>501</v>
      </c>
      <c r="E18" s="499" t="s">
        <v>502</v>
      </c>
      <c r="F18" s="501" t="s">
        <v>503</v>
      </c>
      <c r="G18" s="500" t="s">
        <v>504</v>
      </c>
      <c r="H18" s="500" t="s">
        <v>505</v>
      </c>
      <c r="I18" s="500" t="s">
        <v>506</v>
      </c>
      <c r="J18" s="500" t="s">
        <v>507</v>
      </c>
      <c r="K18" s="500" t="s">
        <v>508</v>
      </c>
      <c r="L18" s="500" t="s">
        <v>519</v>
      </c>
      <c r="M18" s="314"/>
      <c r="N18" s="314"/>
      <c r="O18" s="105"/>
    </row>
    <row r="19" spans="1:15" x14ac:dyDescent="0.3">
      <c r="A19" s="98"/>
      <c r="B19" s="160" t="s">
        <v>156</v>
      </c>
      <c r="C19" s="502" t="s">
        <v>510</v>
      </c>
      <c r="D19" s="502" t="s">
        <v>511</v>
      </c>
      <c r="E19" s="502" t="s">
        <v>511</v>
      </c>
      <c r="F19" s="502" t="s">
        <v>511</v>
      </c>
      <c r="G19" s="502"/>
      <c r="H19" s="503"/>
      <c r="I19" s="502"/>
      <c r="J19" s="502"/>
      <c r="K19" s="502"/>
      <c r="L19" s="502"/>
      <c r="M19" s="458"/>
      <c r="N19" s="458"/>
      <c r="O19" s="105"/>
    </row>
    <row r="20" spans="1:15" x14ac:dyDescent="0.3">
      <c r="A20" s="98"/>
      <c r="B20" s="161" t="s">
        <v>157</v>
      </c>
      <c r="C20" s="481"/>
      <c r="D20" s="481">
        <v>1</v>
      </c>
      <c r="E20" s="504">
        <v>2</v>
      </c>
      <c r="F20" s="505">
        <v>3</v>
      </c>
      <c r="G20" s="481">
        <v>1</v>
      </c>
      <c r="H20" s="481">
        <v>1</v>
      </c>
      <c r="I20" s="481">
        <v>1</v>
      </c>
      <c r="J20" s="506">
        <v>2</v>
      </c>
      <c r="K20" s="507">
        <v>1</v>
      </c>
      <c r="L20" s="481">
        <v>1</v>
      </c>
      <c r="M20" s="481"/>
      <c r="N20" s="481"/>
      <c r="O20" s="105"/>
    </row>
    <row r="21" spans="1:15" x14ac:dyDescent="0.3">
      <c r="A21" s="98"/>
      <c r="B21" s="161" t="s">
        <v>160</v>
      </c>
      <c r="C21" s="482">
        <v>1250</v>
      </c>
      <c r="D21" s="482"/>
      <c r="E21" s="482"/>
      <c r="F21" s="482"/>
      <c r="G21" s="482">
        <v>1</v>
      </c>
      <c r="H21" s="482">
        <v>1</v>
      </c>
      <c r="I21" s="482">
        <v>1</v>
      </c>
      <c r="J21" s="481">
        <v>2</v>
      </c>
      <c r="K21" s="482">
        <v>2</v>
      </c>
      <c r="L21" s="482">
        <v>1</v>
      </c>
      <c r="M21" s="482"/>
      <c r="N21" s="482"/>
      <c r="O21" s="105"/>
    </row>
    <row r="22" spans="1:15" x14ac:dyDescent="0.3">
      <c r="A22" s="98"/>
      <c r="B22" s="161" t="s">
        <v>456</v>
      </c>
      <c r="C22" s="200">
        <v>1</v>
      </c>
      <c r="D22" s="200">
        <v>1</v>
      </c>
      <c r="E22" s="200">
        <v>1</v>
      </c>
      <c r="F22" s="200">
        <v>1</v>
      </c>
      <c r="G22" s="200">
        <v>1</v>
      </c>
      <c r="H22" s="200">
        <v>1</v>
      </c>
      <c r="I22" s="200">
        <v>1</v>
      </c>
      <c r="J22" s="200">
        <v>1</v>
      </c>
      <c r="K22" s="200">
        <v>1</v>
      </c>
      <c r="L22" s="200">
        <v>1</v>
      </c>
      <c r="M22" s="200"/>
      <c r="N22" s="200"/>
      <c r="O22" s="105"/>
    </row>
    <row r="23" spans="1:15" ht="65" x14ac:dyDescent="0.3">
      <c r="A23" s="98"/>
      <c r="B23" s="161" t="s">
        <v>159</v>
      </c>
      <c r="C23" s="508"/>
      <c r="D23" s="508" t="s">
        <v>512</v>
      </c>
      <c r="E23" s="508" t="s">
        <v>513</v>
      </c>
      <c r="F23" s="509" t="s">
        <v>514</v>
      </c>
      <c r="G23" s="508" t="s">
        <v>515</v>
      </c>
      <c r="H23" s="510" t="s">
        <v>516</v>
      </c>
      <c r="I23" s="508"/>
      <c r="J23" s="508" t="s">
        <v>517</v>
      </c>
      <c r="K23" s="508"/>
      <c r="L23" s="508"/>
      <c r="M23" s="370"/>
      <c r="N23" s="370"/>
      <c r="O23" s="105"/>
    </row>
    <row r="24" spans="1:15" x14ac:dyDescent="0.3">
      <c r="A24" s="98"/>
      <c r="B24" s="161" t="s">
        <v>457</v>
      </c>
      <c r="C24" s="200"/>
      <c r="D24" s="200"/>
      <c r="E24" s="200"/>
      <c r="F24" s="200"/>
      <c r="G24" s="200"/>
      <c r="H24" s="200"/>
      <c r="I24" s="200"/>
      <c r="J24" s="200"/>
      <c r="K24" s="200"/>
      <c r="L24" s="200"/>
      <c r="M24" s="200"/>
      <c r="N24" s="200"/>
      <c r="O24" s="105"/>
    </row>
    <row r="25" spans="1:15" s="96" customFormat="1" ht="8" x14ac:dyDescent="0.2">
      <c r="A25" s="95"/>
      <c r="B25" s="108"/>
      <c r="C25" s="126"/>
      <c r="D25" s="126"/>
      <c r="E25" s="126"/>
      <c r="F25" s="126"/>
      <c r="G25" s="126"/>
      <c r="H25" s="127"/>
      <c r="I25" s="126"/>
      <c r="J25" s="126"/>
      <c r="K25" s="126"/>
      <c r="L25" s="126"/>
      <c r="M25" s="126"/>
      <c r="N25" s="127"/>
      <c r="O25" s="97"/>
    </row>
    <row r="26" spans="1:15" ht="18" x14ac:dyDescent="0.4">
      <c r="A26" s="98"/>
      <c r="B26" s="120" t="s">
        <v>161</v>
      </c>
      <c r="C26" s="128"/>
      <c r="D26" s="128"/>
      <c r="E26" s="128"/>
      <c r="F26" s="128"/>
      <c r="G26" s="128"/>
      <c r="H26" s="129"/>
      <c r="I26" s="128"/>
      <c r="J26" s="128"/>
      <c r="K26" s="128"/>
      <c r="L26" s="128"/>
      <c r="M26" s="128"/>
      <c r="N26" s="129"/>
      <c r="O26" s="116"/>
    </row>
    <row r="27" spans="1:15" x14ac:dyDescent="0.3">
      <c r="A27" s="98"/>
      <c r="B27" s="162" t="s">
        <v>162</v>
      </c>
      <c r="C27" s="483">
        <v>2</v>
      </c>
      <c r="D27" s="483">
        <v>2</v>
      </c>
      <c r="E27" s="483">
        <v>2</v>
      </c>
      <c r="F27" s="483">
        <v>2</v>
      </c>
      <c r="G27" s="483">
        <v>2</v>
      </c>
      <c r="H27" s="483">
        <v>2</v>
      </c>
      <c r="I27" s="483">
        <v>2</v>
      </c>
      <c r="J27" s="483">
        <v>2</v>
      </c>
      <c r="K27" s="483">
        <v>2</v>
      </c>
      <c r="L27" s="483">
        <v>2</v>
      </c>
      <c r="M27" s="483"/>
      <c r="N27" s="483"/>
      <c r="O27" s="105"/>
    </row>
    <row r="28" spans="1:15" x14ac:dyDescent="0.3">
      <c r="A28" s="98"/>
      <c r="B28" s="163" t="s">
        <v>163</v>
      </c>
      <c r="C28" s="484">
        <v>12</v>
      </c>
      <c r="D28" s="484">
        <v>12</v>
      </c>
      <c r="E28" s="484">
        <v>12</v>
      </c>
      <c r="F28" s="484">
        <v>12</v>
      </c>
      <c r="G28" s="484">
        <v>12</v>
      </c>
      <c r="H28" s="484">
        <v>12</v>
      </c>
      <c r="I28" s="484">
        <v>12</v>
      </c>
      <c r="J28" s="484">
        <v>12</v>
      </c>
      <c r="K28" s="484">
        <v>12</v>
      </c>
      <c r="L28" s="484">
        <v>12</v>
      </c>
      <c r="M28" s="484"/>
      <c r="N28" s="484"/>
      <c r="O28" s="105"/>
    </row>
    <row r="29" spans="1:15" x14ac:dyDescent="0.3">
      <c r="A29" s="98"/>
      <c r="B29" s="163" t="s">
        <v>164</v>
      </c>
      <c r="C29" s="130">
        <v>660</v>
      </c>
      <c r="D29" s="130">
        <v>660</v>
      </c>
      <c r="E29" s="130">
        <v>660</v>
      </c>
      <c r="F29" s="130">
        <v>660</v>
      </c>
      <c r="G29" s="130">
        <v>660</v>
      </c>
      <c r="H29" s="130">
        <v>660</v>
      </c>
      <c r="I29" s="130">
        <v>660</v>
      </c>
      <c r="J29" s="130">
        <v>660</v>
      </c>
      <c r="K29" s="130">
        <v>660</v>
      </c>
      <c r="L29" s="130">
        <v>660</v>
      </c>
      <c r="M29" s="130"/>
      <c r="N29" s="130"/>
      <c r="O29" s="105"/>
    </row>
    <row r="30" spans="1:15" x14ac:dyDescent="0.3">
      <c r="A30" s="98"/>
      <c r="B30" s="110" t="s">
        <v>165</v>
      </c>
      <c r="C30" s="131">
        <f>IFERROR(IF(C29="","",C29/60),0)</f>
        <v>11</v>
      </c>
      <c r="D30" s="131">
        <f t="shared" ref="D30:H30" si="0">IFERROR(IF(D29="","",D29/60),0)</f>
        <v>11</v>
      </c>
      <c r="E30" s="131">
        <f t="shared" si="0"/>
        <v>11</v>
      </c>
      <c r="F30" s="131">
        <f t="shared" si="0"/>
        <v>11</v>
      </c>
      <c r="G30" s="131">
        <f t="shared" si="0"/>
        <v>11</v>
      </c>
      <c r="H30" s="132">
        <f t="shared" si="0"/>
        <v>11</v>
      </c>
      <c r="I30" s="131">
        <f t="shared" ref="I30:N30" si="1">IFERROR(IF(I29="","",I29/60),0)</f>
        <v>11</v>
      </c>
      <c r="J30" s="131">
        <f t="shared" si="1"/>
        <v>11</v>
      </c>
      <c r="K30" s="131">
        <f t="shared" si="1"/>
        <v>11</v>
      </c>
      <c r="L30" s="131">
        <f t="shared" si="1"/>
        <v>11</v>
      </c>
      <c r="M30" s="131" t="str">
        <f t="shared" si="1"/>
        <v/>
      </c>
      <c r="N30" s="132" t="str">
        <f t="shared" si="1"/>
        <v/>
      </c>
      <c r="O30" s="105"/>
    </row>
    <row r="31" spans="1:15" x14ac:dyDescent="0.3">
      <c r="A31" s="98"/>
      <c r="B31" s="111" t="s">
        <v>166</v>
      </c>
      <c r="C31" s="342">
        <f>IFERROR(IF(C30="","",C30*C28),0)</f>
        <v>132</v>
      </c>
      <c r="D31" s="342">
        <f t="shared" ref="D31:H31" si="2">IFERROR(IF(D30="","",D30*D28),0)</f>
        <v>132</v>
      </c>
      <c r="E31" s="342">
        <f t="shared" si="2"/>
        <v>132</v>
      </c>
      <c r="F31" s="342">
        <f t="shared" si="2"/>
        <v>132</v>
      </c>
      <c r="G31" s="342">
        <f t="shared" si="2"/>
        <v>132</v>
      </c>
      <c r="H31" s="351">
        <f t="shared" si="2"/>
        <v>132</v>
      </c>
      <c r="I31" s="342">
        <f t="shared" ref="I31:N31" si="3">IFERROR(IF(I30="","",I30*I28),0)</f>
        <v>132</v>
      </c>
      <c r="J31" s="342">
        <f t="shared" si="3"/>
        <v>132</v>
      </c>
      <c r="K31" s="342">
        <f t="shared" si="3"/>
        <v>132</v>
      </c>
      <c r="L31" s="342">
        <f t="shared" si="3"/>
        <v>132</v>
      </c>
      <c r="M31" s="342" t="str">
        <f t="shared" si="3"/>
        <v/>
      </c>
      <c r="N31" s="351" t="str">
        <f t="shared" si="3"/>
        <v/>
      </c>
      <c r="O31" s="105"/>
    </row>
    <row r="32" spans="1:15" s="96" customFormat="1" ht="8" x14ac:dyDescent="0.2">
      <c r="A32" s="95"/>
      <c r="B32" s="108"/>
      <c r="C32" s="126"/>
      <c r="D32" s="126"/>
      <c r="E32" s="126"/>
      <c r="F32" s="126"/>
      <c r="G32" s="126"/>
      <c r="H32" s="127"/>
      <c r="I32" s="126"/>
      <c r="J32" s="126"/>
      <c r="K32" s="126"/>
      <c r="L32" s="126"/>
      <c r="M32" s="126"/>
      <c r="N32" s="127"/>
      <c r="O32" s="97"/>
    </row>
    <row r="33" spans="1:20" ht="15.65" customHeight="1" x14ac:dyDescent="0.4">
      <c r="A33" s="98"/>
      <c r="B33" s="120" t="s">
        <v>167</v>
      </c>
      <c r="C33" s="128"/>
      <c r="D33" s="128"/>
      <c r="E33" s="128"/>
      <c r="F33" s="128"/>
      <c r="G33" s="128"/>
      <c r="H33" s="129"/>
      <c r="I33" s="128"/>
      <c r="J33" s="128"/>
      <c r="K33" s="128"/>
      <c r="L33" s="128"/>
      <c r="M33" s="128"/>
      <c r="N33" s="129"/>
      <c r="O33" s="116"/>
    </row>
    <row r="34" spans="1:20" x14ac:dyDescent="0.3">
      <c r="A34" s="98"/>
      <c r="B34" s="162" t="s">
        <v>454</v>
      </c>
      <c r="C34" s="511">
        <v>0.8</v>
      </c>
      <c r="D34" s="309">
        <v>0.73</v>
      </c>
      <c r="E34" s="309">
        <v>0.73</v>
      </c>
      <c r="F34" s="309">
        <v>0.73</v>
      </c>
      <c r="G34" s="309">
        <v>0.73</v>
      </c>
      <c r="H34" s="309">
        <v>0.73</v>
      </c>
      <c r="I34" s="309">
        <v>0.73</v>
      </c>
      <c r="J34" s="309">
        <v>0.73</v>
      </c>
      <c r="K34" s="309">
        <v>0.73</v>
      </c>
      <c r="L34" s="309">
        <v>0.70399999999999996</v>
      </c>
      <c r="M34" s="459"/>
      <c r="N34" s="459"/>
      <c r="O34" s="105"/>
      <c r="P34" s="140"/>
    </row>
    <row r="35" spans="1:20" ht="26" outlineLevel="1" x14ac:dyDescent="0.3">
      <c r="A35" s="98"/>
      <c r="B35" s="171" t="s">
        <v>222</v>
      </c>
      <c r="C35" s="512">
        <v>60</v>
      </c>
      <c r="D35" s="512">
        <v>60</v>
      </c>
      <c r="E35" s="512">
        <v>60</v>
      </c>
      <c r="F35" s="512">
        <v>60</v>
      </c>
      <c r="G35" s="512">
        <v>60</v>
      </c>
      <c r="H35" s="512">
        <v>60</v>
      </c>
      <c r="I35" s="512">
        <v>60</v>
      </c>
      <c r="J35" s="512">
        <v>60</v>
      </c>
      <c r="K35" s="512">
        <v>60</v>
      </c>
      <c r="L35" s="512">
        <v>60</v>
      </c>
      <c r="M35" s="460"/>
      <c r="N35" s="460"/>
      <c r="O35" s="105"/>
    </row>
    <row r="36" spans="1:20" x14ac:dyDescent="0.3">
      <c r="A36" s="98"/>
      <c r="B36" s="109" t="s">
        <v>462</v>
      </c>
      <c r="C36" s="170">
        <f>IFERROR(C34*(C29+C35)/C29,"")</f>
        <v>0.87272727272727268</v>
      </c>
      <c r="D36" s="170">
        <f t="shared" ref="D36:H36" si="4">IFERROR(D34*(D29+D35)/D29,"")</f>
        <v>0.79636363636363638</v>
      </c>
      <c r="E36" s="170">
        <f t="shared" si="4"/>
        <v>0.79636363636363638</v>
      </c>
      <c r="F36" s="170">
        <f t="shared" si="4"/>
        <v>0.79636363636363638</v>
      </c>
      <c r="G36" s="170">
        <f t="shared" si="4"/>
        <v>0.79636363636363638</v>
      </c>
      <c r="H36" s="275">
        <f t="shared" si="4"/>
        <v>0.79636363636363638</v>
      </c>
      <c r="I36" s="170">
        <f t="shared" ref="I36:N36" si="5">IFERROR(I34*(I29+I35)/I29,"")</f>
        <v>0.79636363636363638</v>
      </c>
      <c r="J36" s="170">
        <f t="shared" si="5"/>
        <v>0.79636363636363638</v>
      </c>
      <c r="K36" s="170">
        <f t="shared" si="5"/>
        <v>0.79636363636363638</v>
      </c>
      <c r="L36" s="170">
        <f>IFERROR(L34*(L29+L35)/L29,"")</f>
        <v>0.76800000000000002</v>
      </c>
      <c r="M36" s="170" t="str">
        <f t="shared" si="5"/>
        <v/>
      </c>
      <c r="N36" s="275" t="str">
        <f t="shared" si="5"/>
        <v/>
      </c>
      <c r="O36" s="105"/>
    </row>
    <row r="37" spans="1:20" x14ac:dyDescent="0.3">
      <c r="A37" s="98"/>
      <c r="B37" s="107" t="s">
        <v>168</v>
      </c>
      <c r="C37" s="343">
        <f>IF(C36="","",C31*C36)</f>
        <v>115.19999999999999</v>
      </c>
      <c r="D37" s="343">
        <f t="shared" ref="D37:H37" si="6">IF(D36="","",D31*D36)</f>
        <v>105.12</v>
      </c>
      <c r="E37" s="343">
        <f t="shared" si="6"/>
        <v>105.12</v>
      </c>
      <c r="F37" s="343">
        <f t="shared" si="6"/>
        <v>105.12</v>
      </c>
      <c r="G37" s="343">
        <f t="shared" si="6"/>
        <v>105.12</v>
      </c>
      <c r="H37" s="352">
        <f t="shared" si="6"/>
        <v>105.12</v>
      </c>
      <c r="I37" s="343">
        <f t="shared" ref="I37:N37" si="7">IF(I36="","",I31*I36)</f>
        <v>105.12</v>
      </c>
      <c r="J37" s="343">
        <f t="shared" si="7"/>
        <v>105.12</v>
      </c>
      <c r="K37" s="343">
        <f t="shared" si="7"/>
        <v>105.12</v>
      </c>
      <c r="L37" s="343">
        <f>IF(L36="","",L31*L36)</f>
        <v>101.376</v>
      </c>
      <c r="M37" s="343" t="str">
        <f t="shared" si="7"/>
        <v/>
      </c>
      <c r="N37" s="352" t="str">
        <f t="shared" si="7"/>
        <v/>
      </c>
      <c r="O37" s="105"/>
    </row>
    <row r="38" spans="1:20" s="96" customFormat="1" x14ac:dyDescent="0.3">
      <c r="A38" s="95"/>
      <c r="B38" s="108"/>
      <c r="C38" s="165"/>
      <c r="D38" s="165"/>
      <c r="E38" s="165"/>
      <c r="F38" s="165"/>
      <c r="G38" s="165"/>
      <c r="H38" s="166"/>
      <c r="I38" s="165"/>
      <c r="J38" s="165"/>
      <c r="K38" s="165"/>
      <c r="L38" s="165"/>
      <c r="M38" s="165"/>
      <c r="N38" s="166"/>
      <c r="O38" s="97"/>
      <c r="P38" s="89"/>
      <c r="Q38" s="89"/>
      <c r="T38" s="89"/>
    </row>
    <row r="39" spans="1:20" x14ac:dyDescent="0.3">
      <c r="A39" s="98"/>
      <c r="B39" s="162" t="s">
        <v>253</v>
      </c>
      <c r="C39" s="513">
        <v>0.05</v>
      </c>
      <c r="D39" s="133">
        <v>0.45</v>
      </c>
      <c r="E39" s="133">
        <v>0.45</v>
      </c>
      <c r="F39" s="133">
        <v>0.45</v>
      </c>
      <c r="G39" s="133">
        <v>0.45</v>
      </c>
      <c r="H39" s="133">
        <v>0.45</v>
      </c>
      <c r="I39" s="133">
        <v>0.45</v>
      </c>
      <c r="J39" s="133">
        <v>0.45</v>
      </c>
      <c r="K39" s="133">
        <v>0.45</v>
      </c>
      <c r="L39" s="133">
        <v>0.45</v>
      </c>
      <c r="M39" s="451"/>
      <c r="N39" s="451"/>
      <c r="O39" s="105"/>
    </row>
    <row r="40" spans="1:20" x14ac:dyDescent="0.3">
      <c r="A40" s="98"/>
      <c r="B40" s="110" t="s">
        <v>466</v>
      </c>
      <c r="C40" s="344">
        <f t="shared" ref="C40:N40" si="8">IFERROR(IF(C39="","",C37*C39),"")</f>
        <v>5.76</v>
      </c>
      <c r="D40" s="344">
        <f t="shared" si="8"/>
        <v>47.304000000000002</v>
      </c>
      <c r="E40" s="344">
        <f t="shared" si="8"/>
        <v>47.304000000000002</v>
      </c>
      <c r="F40" s="344">
        <f t="shared" si="8"/>
        <v>47.304000000000002</v>
      </c>
      <c r="G40" s="344">
        <f t="shared" si="8"/>
        <v>47.304000000000002</v>
      </c>
      <c r="H40" s="353">
        <f t="shared" si="8"/>
        <v>47.304000000000002</v>
      </c>
      <c r="I40" s="344">
        <f t="shared" si="8"/>
        <v>47.304000000000002</v>
      </c>
      <c r="J40" s="344">
        <f t="shared" si="8"/>
        <v>47.304000000000002</v>
      </c>
      <c r="K40" s="344">
        <f t="shared" si="8"/>
        <v>47.304000000000002</v>
      </c>
      <c r="L40" s="344">
        <f t="shared" si="8"/>
        <v>45.619200000000006</v>
      </c>
      <c r="M40" s="344" t="str">
        <f t="shared" si="8"/>
        <v/>
      </c>
      <c r="N40" s="353" t="str">
        <f t="shared" si="8"/>
        <v/>
      </c>
      <c r="O40" s="105"/>
    </row>
    <row r="41" spans="1:20" x14ac:dyDescent="0.3">
      <c r="A41" s="98"/>
      <c r="B41" s="110" t="s">
        <v>170</v>
      </c>
      <c r="C41" s="167">
        <f>IFERROR(IF(C39="","",1-C39),"")</f>
        <v>0.95</v>
      </c>
      <c r="D41" s="167">
        <f t="shared" ref="D41:H41" si="9">IFERROR(IF(D39="","",1-D39),"")</f>
        <v>0.55000000000000004</v>
      </c>
      <c r="E41" s="167">
        <f t="shared" si="9"/>
        <v>0.55000000000000004</v>
      </c>
      <c r="F41" s="167">
        <f t="shared" si="9"/>
        <v>0.55000000000000004</v>
      </c>
      <c r="G41" s="167">
        <f t="shared" si="9"/>
        <v>0.55000000000000004</v>
      </c>
      <c r="H41" s="175">
        <f t="shared" si="9"/>
        <v>0.55000000000000004</v>
      </c>
      <c r="I41" s="167">
        <f t="shared" ref="I41:N41" si="10">IFERROR(IF(I39="","",1-I39),"")</f>
        <v>0.55000000000000004</v>
      </c>
      <c r="J41" s="167">
        <f t="shared" si="10"/>
        <v>0.55000000000000004</v>
      </c>
      <c r="K41" s="167">
        <f t="shared" si="10"/>
        <v>0.55000000000000004</v>
      </c>
      <c r="L41" s="167">
        <f t="shared" si="10"/>
        <v>0.55000000000000004</v>
      </c>
      <c r="M41" s="167" t="str">
        <f t="shared" si="10"/>
        <v/>
      </c>
      <c r="N41" s="175" t="str">
        <f t="shared" si="10"/>
        <v/>
      </c>
      <c r="O41" s="105"/>
    </row>
    <row r="42" spans="1:20" x14ac:dyDescent="0.3">
      <c r="A42" s="98"/>
      <c r="B42" s="111" t="s">
        <v>171</v>
      </c>
      <c r="C42" s="345">
        <f>IF(C39&gt;0,C37-C40,"")</f>
        <v>109.43999999999998</v>
      </c>
      <c r="D42" s="345">
        <f>IF(D39&gt;0,D37-D40,"")</f>
        <v>57.816000000000003</v>
      </c>
      <c r="E42" s="345">
        <f t="shared" ref="E42:N42" si="11">IF(E39&gt;0,E37-E40,"")</f>
        <v>57.816000000000003</v>
      </c>
      <c r="F42" s="345">
        <f t="shared" si="11"/>
        <v>57.816000000000003</v>
      </c>
      <c r="G42" s="345">
        <f t="shared" si="11"/>
        <v>57.816000000000003</v>
      </c>
      <c r="H42" s="354">
        <f t="shared" si="11"/>
        <v>57.816000000000003</v>
      </c>
      <c r="I42" s="345">
        <f t="shared" si="11"/>
        <v>57.816000000000003</v>
      </c>
      <c r="J42" s="345">
        <f t="shared" si="11"/>
        <v>57.816000000000003</v>
      </c>
      <c r="K42" s="345">
        <f t="shared" si="11"/>
        <v>57.816000000000003</v>
      </c>
      <c r="L42" s="345">
        <f t="shared" si="11"/>
        <v>55.756799999999998</v>
      </c>
      <c r="M42" s="345" t="str">
        <f t="shared" si="11"/>
        <v/>
      </c>
      <c r="N42" s="354" t="str">
        <f t="shared" si="11"/>
        <v/>
      </c>
      <c r="O42" s="105"/>
    </row>
    <row r="43" spans="1:20" s="96" customFormat="1" ht="8" x14ac:dyDescent="0.2">
      <c r="A43" s="95"/>
      <c r="B43" s="108"/>
      <c r="C43" s="126"/>
      <c r="D43" s="126"/>
      <c r="E43" s="126"/>
      <c r="F43" s="126"/>
      <c r="G43" s="126"/>
      <c r="H43" s="127"/>
      <c r="I43" s="126"/>
      <c r="J43" s="126"/>
      <c r="K43" s="126"/>
      <c r="L43" s="126"/>
      <c r="M43" s="126"/>
      <c r="N43" s="127"/>
      <c r="O43" s="97"/>
    </row>
    <row r="44" spans="1:20" ht="18" x14ac:dyDescent="0.4">
      <c r="A44" s="98"/>
      <c r="B44" s="179" t="s">
        <v>85</v>
      </c>
      <c r="C44" s="128"/>
      <c r="D44" s="128"/>
      <c r="E44" s="128"/>
      <c r="F44" s="128"/>
      <c r="G44" s="128"/>
      <c r="H44" s="129"/>
      <c r="I44" s="128"/>
      <c r="J44" s="128"/>
      <c r="K44" s="128"/>
      <c r="L44" s="128"/>
      <c r="M44" s="128"/>
      <c r="N44" s="129"/>
      <c r="O44" s="116"/>
    </row>
    <row r="45" spans="1:20" ht="18" x14ac:dyDescent="0.4">
      <c r="A45" s="98"/>
      <c r="B45" s="162" t="s">
        <v>195</v>
      </c>
      <c r="C45" s="134"/>
      <c r="D45" s="134"/>
      <c r="E45" s="134"/>
      <c r="F45" s="134"/>
      <c r="G45" s="134"/>
      <c r="H45" s="134"/>
      <c r="I45" s="134"/>
      <c r="J45" s="134"/>
      <c r="K45" s="134"/>
      <c r="L45" s="134">
        <v>1618</v>
      </c>
      <c r="M45" s="134"/>
      <c r="N45" s="134"/>
      <c r="O45" s="116"/>
    </row>
    <row r="46" spans="1:20" ht="26" x14ac:dyDescent="0.4">
      <c r="A46" s="98"/>
      <c r="B46" s="168" t="s">
        <v>458</v>
      </c>
      <c r="C46" s="134"/>
      <c r="D46" s="134"/>
      <c r="E46" s="134"/>
      <c r="F46" s="134"/>
      <c r="G46" s="134"/>
      <c r="H46" s="134"/>
      <c r="I46" s="134"/>
      <c r="J46" s="134"/>
      <c r="K46" s="134"/>
      <c r="L46" s="134">
        <v>150</v>
      </c>
      <c r="M46" s="134"/>
      <c r="N46" s="134"/>
      <c r="O46" s="116"/>
    </row>
    <row r="47" spans="1:20" ht="18" x14ac:dyDescent="0.4">
      <c r="A47" s="98"/>
      <c r="B47" s="168" t="s">
        <v>459</v>
      </c>
      <c r="C47" s="134"/>
      <c r="D47" s="134"/>
      <c r="E47" s="134"/>
      <c r="F47" s="134"/>
      <c r="G47" s="134"/>
      <c r="H47" s="134"/>
      <c r="I47" s="134"/>
      <c r="J47" s="134"/>
      <c r="K47" s="134"/>
      <c r="L47" s="134">
        <v>302</v>
      </c>
      <c r="M47" s="134"/>
      <c r="N47" s="134"/>
      <c r="O47" s="116"/>
    </row>
    <row r="48" spans="1:20" ht="18" x14ac:dyDescent="0.4">
      <c r="A48" s="98"/>
      <c r="B48" s="168" t="s">
        <v>460</v>
      </c>
      <c r="C48" s="130"/>
      <c r="D48" s="130"/>
      <c r="E48" s="130"/>
      <c r="F48" s="130"/>
      <c r="G48" s="130"/>
      <c r="H48" s="130"/>
      <c r="I48" s="130"/>
      <c r="J48" s="130"/>
      <c r="K48" s="130"/>
      <c r="L48" s="130">
        <v>7</v>
      </c>
      <c r="M48" s="130"/>
      <c r="N48" s="130"/>
      <c r="O48" s="116"/>
    </row>
    <row r="49" spans="1:16" x14ac:dyDescent="0.3">
      <c r="A49" s="98"/>
      <c r="B49" s="110" t="s">
        <v>196</v>
      </c>
      <c r="C49" s="169" t="str">
        <f>IFERROR(IF(C45="","",C45-C46-C47-C48),"")</f>
        <v/>
      </c>
      <c r="D49" s="169" t="str">
        <f>IFERROR(IF(D45="","",D45-D46-D47-D48),"")</f>
        <v/>
      </c>
      <c r="E49" s="169" t="str">
        <f t="shared" ref="E49:N49" si="12">IFERROR(IF(E45="","",E45-E46-E47-E48),"")</f>
        <v/>
      </c>
      <c r="F49" s="169" t="str">
        <f>IFERROR(IF(F45="","",F45-F46-F47-F48),"")</f>
        <v/>
      </c>
      <c r="G49" s="169" t="str">
        <f t="shared" si="12"/>
        <v/>
      </c>
      <c r="H49" s="176" t="str">
        <f t="shared" si="12"/>
        <v/>
      </c>
      <c r="I49" s="169" t="str">
        <f t="shared" si="12"/>
        <v/>
      </c>
      <c r="J49" s="169" t="str">
        <f t="shared" si="12"/>
        <v/>
      </c>
      <c r="K49" s="169" t="str">
        <f t="shared" si="12"/>
        <v/>
      </c>
      <c r="L49" s="169">
        <f>IFERROR(IF(L45="","",L45-L46-L47-L48),"")</f>
        <v>1159</v>
      </c>
      <c r="M49" s="169" t="str">
        <f t="shared" si="12"/>
        <v/>
      </c>
      <c r="N49" s="176" t="str">
        <f t="shared" si="12"/>
        <v/>
      </c>
      <c r="O49" s="105"/>
    </row>
    <row r="50" spans="1:16" x14ac:dyDescent="0.3">
      <c r="A50" s="98"/>
      <c r="B50" s="112" t="s">
        <v>197</v>
      </c>
      <c r="C50" s="135"/>
      <c r="D50" s="135"/>
      <c r="E50" s="135"/>
      <c r="F50" s="135"/>
      <c r="G50" s="135"/>
      <c r="H50" s="177"/>
      <c r="I50" s="135"/>
      <c r="J50" s="135"/>
      <c r="K50" s="135"/>
      <c r="L50" s="135"/>
      <c r="M50" s="135"/>
      <c r="N50" s="177"/>
      <c r="O50" s="105"/>
    </row>
    <row r="51" spans="1:16" x14ac:dyDescent="0.3">
      <c r="A51" s="98"/>
      <c r="B51" s="164" t="s">
        <v>198</v>
      </c>
      <c r="C51" s="461"/>
      <c r="D51" s="461"/>
      <c r="E51" s="461"/>
      <c r="F51" s="461"/>
      <c r="G51" s="461"/>
      <c r="H51" s="461"/>
      <c r="I51" s="461"/>
      <c r="J51" s="461"/>
      <c r="K51" s="461"/>
      <c r="L51" s="461">
        <v>7913</v>
      </c>
      <c r="M51" s="461"/>
      <c r="N51" s="461"/>
      <c r="O51" s="105"/>
    </row>
    <row r="52" spans="1:16" x14ac:dyDescent="0.3">
      <c r="A52" s="98"/>
      <c r="B52" s="164" t="s">
        <v>199</v>
      </c>
      <c r="C52" s="461"/>
      <c r="D52" s="461"/>
      <c r="E52" s="461"/>
      <c r="F52" s="461"/>
      <c r="G52" s="461"/>
      <c r="H52" s="461"/>
      <c r="I52" s="461"/>
      <c r="J52" s="461"/>
      <c r="K52" s="461"/>
      <c r="L52" s="461">
        <v>0</v>
      </c>
      <c r="M52" s="461"/>
      <c r="N52" s="461"/>
      <c r="O52" s="105"/>
    </row>
    <row r="53" spans="1:16" x14ac:dyDescent="0.3">
      <c r="A53" s="98"/>
      <c r="B53" s="164" t="s">
        <v>200</v>
      </c>
      <c r="C53" s="461"/>
      <c r="D53" s="461"/>
      <c r="E53" s="461"/>
      <c r="F53" s="461"/>
      <c r="G53" s="461"/>
      <c r="H53" s="461"/>
      <c r="I53" s="461"/>
      <c r="J53" s="461"/>
      <c r="K53" s="461"/>
      <c r="L53" s="461">
        <v>22</v>
      </c>
      <c r="M53" s="461"/>
      <c r="N53" s="461"/>
      <c r="O53" s="105"/>
    </row>
    <row r="54" spans="1:16" x14ac:dyDescent="0.3">
      <c r="A54" s="98"/>
      <c r="B54" s="115" t="s">
        <v>201</v>
      </c>
      <c r="C54" s="364" t="str">
        <f>IF(C51="","",SUM(C51:C53))</f>
        <v/>
      </c>
      <c r="D54" s="364" t="str">
        <f t="shared" ref="D54:H54" si="13">IF(D51="","",SUM(D51:D53))</f>
        <v/>
      </c>
      <c r="E54" s="364" t="str">
        <f t="shared" si="13"/>
        <v/>
      </c>
      <c r="F54" s="364" t="str">
        <f t="shared" si="13"/>
        <v/>
      </c>
      <c r="G54" s="364" t="str">
        <f t="shared" si="13"/>
        <v/>
      </c>
      <c r="H54" s="365" t="str">
        <f t="shared" si="13"/>
        <v/>
      </c>
      <c r="I54" s="364" t="str">
        <f t="shared" ref="I54:N54" si="14">IF(I51="","",SUM(I51:I53))</f>
        <v/>
      </c>
      <c r="J54" s="364" t="str">
        <f t="shared" si="14"/>
        <v/>
      </c>
      <c r="K54" s="364" t="str">
        <f t="shared" si="14"/>
        <v/>
      </c>
      <c r="L54" s="364">
        <f t="shared" si="14"/>
        <v>7935</v>
      </c>
      <c r="M54" s="364" t="str">
        <f t="shared" si="14"/>
        <v/>
      </c>
      <c r="N54" s="365" t="str">
        <f t="shared" si="14"/>
        <v/>
      </c>
      <c r="O54" s="105"/>
    </row>
    <row r="55" spans="1:16" x14ac:dyDescent="0.3">
      <c r="A55" s="98"/>
      <c r="B55" s="110" t="s">
        <v>202</v>
      </c>
      <c r="C55" s="136" t="str">
        <f>IFERROR(C53/C54,"")</f>
        <v/>
      </c>
      <c r="D55" s="136" t="str">
        <f t="shared" ref="D55:H55" si="15">IFERROR(D53/D54,"")</f>
        <v/>
      </c>
      <c r="E55" s="136" t="str">
        <f t="shared" si="15"/>
        <v/>
      </c>
      <c r="F55" s="136" t="str">
        <f t="shared" si="15"/>
        <v/>
      </c>
      <c r="G55" s="136" t="str">
        <f t="shared" si="15"/>
        <v/>
      </c>
      <c r="H55" s="178" t="str">
        <f t="shared" si="15"/>
        <v/>
      </c>
      <c r="I55" s="136" t="str">
        <f t="shared" ref="I55:N55" si="16">IFERROR(I53/I54,"")</f>
        <v/>
      </c>
      <c r="J55" s="136" t="str">
        <f t="shared" si="16"/>
        <v/>
      </c>
      <c r="K55" s="136" t="str">
        <f t="shared" si="16"/>
        <v/>
      </c>
      <c r="L55" s="136">
        <f t="shared" si="16"/>
        <v>2.7725267800882167E-3</v>
      </c>
      <c r="M55" s="136" t="str">
        <f t="shared" si="16"/>
        <v/>
      </c>
      <c r="N55" s="178" t="str">
        <f t="shared" si="16"/>
        <v/>
      </c>
      <c r="O55" s="105"/>
    </row>
    <row r="56" spans="1:16" outlineLevel="1" x14ac:dyDescent="0.3">
      <c r="A56" s="98"/>
      <c r="B56" s="110" t="s">
        <v>461</v>
      </c>
      <c r="C56" s="297" t="str">
        <f>IF(C45&gt;0,(C49)/(C45-C46),"")</f>
        <v/>
      </c>
      <c r="D56" s="297" t="str">
        <f>IF(D45&gt;0,(D49)/(D45-D46),"")</f>
        <v/>
      </c>
      <c r="E56" s="297" t="str">
        <f t="shared" ref="E56:N56" si="17">IF(E45&gt;0,(E49)/(E45-E46),"")</f>
        <v/>
      </c>
      <c r="F56" s="297" t="str">
        <f t="shared" si="17"/>
        <v/>
      </c>
      <c r="G56" s="297" t="str">
        <f t="shared" si="17"/>
        <v/>
      </c>
      <c r="H56" s="299" t="str">
        <f t="shared" si="17"/>
        <v/>
      </c>
      <c r="I56" s="297" t="str">
        <f t="shared" si="17"/>
        <v/>
      </c>
      <c r="J56" s="297" t="str">
        <f t="shared" si="17"/>
        <v/>
      </c>
      <c r="K56" s="297" t="str">
        <f t="shared" si="17"/>
        <v/>
      </c>
      <c r="L56" s="297">
        <f>IF(L45&gt;0,(L49)/(L45-L46),"")</f>
        <v>0.78950953678474112</v>
      </c>
      <c r="M56" s="297" t="str">
        <f t="shared" si="17"/>
        <v/>
      </c>
      <c r="N56" s="299" t="str">
        <f t="shared" si="17"/>
        <v/>
      </c>
      <c r="O56" s="105"/>
    </row>
    <row r="57" spans="1:16" outlineLevel="1" x14ac:dyDescent="0.3">
      <c r="A57" s="98"/>
      <c r="B57" s="110" t="s">
        <v>203</v>
      </c>
      <c r="C57" s="297" t="str">
        <f>IFERROR(('Capacity Planning'!C43/'Capacity Calculation'!C63),"")</f>
        <v/>
      </c>
      <c r="D57" s="297" t="str">
        <f>IFERROR(('Capacity Planning'!D43/'Capacity Calculation'!D63),"")</f>
        <v/>
      </c>
      <c r="E57" s="297" t="str">
        <f>IFERROR(('Capacity Planning'!E43/'Capacity Calculation'!E63),"")</f>
        <v/>
      </c>
      <c r="F57" s="297" t="str">
        <f>IFERROR(('Capacity Planning'!F43/'Capacity Calculation'!F63),"")</f>
        <v/>
      </c>
      <c r="G57" s="297" t="str">
        <f>IFERROR(('Capacity Planning'!G43/'Capacity Calculation'!G63),"")</f>
        <v/>
      </c>
      <c r="H57" s="297" t="str">
        <f>IFERROR(('Capacity Planning'!H43/'Capacity Calculation'!H63),"")</f>
        <v/>
      </c>
      <c r="I57" s="297" t="str">
        <f>IFERROR(('Capacity Planning'!I43/'Capacity Calculation'!I63),"")</f>
        <v/>
      </c>
      <c r="J57" s="297" t="str">
        <f>IFERROR(('Capacity Planning'!J43/'Capacity Calculation'!J63),"")</f>
        <v/>
      </c>
      <c r="K57" s="297" t="str">
        <f>IFERROR(('Capacity Planning'!K43/'Capacity Calculation'!K63),"")</f>
        <v/>
      </c>
      <c r="L57" s="297">
        <f>IFERROR(('Capacity Planning'!L43/'Capacity Calculation'!L63),"")</f>
        <v>0.96990940465918907</v>
      </c>
      <c r="M57" s="297" t="str">
        <f>IFERROR(('Capacity Planning'!M43/'Capacity Calculation'!M63),"")</f>
        <v/>
      </c>
      <c r="N57" s="297" t="str">
        <f>IFERROR(('Capacity Planning'!N43/'Capacity Calculation'!N63),"")</f>
        <v/>
      </c>
      <c r="O57" s="105"/>
    </row>
    <row r="58" spans="1:16" outlineLevel="1" x14ac:dyDescent="0.3">
      <c r="A58" s="98"/>
      <c r="B58" s="111" t="s">
        <v>204</v>
      </c>
      <c r="C58" s="298" t="str">
        <f>IF(C51&gt;0,C51/C54,"")</f>
        <v/>
      </c>
      <c r="D58" s="298" t="str">
        <f t="shared" ref="D58:N58" si="18">IF(D51&gt;0,D51/D54,"")</f>
        <v/>
      </c>
      <c r="E58" s="298" t="str">
        <f t="shared" si="18"/>
        <v/>
      </c>
      <c r="F58" s="298" t="str">
        <f t="shared" si="18"/>
        <v/>
      </c>
      <c r="G58" s="298" t="str">
        <f t="shared" si="18"/>
        <v/>
      </c>
      <c r="H58" s="300" t="str">
        <f t="shared" si="18"/>
        <v/>
      </c>
      <c r="I58" s="298" t="str">
        <f t="shared" si="18"/>
        <v/>
      </c>
      <c r="J58" s="298" t="str">
        <f t="shared" si="18"/>
        <v/>
      </c>
      <c r="K58" s="298" t="str">
        <f t="shared" si="18"/>
        <v/>
      </c>
      <c r="L58" s="313">
        <f>IF(L51&gt;0,L51/L54,"")</f>
        <v>0.99722747321991179</v>
      </c>
      <c r="M58" s="298" t="str">
        <f t="shared" si="18"/>
        <v/>
      </c>
      <c r="N58" s="300" t="str">
        <f t="shared" si="18"/>
        <v/>
      </c>
      <c r="O58" s="105"/>
    </row>
    <row r="59" spans="1:16" outlineLevel="1" x14ac:dyDescent="0.3">
      <c r="A59" s="98"/>
      <c r="B59" s="111" t="s">
        <v>463</v>
      </c>
      <c r="C59" s="297" t="str">
        <f>IFERROR(IF(C45&gt;0,C58*C57*C56,""),"")</f>
        <v/>
      </c>
      <c r="D59" s="297" t="str">
        <f t="shared" ref="D59:N59" si="19">IFERROR(IF(D45&gt;0,D58*D57*D56,""),"")</f>
        <v/>
      </c>
      <c r="E59" s="297" t="str">
        <f t="shared" si="19"/>
        <v/>
      </c>
      <c r="F59" s="297" t="str">
        <f t="shared" si="19"/>
        <v/>
      </c>
      <c r="G59" s="297" t="str">
        <f t="shared" si="19"/>
        <v/>
      </c>
      <c r="H59" s="299" t="str">
        <f t="shared" si="19"/>
        <v/>
      </c>
      <c r="I59" s="297" t="str">
        <f t="shared" si="19"/>
        <v/>
      </c>
      <c r="J59" s="297" t="str">
        <f t="shared" si="19"/>
        <v/>
      </c>
      <c r="K59" s="297" t="str">
        <f t="shared" si="19"/>
        <v/>
      </c>
      <c r="L59" s="297">
        <f t="shared" si="19"/>
        <v>0.76362965485921896</v>
      </c>
      <c r="M59" s="297" t="str">
        <f t="shared" si="19"/>
        <v/>
      </c>
      <c r="N59" s="299" t="str">
        <f t="shared" si="19"/>
        <v/>
      </c>
      <c r="O59" s="105"/>
    </row>
    <row r="60" spans="1:16" x14ac:dyDescent="0.3">
      <c r="A60" s="98"/>
      <c r="B60" s="374" t="s">
        <v>177</v>
      </c>
      <c r="C60" s="375"/>
      <c r="D60" s="375"/>
      <c r="E60" s="375"/>
      <c r="F60" s="375"/>
      <c r="G60" s="375"/>
      <c r="H60" s="376"/>
      <c r="I60" s="375"/>
      <c r="J60" s="375"/>
      <c r="K60" s="375"/>
      <c r="L60" s="375"/>
      <c r="M60" s="375"/>
      <c r="N60" s="376"/>
      <c r="O60" s="105"/>
    </row>
    <row r="61" spans="1:16" s="96" customFormat="1" x14ac:dyDescent="0.3">
      <c r="A61" s="95"/>
      <c r="B61" s="108"/>
      <c r="C61" s="126"/>
      <c r="D61" s="126"/>
      <c r="E61" s="126"/>
      <c r="F61" s="126"/>
      <c r="G61" s="126"/>
      <c r="H61" s="127"/>
      <c r="I61" s="126"/>
      <c r="J61" s="126"/>
      <c r="K61" s="126"/>
      <c r="L61" s="126"/>
      <c r="M61" s="126"/>
      <c r="N61" s="127"/>
      <c r="O61" s="105"/>
      <c r="P61" s="89"/>
    </row>
    <row r="62" spans="1:16" ht="14" x14ac:dyDescent="0.3">
      <c r="A62" s="98"/>
      <c r="B62" s="120" t="s">
        <v>205</v>
      </c>
      <c r="C62" s="128"/>
      <c r="D62" s="128"/>
      <c r="E62" s="128"/>
      <c r="F62" s="128"/>
      <c r="G62" s="128"/>
      <c r="H62" s="129"/>
      <c r="I62" s="128"/>
      <c r="J62" s="128"/>
      <c r="K62" s="128"/>
      <c r="L62" s="128"/>
      <c r="M62" s="128"/>
      <c r="N62" s="129"/>
      <c r="O62" s="105"/>
    </row>
    <row r="63" spans="1:16" x14ac:dyDescent="0.3">
      <c r="A63" s="98"/>
      <c r="B63" s="109" t="s">
        <v>467</v>
      </c>
      <c r="C63" s="446" t="str">
        <f t="shared" ref="C63:N63" si="20">IFERROR(C49*60/(C54/(IF(C21&gt;0,C21,1)*IF(C20&gt;0,C20,1))),"")</f>
        <v/>
      </c>
      <c r="D63" s="446" t="str">
        <f t="shared" si="20"/>
        <v/>
      </c>
      <c r="E63" s="446" t="str">
        <f t="shared" si="20"/>
        <v/>
      </c>
      <c r="F63" s="446" t="str">
        <f t="shared" si="20"/>
        <v/>
      </c>
      <c r="G63" s="446" t="str">
        <f t="shared" si="20"/>
        <v/>
      </c>
      <c r="H63" s="447" t="str">
        <f t="shared" si="20"/>
        <v/>
      </c>
      <c r="I63" s="446" t="str">
        <f t="shared" si="20"/>
        <v/>
      </c>
      <c r="J63" s="446" t="str">
        <f t="shared" si="20"/>
        <v/>
      </c>
      <c r="K63" s="446" t="str">
        <f t="shared" si="20"/>
        <v/>
      </c>
      <c r="L63" s="446">
        <f t="shared" si="20"/>
        <v>8.7637051039697536</v>
      </c>
      <c r="M63" s="446" t="str">
        <f t="shared" si="20"/>
        <v/>
      </c>
      <c r="N63" s="447" t="str">
        <f t="shared" si="20"/>
        <v/>
      </c>
      <c r="O63" s="105"/>
    </row>
    <row r="64" spans="1:16" x14ac:dyDescent="0.3">
      <c r="A64" s="98"/>
      <c r="B64" s="109" t="s">
        <v>179</v>
      </c>
      <c r="C64" s="346" t="str">
        <f>IFERROR((C37*60/C28)/C49*(C51+C52),"")</f>
        <v/>
      </c>
      <c r="D64" s="346" t="str">
        <f t="shared" ref="D64:N64" si="21">IFERROR((D37*60/D28)/D49*(D51+D52),"")</f>
        <v/>
      </c>
      <c r="E64" s="346" t="str">
        <f t="shared" si="21"/>
        <v/>
      </c>
      <c r="F64" s="346" t="str">
        <f t="shared" si="21"/>
        <v/>
      </c>
      <c r="G64" s="346" t="str">
        <f t="shared" si="21"/>
        <v/>
      </c>
      <c r="H64" s="355" t="str">
        <f t="shared" si="21"/>
        <v/>
      </c>
      <c r="I64" s="346" t="str">
        <f t="shared" si="21"/>
        <v/>
      </c>
      <c r="J64" s="346" t="str">
        <f t="shared" si="21"/>
        <v/>
      </c>
      <c r="K64" s="346" t="str">
        <f t="shared" si="21"/>
        <v/>
      </c>
      <c r="L64" s="346">
        <f>IFERROR((L37*60/L28)/L49*(L51+L52),"")</f>
        <v>3460.691492666092</v>
      </c>
      <c r="M64" s="346" t="str">
        <f t="shared" si="21"/>
        <v/>
      </c>
      <c r="N64" s="355" t="str">
        <f t="shared" si="21"/>
        <v/>
      </c>
      <c r="O64" s="105"/>
    </row>
    <row r="65" spans="1:15" x14ac:dyDescent="0.3">
      <c r="A65" s="98"/>
      <c r="B65" s="109" t="s">
        <v>180</v>
      </c>
      <c r="C65" s="347" t="str">
        <f>IF(C64="","",C64*C28*C39)</f>
        <v/>
      </c>
      <c r="D65" s="347" t="str">
        <f t="shared" ref="D65:N65" si="22">IF(D64="","",D64*D28*D39)</f>
        <v/>
      </c>
      <c r="E65" s="347" t="str">
        <f t="shared" si="22"/>
        <v/>
      </c>
      <c r="F65" s="347" t="str">
        <f t="shared" si="22"/>
        <v/>
      </c>
      <c r="G65" s="347" t="str">
        <f t="shared" si="22"/>
        <v/>
      </c>
      <c r="H65" s="356" t="str">
        <f t="shared" si="22"/>
        <v/>
      </c>
      <c r="I65" s="347" t="str">
        <f t="shared" si="22"/>
        <v/>
      </c>
      <c r="J65" s="347" t="str">
        <f t="shared" si="22"/>
        <v/>
      </c>
      <c r="K65" s="347" t="str">
        <f t="shared" si="22"/>
        <v/>
      </c>
      <c r="L65" s="347">
        <f>IF(L64="","",L64*L28*L39)</f>
        <v>18687.734060396899</v>
      </c>
      <c r="M65" s="347" t="str">
        <f t="shared" si="22"/>
        <v/>
      </c>
      <c r="N65" s="356" t="str">
        <f t="shared" si="22"/>
        <v/>
      </c>
      <c r="O65" s="105"/>
    </row>
    <row r="66" spans="1:15" ht="18" x14ac:dyDescent="0.4">
      <c r="A66" s="98"/>
      <c r="B66" s="109" t="s">
        <v>181</v>
      </c>
      <c r="C66" s="362" t="str">
        <f>IFERROR(IF(C64="","",C65/'Capacity overview'!$N$9),"")</f>
        <v/>
      </c>
      <c r="D66" s="362" t="str">
        <f>IFERROR(IF(D64="","",D65/'Capacity overview'!$N$9),"")</f>
        <v/>
      </c>
      <c r="E66" s="362" t="str">
        <f>IFERROR(IF(E64="","",E65/'Capacity overview'!$N$9),"")</f>
        <v/>
      </c>
      <c r="F66" s="362" t="str">
        <f>IFERROR(IF(F64="","",F65/'Capacity overview'!$N$9),"")</f>
        <v/>
      </c>
      <c r="G66" s="362" t="str">
        <f>IFERROR(IF(G64="","",G65/'Capacity overview'!$N$9),"")</f>
        <v/>
      </c>
      <c r="H66" s="366" t="str">
        <f>IFERROR(IF(H64="","",H65/'Capacity overview'!$N$9),"")</f>
        <v/>
      </c>
      <c r="I66" s="362" t="str">
        <f>IFERROR(IF(I64="","",I65/'Capacity overview'!$N$9),"")</f>
        <v/>
      </c>
      <c r="J66" s="362" t="str">
        <f>IFERROR(IF(J64="","",J65/'Capacity overview'!$N$9),"")</f>
        <v/>
      </c>
      <c r="K66" s="362" t="str">
        <f>IFERROR(IF(K64="","",K65/'Capacity overview'!$N$9),"")</f>
        <v/>
      </c>
      <c r="L66" s="362">
        <f>IFERROR(IF(L64="","",L65/'Capacity overview'!$N$9),"")</f>
        <v>8124.3960019358519</v>
      </c>
      <c r="M66" s="362" t="str">
        <f>IFERROR(IF(M64="","",M65/'Capacity overview'!$N$9),"")</f>
        <v/>
      </c>
      <c r="N66" s="357" t="str">
        <f>IFERROR(IF(N64="","",N65/'Capacity overview'!$N$9),"")</f>
        <v/>
      </c>
      <c r="O66" s="116"/>
    </row>
    <row r="67" spans="1:15" x14ac:dyDescent="0.3">
      <c r="A67" s="98"/>
      <c r="B67" s="111" t="s">
        <v>182</v>
      </c>
      <c r="C67" s="137" t="str">
        <f>IFERROR(IF(C65="","",C65/C69-1),"")</f>
        <v/>
      </c>
      <c r="D67" s="137" t="str">
        <f t="shared" ref="D67:H67" si="23">IFERROR(IF(D65="","",D65/D69-1),"")</f>
        <v/>
      </c>
      <c r="E67" s="137" t="str">
        <f t="shared" si="23"/>
        <v/>
      </c>
      <c r="F67" s="137" t="str">
        <f t="shared" si="23"/>
        <v/>
      </c>
      <c r="G67" s="137" t="str">
        <f t="shared" si="23"/>
        <v/>
      </c>
      <c r="H67" s="138" t="str">
        <f t="shared" si="23"/>
        <v/>
      </c>
      <c r="I67" s="137" t="str">
        <f t="shared" ref="I67:N67" si="24">IFERROR(IF(I65="","",I65/I69-1),"")</f>
        <v/>
      </c>
      <c r="J67" s="137" t="str">
        <f t="shared" si="24"/>
        <v/>
      </c>
      <c r="K67" s="137" t="str">
        <f t="shared" si="24"/>
        <v/>
      </c>
      <c r="L67" s="137">
        <f t="shared" si="24"/>
        <v>0.16681656221259367</v>
      </c>
      <c r="M67" s="137" t="str">
        <f t="shared" si="24"/>
        <v/>
      </c>
      <c r="N67" s="138" t="str">
        <f t="shared" si="24"/>
        <v/>
      </c>
      <c r="O67" s="105"/>
    </row>
    <row r="68" spans="1:15" s="96" customFormat="1" ht="8.5" thickBot="1" x14ac:dyDescent="0.25">
      <c r="A68" s="95"/>
      <c r="B68" s="106"/>
      <c r="C68" s="139"/>
      <c r="D68" s="139"/>
      <c r="E68" s="139"/>
      <c r="F68" s="139"/>
      <c r="G68" s="139"/>
      <c r="H68" s="139"/>
      <c r="I68" s="139"/>
      <c r="J68" s="139"/>
      <c r="K68" s="139"/>
      <c r="L68" s="139"/>
      <c r="M68" s="139"/>
      <c r="N68" s="139"/>
      <c r="O68" s="97"/>
    </row>
    <row r="69" spans="1:15" ht="18" x14ac:dyDescent="0.4">
      <c r="A69" s="90"/>
      <c r="B69" s="183" t="s">
        <v>206</v>
      </c>
      <c r="C69" s="349">
        <f t="shared" ref="C69:N69" si="25">IF(C18="","",ROUNDUP($C$7*IF(C24="",IF(C22="",1,C22),C24)*IF($D$13=1,1/((1-C76)*(1-C77)*(1-C78)*(1-C79)*(1-C80)*(1-C81)*(1-C82)*(1-C83)*(1-C84)*(1-C85)*(1-C86)),1),0))</f>
        <v>16061</v>
      </c>
      <c r="D69" s="349">
        <f t="shared" si="25"/>
        <v>16061</v>
      </c>
      <c r="E69" s="349">
        <f t="shared" si="25"/>
        <v>16061</v>
      </c>
      <c r="F69" s="349">
        <f t="shared" si="25"/>
        <v>16061</v>
      </c>
      <c r="G69" s="349">
        <f t="shared" si="25"/>
        <v>16061</v>
      </c>
      <c r="H69" s="349">
        <f t="shared" si="25"/>
        <v>16061</v>
      </c>
      <c r="I69" s="349">
        <f t="shared" si="25"/>
        <v>16061</v>
      </c>
      <c r="J69" s="349">
        <f t="shared" si="25"/>
        <v>16061</v>
      </c>
      <c r="K69" s="349">
        <f t="shared" si="25"/>
        <v>16061</v>
      </c>
      <c r="L69" s="349">
        <f t="shared" si="25"/>
        <v>16016</v>
      </c>
      <c r="M69" s="349" t="str">
        <f t="shared" si="25"/>
        <v/>
      </c>
      <c r="N69" s="349" t="str">
        <f t="shared" si="25"/>
        <v/>
      </c>
      <c r="O69" s="180"/>
    </row>
    <row r="70" spans="1:15" ht="18.5" thickBot="1" x14ac:dyDescent="0.45">
      <c r="A70" s="181"/>
      <c r="B70" s="184" t="s">
        <v>207</v>
      </c>
      <c r="C70" s="363">
        <f>IFERROR(IF(C18="","",ROUNDUP(C69/'Capacity overview'!$N$9,1)),"")</f>
        <v>6982.5</v>
      </c>
      <c r="D70" s="363">
        <f>IFERROR(IF(D18="","",ROUNDUP(D69/'Capacity overview'!$N$9,1)),"")</f>
        <v>6982.5</v>
      </c>
      <c r="E70" s="363">
        <f>IFERROR(IF(E18="","",ROUNDUP(E69/'Capacity overview'!$N$9,1)),"")</f>
        <v>6982.5</v>
      </c>
      <c r="F70" s="363">
        <f>IFERROR(IF(F18="","",ROUNDUP(F69/'Capacity overview'!$N$9,1)),"")</f>
        <v>6982.5</v>
      </c>
      <c r="G70" s="363">
        <f>IFERROR(IF(G18="","",ROUNDUP(G69/'Capacity overview'!$N$9,1)),"")</f>
        <v>6982.5</v>
      </c>
      <c r="H70" s="367">
        <f>IFERROR(IF(H18="","",ROUNDUP(H69/'Capacity overview'!$N$9,1)),"")</f>
        <v>6982.5</v>
      </c>
      <c r="I70" s="363">
        <f>IFERROR(IF(I18="","",ROUNDUP(I69/'Capacity overview'!$N$9,1)),"")</f>
        <v>6982.5</v>
      </c>
      <c r="J70" s="363">
        <f>IFERROR(IF(J18="","",ROUNDUP(J69/'Capacity overview'!$N$9,1)),"")</f>
        <v>6982.5</v>
      </c>
      <c r="K70" s="363">
        <f>IFERROR(IF(K18="","",ROUNDUP(K69/'Capacity overview'!$N$9,1)),"")</f>
        <v>6982.5</v>
      </c>
      <c r="L70" s="363">
        <f>IFERROR(IF(L18="","",ROUNDUP(L69/'Capacity overview'!$N$9,1)),"")</f>
        <v>6962.9000000000005</v>
      </c>
      <c r="M70" s="363" t="str">
        <f>IFERROR(IF(M18="","",ROUNDUP(M69/'Capacity overview'!$N$9,1)),"")</f>
        <v/>
      </c>
      <c r="N70" s="367" t="str">
        <f>IFERROR(IF(N18="","",ROUNDUP(N69/'Capacity overview'!$N$9,1)),"")</f>
        <v/>
      </c>
      <c r="O70" s="182"/>
    </row>
    <row r="71" spans="1:15" s="96" customFormat="1" ht="8.5" thickBot="1" x14ac:dyDescent="0.25">
      <c r="A71" s="95"/>
      <c r="B71" s="106"/>
      <c r="C71" s="106"/>
      <c r="D71" s="106"/>
      <c r="E71" s="106"/>
      <c r="F71" s="106"/>
      <c r="G71" s="106"/>
      <c r="H71" s="106"/>
      <c r="I71" s="106"/>
      <c r="J71" s="106"/>
      <c r="K71" s="106"/>
      <c r="L71" s="106"/>
      <c r="M71" s="106"/>
      <c r="N71" s="106"/>
      <c r="O71" s="97"/>
    </row>
    <row r="72" spans="1:15" ht="18" x14ac:dyDescent="0.4">
      <c r="A72" s="90"/>
      <c r="B72" s="183" t="s">
        <v>183</v>
      </c>
      <c r="C72" s="349">
        <f>IF(C18="","",ROUNDUP($C$8*IF(C22="",1,C22)*IF($D$13=1,1/((1-C76)*(1-C77)*(1-C78)*(1-C79)*(1-C80)*(1-C81)*(1-C82)*(1-C83)*(1-C84)*(1-C85)*(1-C86)),1),0))</f>
        <v>16061</v>
      </c>
      <c r="D72" s="349">
        <f>IF(D18="","",ROUNDUP($C$8*IF(D22="",1,D22)*IF($D$13=1,1/((1-D76)*(1-D77)*(1-D78)*(1-D79)*(1-D80)*(1-D81)*(1-D82)*(1-D83)*(1-D84)*(1-D85)*(1-D86)),1),0))</f>
        <v>16061</v>
      </c>
      <c r="E72" s="349">
        <f>IF(E18="","",ROUNDUP($C$8*IF(E22="",1,E22)*IF($D$13=1,1/((1-E76)*(1-E77)*(1-E78)*(1-E79)*(1-E80)*(1-E81)*(1-E82)*(1-E83)*(1-E84)*(1-E85)*(1-E86)),1),0))</f>
        <v>16061</v>
      </c>
      <c r="F72" s="349">
        <f t="shared" ref="F72:N72" si="26">IF(F18="","",ROUNDUP($C$8*IF(F22="",1,F22)*IF($D$13=1,1/((1-F76)*(1-F77)*(1-F78)*(1-F79)*(1-F80)*(1-F81)*(1-F82)*(1-F83)*(1-F84)*(1-F85)*(1-F86)),1),0))</f>
        <v>16061</v>
      </c>
      <c r="G72" s="349">
        <f t="shared" si="26"/>
        <v>16061</v>
      </c>
      <c r="H72" s="358">
        <f t="shared" si="26"/>
        <v>16061</v>
      </c>
      <c r="I72" s="349">
        <f t="shared" si="26"/>
        <v>16061</v>
      </c>
      <c r="J72" s="349">
        <f t="shared" si="26"/>
        <v>16061</v>
      </c>
      <c r="K72" s="349">
        <f t="shared" si="26"/>
        <v>16061</v>
      </c>
      <c r="L72" s="349">
        <f t="shared" si="26"/>
        <v>16016</v>
      </c>
      <c r="M72" s="349" t="str">
        <f t="shared" si="26"/>
        <v/>
      </c>
      <c r="N72" s="358" t="str">
        <f t="shared" si="26"/>
        <v/>
      </c>
      <c r="O72" s="180"/>
    </row>
    <row r="73" spans="1:15" ht="18.5" collapsed="1" thickBot="1" x14ac:dyDescent="0.45">
      <c r="A73" s="181"/>
      <c r="B73" s="184" t="s">
        <v>184</v>
      </c>
      <c r="C73" s="363">
        <f>IFERROR(IF(C18="","",ROUNDUP(C72/'Capacity overview'!$O$9,1)),"")</f>
        <v>6981.6</v>
      </c>
      <c r="D73" s="363">
        <f>IFERROR(IF(D18="","",ROUNDUP(D72/'Capacity overview'!$O$9,1)),"")</f>
        <v>6981.6</v>
      </c>
      <c r="E73" s="363">
        <f>IFERROR(IF(E18="","",ROUNDUP(E72/'Capacity overview'!$O$9,1)),"")</f>
        <v>6981.6</v>
      </c>
      <c r="F73" s="363">
        <f>IFERROR(IF(F18="","",ROUNDUP(F72/'Capacity overview'!$O$9,1)),"")</f>
        <v>6981.6</v>
      </c>
      <c r="G73" s="363">
        <f>IFERROR(IF(G18="","",ROUNDUP(G72/'Capacity overview'!$O$9,1)),"")</f>
        <v>6981.6</v>
      </c>
      <c r="H73" s="367">
        <f>IFERROR(IF(H18="","",ROUNDUP(H72/'Capacity overview'!$O$9,1)),"")</f>
        <v>6981.6</v>
      </c>
      <c r="I73" s="363">
        <f>IFERROR(IF(I18="","",ROUNDUP(I72/'Capacity overview'!$O$9,1)),"")</f>
        <v>6981.6</v>
      </c>
      <c r="J73" s="363">
        <f>IFERROR(IF(J18="","",ROUNDUP(J72/'Capacity overview'!$O$9,1)),"")</f>
        <v>6981.6</v>
      </c>
      <c r="K73" s="363">
        <f>IFERROR(IF(K18="","",ROUNDUP(K72/'Capacity overview'!$O$9,1)),"")</f>
        <v>6981.6</v>
      </c>
      <c r="L73" s="363">
        <f>IFERROR(IF(L18="","",ROUNDUP(L72/'Capacity overview'!$O$9,1)),"")</f>
        <v>6962.1</v>
      </c>
      <c r="M73" s="363" t="str">
        <f>IFERROR(IF(M18="","",ROUNDUP(M72/'Capacity overview'!$O$9,1)),"")</f>
        <v/>
      </c>
      <c r="N73" s="367" t="str">
        <f>IFERROR(IF(N18="","",ROUNDUP(N72/'Capacity overview'!$O$9,1)),"")</f>
        <v/>
      </c>
      <c r="O73" s="182"/>
    </row>
    <row r="74" spans="1:15" s="96" customFormat="1" ht="8" hidden="1" outlineLevel="1" x14ac:dyDescent="0.2">
      <c r="A74" s="95"/>
      <c r="B74" s="106"/>
      <c r="C74" s="106"/>
      <c r="D74" s="106"/>
      <c r="E74" s="106"/>
      <c r="F74" s="106"/>
      <c r="G74" s="106"/>
      <c r="H74" s="106"/>
      <c r="I74" s="106"/>
      <c r="J74" s="106"/>
      <c r="K74" s="106"/>
      <c r="L74" s="106"/>
      <c r="M74" s="106"/>
      <c r="N74" s="106"/>
      <c r="O74" s="97"/>
    </row>
    <row r="75" spans="1:15" ht="18" hidden="1" outlineLevel="1" x14ac:dyDescent="0.3">
      <c r="A75" s="98"/>
      <c r="B75" s="121" t="s">
        <v>185</v>
      </c>
      <c r="C75" s="104"/>
      <c r="D75" s="104"/>
      <c r="E75" s="104"/>
      <c r="F75" s="104"/>
      <c r="G75" s="104"/>
      <c r="H75" s="104"/>
      <c r="I75" s="104"/>
      <c r="J75" s="104"/>
      <c r="K75" s="104"/>
      <c r="L75" s="104"/>
      <c r="M75" s="104"/>
      <c r="N75" s="104"/>
      <c r="O75" s="119"/>
    </row>
    <row r="76" spans="1:15" hidden="1" outlineLevel="1" x14ac:dyDescent="0.3">
      <c r="A76" s="98"/>
      <c r="B76" s="104" t="str">
        <f>IF($D$16="","",$D$16)</f>
        <v>Prozess 2</v>
      </c>
      <c r="C76" s="455">
        <f>IF($D$55="",0,$D$55)</f>
        <v>0</v>
      </c>
      <c r="D76" s="455"/>
      <c r="E76" s="455"/>
      <c r="F76" s="455"/>
      <c r="G76" s="455"/>
      <c r="H76" s="455"/>
      <c r="I76" s="455"/>
      <c r="J76" s="455"/>
      <c r="K76" s="455"/>
      <c r="L76" s="455"/>
      <c r="M76" s="455"/>
      <c r="N76" s="455"/>
      <c r="O76" s="105"/>
    </row>
    <row r="77" spans="1:15" hidden="1" outlineLevel="1" x14ac:dyDescent="0.3">
      <c r="A77" s="98"/>
      <c r="B77" s="104" t="str">
        <f>IF($E$16="","",$E$16)</f>
        <v>Prozess 3</v>
      </c>
      <c r="C77" s="455">
        <f>IF($E$55="",0,$E$55)</f>
        <v>0</v>
      </c>
      <c r="D77" s="455">
        <f>IF($E$55="",0,$E$55)</f>
        <v>0</v>
      </c>
      <c r="E77" s="455"/>
      <c r="F77" s="455"/>
      <c r="G77" s="455"/>
      <c r="H77" s="455"/>
      <c r="I77" s="455"/>
      <c r="J77" s="455"/>
      <c r="K77" s="455"/>
      <c r="L77" s="455"/>
      <c r="M77" s="455"/>
      <c r="N77" s="455"/>
      <c r="O77" s="105"/>
    </row>
    <row r="78" spans="1:15" hidden="1" outlineLevel="1" x14ac:dyDescent="0.3">
      <c r="A78" s="98"/>
      <c r="B78" s="104" t="str">
        <f>IF($F$16="","",$F$16)</f>
        <v>Prozess 4</v>
      </c>
      <c r="C78" s="455">
        <f>IF($F$55="",0,$F$55)</f>
        <v>0</v>
      </c>
      <c r="D78" s="455">
        <f t="shared" ref="D78" si="27">IF($F$55="",0,$F$55)</f>
        <v>0</v>
      </c>
      <c r="E78" s="455">
        <f>IF($F$55="",0,$F$55)</f>
        <v>0</v>
      </c>
      <c r="F78" s="455"/>
      <c r="G78" s="455"/>
      <c r="H78" s="455"/>
      <c r="I78" s="455"/>
      <c r="J78" s="455"/>
      <c r="K78" s="455"/>
      <c r="L78" s="455"/>
      <c r="M78" s="455"/>
      <c r="N78" s="455"/>
      <c r="O78" s="105"/>
    </row>
    <row r="79" spans="1:15" hidden="1" outlineLevel="1" x14ac:dyDescent="0.3">
      <c r="A79" s="98"/>
      <c r="B79" s="104" t="str">
        <f>IF($G$16="","",$G$16)</f>
        <v>Prozess 5</v>
      </c>
      <c r="C79" s="455">
        <f>IF($G$55="",0,$G$55)</f>
        <v>0</v>
      </c>
      <c r="D79" s="455">
        <f t="shared" ref="D79:E79" si="28">IF($G$55="",0,$G$55)</f>
        <v>0</v>
      </c>
      <c r="E79" s="455">
        <f t="shared" si="28"/>
        <v>0</v>
      </c>
      <c r="F79" s="455">
        <f>IF($G$55="",0,$G$55)</f>
        <v>0</v>
      </c>
      <c r="G79" s="455"/>
      <c r="H79" s="455"/>
      <c r="I79" s="455"/>
      <c r="J79" s="455"/>
      <c r="K79" s="455"/>
      <c r="L79" s="455"/>
      <c r="M79" s="455"/>
      <c r="N79" s="455"/>
      <c r="O79" s="105"/>
    </row>
    <row r="80" spans="1:15" hidden="1" outlineLevel="1" x14ac:dyDescent="0.3">
      <c r="A80" s="98"/>
      <c r="B80" s="104" t="str">
        <f>IF($H$16="","",$H$16)</f>
        <v>Prozess 6</v>
      </c>
      <c r="C80" s="455">
        <f>IF($H$55="",0,$H$55)</f>
        <v>0</v>
      </c>
      <c r="D80" s="455">
        <f t="shared" ref="D80:F80" si="29">IF($H$55="",0,$H$55)</f>
        <v>0</v>
      </c>
      <c r="E80" s="455">
        <f t="shared" si="29"/>
        <v>0</v>
      </c>
      <c r="F80" s="455">
        <f t="shared" si="29"/>
        <v>0</v>
      </c>
      <c r="G80" s="455">
        <f>IF($H$55="",0,$H$55)</f>
        <v>0</v>
      </c>
      <c r="H80" s="455"/>
      <c r="I80" s="455"/>
      <c r="J80" s="455"/>
      <c r="K80" s="455"/>
      <c r="L80" s="455"/>
      <c r="M80" s="455"/>
      <c r="N80" s="455"/>
      <c r="O80" s="105"/>
    </row>
    <row r="81" spans="1:15" hidden="1" outlineLevel="1" x14ac:dyDescent="0.3">
      <c r="A81" s="98"/>
      <c r="B81" s="104" t="str">
        <f>IF($I$16="","",$I$16)</f>
        <v>Prozess 7</v>
      </c>
      <c r="C81" s="455">
        <f>IF($I$55="",0,$I$55)</f>
        <v>0</v>
      </c>
      <c r="D81" s="455">
        <f t="shared" ref="D81:G81" si="30">IF($I$55="",0,$I$55)</f>
        <v>0</v>
      </c>
      <c r="E81" s="455">
        <f t="shared" si="30"/>
        <v>0</v>
      </c>
      <c r="F81" s="455">
        <f t="shared" si="30"/>
        <v>0</v>
      </c>
      <c r="G81" s="455">
        <f t="shared" si="30"/>
        <v>0</v>
      </c>
      <c r="H81" s="455">
        <f>IF($I$55="",0,$I$55)</f>
        <v>0</v>
      </c>
      <c r="I81" s="455"/>
      <c r="J81" s="455"/>
      <c r="K81" s="455"/>
      <c r="L81" s="455"/>
      <c r="M81" s="455"/>
      <c r="N81" s="455"/>
      <c r="O81" s="105"/>
    </row>
    <row r="82" spans="1:15" hidden="1" outlineLevel="1" x14ac:dyDescent="0.3">
      <c r="A82" s="98"/>
      <c r="B82" s="104" t="str">
        <f>IF($J$16="","",$J$16)</f>
        <v>Prozess 8</v>
      </c>
      <c r="C82" s="455">
        <f>IF($J$55="",0,$J$55)</f>
        <v>0</v>
      </c>
      <c r="D82" s="455">
        <f t="shared" ref="D82:H82" si="31">IF($J$55="",0,$J$55)</f>
        <v>0</v>
      </c>
      <c r="E82" s="455">
        <f t="shared" si="31"/>
        <v>0</v>
      </c>
      <c r="F82" s="455">
        <f t="shared" si="31"/>
        <v>0</v>
      </c>
      <c r="G82" s="455">
        <f t="shared" si="31"/>
        <v>0</v>
      </c>
      <c r="H82" s="455">
        <f t="shared" si="31"/>
        <v>0</v>
      </c>
      <c r="I82" s="455">
        <f>IF($J$55="",0,$J$55)</f>
        <v>0</v>
      </c>
      <c r="J82" s="455"/>
      <c r="K82" s="455"/>
      <c r="L82" s="455"/>
      <c r="M82" s="455"/>
      <c r="N82" s="455"/>
      <c r="O82" s="105"/>
    </row>
    <row r="83" spans="1:15" hidden="1" outlineLevel="1" x14ac:dyDescent="0.3">
      <c r="A83" s="98"/>
      <c r="B83" s="104" t="str">
        <f>IF($K$16="","",$K$16)</f>
        <v>Prozess 9</v>
      </c>
      <c r="C83" s="455">
        <f>IF($K$55="",0,$K$55)</f>
        <v>0</v>
      </c>
      <c r="D83" s="455">
        <f t="shared" ref="D83:J83" si="32">IF($K$55="",0,$K$55)</f>
        <v>0</v>
      </c>
      <c r="E83" s="455">
        <f t="shared" si="32"/>
        <v>0</v>
      </c>
      <c r="F83" s="455">
        <f t="shared" si="32"/>
        <v>0</v>
      </c>
      <c r="G83" s="455">
        <f t="shared" si="32"/>
        <v>0</v>
      </c>
      <c r="H83" s="455">
        <f t="shared" si="32"/>
        <v>0</v>
      </c>
      <c r="I83" s="455">
        <f t="shared" si="32"/>
        <v>0</v>
      </c>
      <c r="J83" s="455">
        <f t="shared" si="32"/>
        <v>0</v>
      </c>
      <c r="K83" s="455"/>
      <c r="L83" s="455"/>
      <c r="M83" s="455"/>
      <c r="N83" s="455"/>
      <c r="O83" s="105"/>
    </row>
    <row r="84" spans="1:15" hidden="1" outlineLevel="1" x14ac:dyDescent="0.3">
      <c r="A84" s="98"/>
      <c r="B84" s="104" t="str">
        <f>IF($L$16="","",$L$16)</f>
        <v>Prozess 10</v>
      </c>
      <c r="C84" s="455">
        <f>IF($L$55="",0,$L$55)</f>
        <v>2.7725267800882167E-3</v>
      </c>
      <c r="D84" s="455">
        <f t="shared" ref="D84:K84" si="33">IF($L$55="",0,$L$55)</f>
        <v>2.7725267800882167E-3</v>
      </c>
      <c r="E84" s="455">
        <f t="shared" si="33"/>
        <v>2.7725267800882167E-3</v>
      </c>
      <c r="F84" s="455">
        <f t="shared" si="33"/>
        <v>2.7725267800882167E-3</v>
      </c>
      <c r="G84" s="455">
        <f t="shared" si="33"/>
        <v>2.7725267800882167E-3</v>
      </c>
      <c r="H84" s="455">
        <f t="shared" si="33"/>
        <v>2.7725267800882167E-3</v>
      </c>
      <c r="I84" s="455">
        <f t="shared" si="33"/>
        <v>2.7725267800882167E-3</v>
      </c>
      <c r="J84" s="455">
        <f t="shared" si="33"/>
        <v>2.7725267800882167E-3</v>
      </c>
      <c r="K84" s="455">
        <f t="shared" si="33"/>
        <v>2.7725267800882167E-3</v>
      </c>
      <c r="L84" s="455"/>
      <c r="M84" s="455"/>
      <c r="N84" s="455"/>
      <c r="O84" s="105"/>
    </row>
    <row r="85" spans="1:15" hidden="1" outlineLevel="1" x14ac:dyDescent="0.3">
      <c r="A85" s="98"/>
      <c r="B85" s="104" t="str">
        <f>IF($M$16="","",$M$16)</f>
        <v>Prozess 11</v>
      </c>
      <c r="C85" s="455">
        <f>IF($M$55="",0,$M$55)</f>
        <v>0</v>
      </c>
      <c r="D85" s="455">
        <f t="shared" ref="D85:L85" si="34">IF($M$55="",0,$M$55)</f>
        <v>0</v>
      </c>
      <c r="E85" s="455">
        <f t="shared" si="34"/>
        <v>0</v>
      </c>
      <c r="F85" s="455">
        <f t="shared" si="34"/>
        <v>0</v>
      </c>
      <c r="G85" s="455">
        <f t="shared" si="34"/>
        <v>0</v>
      </c>
      <c r="H85" s="455">
        <f t="shared" si="34"/>
        <v>0</v>
      </c>
      <c r="I85" s="455">
        <f t="shared" si="34"/>
        <v>0</v>
      </c>
      <c r="J85" s="455">
        <f t="shared" si="34"/>
        <v>0</v>
      </c>
      <c r="K85" s="455">
        <f t="shared" si="34"/>
        <v>0</v>
      </c>
      <c r="L85" s="455">
        <f t="shared" si="34"/>
        <v>0</v>
      </c>
      <c r="M85" s="455"/>
      <c r="N85" s="455"/>
      <c r="O85" s="105"/>
    </row>
    <row r="86" spans="1:15" hidden="1" outlineLevel="1" x14ac:dyDescent="0.3">
      <c r="A86" s="98"/>
      <c r="B86" s="104" t="str">
        <f>IF($N$16="","",$N$16)</f>
        <v>Prozess 12</v>
      </c>
      <c r="C86" s="455">
        <f>IF($N$55="",0,$N$55)</f>
        <v>0</v>
      </c>
      <c r="D86" s="455">
        <f t="shared" ref="D86:M86" si="35">IF($N$55="",0,$N$55)</f>
        <v>0</v>
      </c>
      <c r="E86" s="455">
        <f t="shared" si="35"/>
        <v>0</v>
      </c>
      <c r="F86" s="455">
        <f t="shared" si="35"/>
        <v>0</v>
      </c>
      <c r="G86" s="455">
        <f t="shared" si="35"/>
        <v>0</v>
      </c>
      <c r="H86" s="455">
        <f t="shared" si="35"/>
        <v>0</v>
      </c>
      <c r="I86" s="455">
        <f t="shared" si="35"/>
        <v>0</v>
      </c>
      <c r="J86" s="455">
        <f t="shared" si="35"/>
        <v>0</v>
      </c>
      <c r="K86" s="455">
        <f t="shared" si="35"/>
        <v>0</v>
      </c>
      <c r="L86" s="455">
        <f t="shared" si="35"/>
        <v>0</v>
      </c>
      <c r="M86" s="455">
        <f t="shared" si="35"/>
        <v>0</v>
      </c>
      <c r="N86" s="455"/>
      <c r="O86" s="105"/>
    </row>
    <row r="87" spans="1:15" s="96" customFormat="1" ht="8.5" thickBot="1" x14ac:dyDescent="0.25">
      <c r="A87" s="122"/>
      <c r="B87" s="123"/>
      <c r="C87" s="123"/>
      <c r="D87" s="123"/>
      <c r="E87" s="123"/>
      <c r="F87" s="123"/>
      <c r="G87" s="123"/>
      <c r="H87" s="123"/>
      <c r="I87" s="123"/>
      <c r="J87" s="123"/>
      <c r="K87" s="123"/>
      <c r="L87" s="123"/>
      <c r="M87" s="123"/>
      <c r="N87" s="123"/>
      <c r="O87" s="124"/>
    </row>
  </sheetData>
  <dataConsolidate/>
  <mergeCells count="9">
    <mergeCell ref="C10:D12"/>
    <mergeCell ref="C8:D8"/>
    <mergeCell ref="C5:H5"/>
    <mergeCell ref="C4:H4"/>
    <mergeCell ref="A1:O1"/>
    <mergeCell ref="C6:D6"/>
    <mergeCell ref="E6:H6"/>
    <mergeCell ref="C7:D7"/>
    <mergeCell ref="C2:E2"/>
  </mergeCells>
  <phoneticPr fontId="75" type="noConversion"/>
  <conditionalFormatting sqref="C56:C59 D59:N59 D57:N57">
    <cfRule type="cellIs" dxfId="68" priority="146" operator="greaterThan">
      <formula>1</formula>
    </cfRule>
  </conditionalFormatting>
  <conditionalFormatting sqref="C67">
    <cfRule type="cellIs" dxfId="67" priority="142" operator="lessThan">
      <formula>0</formula>
    </cfRule>
  </conditionalFormatting>
  <conditionalFormatting sqref="C65:C66">
    <cfRule type="cellIs" dxfId="66" priority="138" operator="equal">
      <formula>""</formula>
    </cfRule>
    <cfRule type="expression" dxfId="65" priority="139">
      <formula>C72&lt;=C65</formula>
    </cfRule>
    <cfRule type="expression" dxfId="64" priority="140">
      <formula>C69&lt;=C65</formula>
    </cfRule>
    <cfRule type="expression" dxfId="63" priority="141">
      <formula>C69&gt;C65</formula>
    </cfRule>
  </conditionalFormatting>
  <conditionalFormatting sqref="D56:N56 D58:N58">
    <cfRule type="cellIs" dxfId="62" priority="137" operator="greaterThan">
      <formula>1</formula>
    </cfRule>
  </conditionalFormatting>
  <conditionalFormatting sqref="D67:N67">
    <cfRule type="cellIs" dxfId="61" priority="134" operator="lessThan">
      <formula>0</formula>
    </cfRule>
  </conditionalFormatting>
  <conditionalFormatting sqref="D65:N66">
    <cfRule type="cellIs" dxfId="60" priority="130" operator="equal">
      <formula>""</formula>
    </cfRule>
    <cfRule type="expression" dxfId="59" priority="131">
      <formula>D72&lt;=D65</formula>
    </cfRule>
    <cfRule type="expression" dxfId="58" priority="132">
      <formula>D69&lt;=D65</formula>
    </cfRule>
    <cfRule type="expression" dxfId="57" priority="133">
      <formula>D69&gt;D65</formula>
    </cfRule>
  </conditionalFormatting>
  <conditionalFormatting sqref="B36 B56 D36 D49 D56">
    <cfRule type="expression" dxfId="56" priority="84">
      <formula>$D$56&lt;$D$36</formula>
    </cfRule>
  </conditionalFormatting>
  <conditionalFormatting sqref="B36:C36 C49 B56:C56">
    <cfRule type="expression" dxfId="55" priority="103">
      <formula>$C$56&lt;$C$36</formula>
    </cfRule>
  </conditionalFormatting>
  <conditionalFormatting sqref="B36 B56 E36 E49 E56">
    <cfRule type="expression" dxfId="54" priority="83">
      <formula>$E$56&lt;$E$36</formula>
    </cfRule>
  </conditionalFormatting>
  <conditionalFormatting sqref="B36 B56 F36 F49 F56">
    <cfRule type="expression" dxfId="53" priority="81">
      <formula>$F$56&lt;$F$36</formula>
    </cfRule>
  </conditionalFormatting>
  <conditionalFormatting sqref="B36 B56 G36 G49 G56">
    <cfRule type="expression" dxfId="52" priority="77">
      <formula>$G$56&lt;$G$36</formula>
    </cfRule>
  </conditionalFormatting>
  <conditionalFormatting sqref="B36 B56 H36 H49 H56">
    <cfRule type="expression" dxfId="51" priority="76">
      <formula>$H$56&lt;$H$36</formula>
    </cfRule>
  </conditionalFormatting>
  <conditionalFormatting sqref="B36 B56 I36 I49 I56">
    <cfRule type="expression" dxfId="50" priority="82">
      <formula>$I$56&lt;$I$36</formula>
    </cfRule>
  </conditionalFormatting>
  <conditionalFormatting sqref="B36 B56 K36 K49 K56">
    <cfRule type="expression" dxfId="49" priority="64">
      <formula>$K$56&lt;$K$36</formula>
    </cfRule>
  </conditionalFormatting>
  <conditionalFormatting sqref="B36 B56 L36 L49 L56">
    <cfRule type="expression" dxfId="48" priority="72">
      <formula>$L$56&lt;$L$36</formula>
    </cfRule>
  </conditionalFormatting>
  <conditionalFormatting sqref="B36 B56 M36 M49 M56">
    <cfRule type="expression" dxfId="47" priority="71">
      <formula>$M$56&lt;$M$36</formula>
    </cfRule>
  </conditionalFormatting>
  <conditionalFormatting sqref="B36 B56 N36 N49 N56">
    <cfRule type="expression" dxfId="46" priority="75">
      <formula>$N$56&lt;$N$36</formula>
    </cfRule>
  </conditionalFormatting>
  <conditionalFormatting sqref="B36 B56 J36 J49 J56">
    <cfRule type="expression" dxfId="45" priority="73">
      <formula>$J$56&lt;$J$36</formula>
    </cfRule>
  </conditionalFormatting>
  <conditionalFormatting sqref="M45:N45">
    <cfRule type="cellIs" dxfId="44" priority="11" operator="between">
      <formula>1</formula>
      <formula>60</formula>
    </cfRule>
  </conditionalFormatting>
  <conditionalFormatting sqref="C45:L45">
    <cfRule type="cellIs" dxfId="43" priority="10" operator="between">
      <formula>1</formula>
      <formula>60</formula>
    </cfRule>
  </conditionalFormatting>
  <conditionalFormatting sqref="M28:N28">
    <cfRule type="cellIs" dxfId="42" priority="8" operator="greaterThan">
      <formula>$C$6</formula>
    </cfRule>
  </conditionalFormatting>
  <conditionalFormatting sqref="C28">
    <cfRule type="cellIs" dxfId="41" priority="7" operator="greaterThan">
      <formula>$C$6</formula>
    </cfRule>
  </conditionalFormatting>
  <conditionalFormatting sqref="D28:L28">
    <cfRule type="cellIs" dxfId="40" priority="6" operator="greaterThan">
      <formula>$C$6</formula>
    </cfRule>
  </conditionalFormatting>
  <conditionalFormatting sqref="D34">
    <cfRule type="cellIs" dxfId="39" priority="5" operator="greaterThan">
      <formula>0.85</formula>
    </cfRule>
  </conditionalFormatting>
  <conditionalFormatting sqref="C34">
    <cfRule type="cellIs" dxfId="38" priority="4" operator="greaterThan">
      <formula>0.85</formula>
    </cfRule>
  </conditionalFormatting>
  <conditionalFormatting sqref="E34:F34">
    <cfRule type="cellIs" dxfId="37" priority="3" operator="greaterThan">
      <formula>0.85</formula>
    </cfRule>
  </conditionalFormatting>
  <conditionalFormatting sqref="G34">
    <cfRule type="cellIs" dxfId="36" priority="2" operator="greaterThan">
      <formula>0.85</formula>
    </cfRule>
  </conditionalFormatting>
  <conditionalFormatting sqref="H34:L34">
    <cfRule type="cellIs" dxfId="35" priority="1" operator="greaterThan">
      <formula>0.85</formula>
    </cfRule>
  </conditionalFormatting>
  <dataValidations count="13">
    <dataValidation type="whole" allowBlank="1" showInputMessage="1" showErrorMessage="1" error="Bitte geben Sie eine ganze Zahl ein" sqref="C20:L21 C29:N29" xr:uid="{45A811D1-1F51-424A-9F04-2B145A50AC29}">
      <formula1>0</formula1>
      <formula2>9999999</formula2>
    </dataValidation>
    <dataValidation type="whole" allowBlank="1" showInputMessage="1" showErrorMessage="1" sqref="D13" xr:uid="{00000000-0002-0000-0300-000001000000}">
      <formula1>1</formula1>
      <formula2>2</formula2>
    </dataValidation>
    <dataValidation allowBlank="1" showInputMessage="1" showErrorMessage="1" error="Bitte geben Sie eine ganze Zahl ein" sqref="C49:N49 C40:N41 B39:B42 L45:L48" xr:uid="{00000000-0002-0000-0300-000002000000}"/>
    <dataValidation type="decimal" allowBlank="1" showInputMessage="1" showErrorMessage="1" errorTitle="Umrechnung Stunden - Minuten" error="Bitte geben Sie eine positive Zahl ein._x000a_Es können ausschließlich positive Zahlen umgerechnet werden." sqref="F10:G10 H12" xr:uid="{00000000-0002-0000-0300-000003000000}">
      <formula1>0</formula1>
      <formula2>1000000</formula2>
    </dataValidation>
    <dataValidation allowBlank="1" showInputMessage="1" showErrorMessage="1" errorTitle="Umrechnung Stunden - Minuten" error="Bitte geben Sie eine positive Zahl ein._x000a_Es können ausschließlich positive Zahlen umgerechnet werden." sqref="E9:E12 F11:H11" xr:uid="{00000000-0002-0000-0300-000004000000}"/>
    <dataValidation type="time" allowBlank="1" showInputMessage="1" showErrorMessage="1" errorTitle="Umrechnung Zeit - Minuten" error="Bitte geben Sie eine gültige Zeit im Format [hh:mm:ss] ein." sqref="F12:G12" xr:uid="{00000000-0002-0000-0300-000005000000}">
      <formula1>0</formula1>
      <formula2>0.999988425925926</formula2>
    </dataValidation>
    <dataValidation type="decimal" allowBlank="1" showInputMessage="1" showErrorMessage="1" error="Bitte geben Sie eine %-Zahl zwischen 1% und 100% ein" sqref="C34:N34 C39:N39" xr:uid="{00000000-0002-0000-0300-000006000000}">
      <formula1>0</formula1>
      <formula2>1</formula2>
    </dataValidation>
    <dataValidation type="whole" allowBlank="1" showInputMessage="1" showErrorMessage="1" error="Bitte geben Sie eine ganze Zahl ein" sqref="C35:N35 C51:N53 C60:N60 C45:K48 M45:N48" xr:uid="{00000000-0002-0000-0300-000007000000}">
      <formula1>0</formula1>
      <formula2>999999</formula2>
    </dataValidation>
    <dataValidation type="decimal" allowBlank="1" showInputMessage="1" showErrorMessage="1" error="Bitte geben Sie eine Zahl ein" sqref="C27:N28" xr:uid="{27E9AB42-4523-4AFB-B06B-996506E799F9}">
      <formula1>0</formula1>
      <formula2>9999999</formula2>
    </dataValidation>
    <dataValidation allowBlank="1" showInputMessage="1" showErrorMessage="1" error="Bitte geben Sie eine %-Zahl zwischen 1% und 100% ein" sqref="C42:N42" xr:uid="{00000000-0002-0000-0300-00000A000000}"/>
    <dataValidation type="whole" operator="greaterThan" allowBlank="1" showInputMessage="1" showErrorMessage="1" error="Bitte geben Sie eine ganze Zahl &gt;0 ein" sqref="M20:N21" xr:uid="{D23123EC-358D-4DDE-A537-9840F982E481}">
      <formula1>0</formula1>
    </dataValidation>
    <dataValidation type="decimal" operator="greaterThanOrEqual" allowBlank="1" showInputMessage="1" showErrorMessage="1" error="Bitte geben Sie eine %-Zahl größer 0 ein." sqref="C24:N24 M22:N22" xr:uid="{F9B1F040-88BC-4A03-8594-481F143076C2}">
      <formula1>0</formula1>
    </dataValidation>
    <dataValidation type="decimal" operator="greaterThanOrEqual" allowBlank="1" showInputMessage="1" showErrorMessage="1" error="Bitte geben Sie eine %-Zahl größer 0 ein" sqref="C22:L22" xr:uid="{798C1458-8332-460E-B0D4-2BF87DA31E5F}">
      <formula1>0</formula1>
    </dataValidation>
  </dataValidations>
  <printOptions horizontalCentered="1"/>
  <pageMargins left="0.70866141732283472" right="0.70866141732283472" top="0.9055118110236221" bottom="0.78740157480314965" header="0.31496062992125984" footer="0.31496062992125984"/>
  <pageSetup paperSize="9" scale="43" orientation="landscape" r:id="rId1"/>
  <headerFooter>
    <oddHeader>&amp;L&amp;"Calibri"&amp;10&amp;K000000 INTERNAL&amp;1#_x000D_&amp;"Arial"&amp;11&amp;K000000&amp;"Arial"&amp;11&amp;K000000
&amp;"Calibri,Standard"Kapazitätsplanung und abnahme
&amp;A&amp;R&amp;G</oddHeader>
    <oddFooter>&amp;L&amp;"Audi Type,Standard"&amp;8&amp;F_x000D_&amp;1#&amp;"Calibri"&amp;10&amp;K000000 Internal&amp;C&amp;"Audi Type,Standard"&amp;8&amp;P von &amp;N&amp;R&amp;"Audi Type,Standard"&amp;8&amp;D</oddFooter>
  </headerFooter>
  <drawing r:id="rId2"/>
  <legacyDrawing r:id="rId3"/>
  <legacyDrawingHF r:id="rId4"/>
  <controls>
    <mc:AlternateContent xmlns:mc="http://schemas.openxmlformats.org/markup-compatibility/2006">
      <mc:Choice Requires="x14">
        <control shapeId="35858" r:id="rId5" name="CommandButton1">
          <controlPr defaultSize="0" autoLine="0" r:id="rId6">
            <anchor moveWithCells="1">
              <from>
                <xdr:col>11</xdr:col>
                <xdr:colOff>825500</xdr:colOff>
                <xdr:row>10</xdr:row>
                <xdr:rowOff>190500</xdr:rowOff>
              </from>
              <to>
                <xdr:col>15</xdr:col>
                <xdr:colOff>457200</xdr:colOff>
                <xdr:row>12</xdr:row>
                <xdr:rowOff>0</xdr:rowOff>
              </to>
            </anchor>
          </controlPr>
        </control>
      </mc:Choice>
      <mc:Fallback>
        <control shapeId="35858" r:id="rId5" name="CommandButton1"/>
      </mc:Fallback>
    </mc:AlternateContent>
    <mc:AlternateContent xmlns:mc="http://schemas.openxmlformats.org/markup-compatibility/2006">
      <mc:Choice Requires="x14">
        <control shapeId="35851" r:id="rId7" name="Option Button 11">
          <controlPr defaultSize="0" autoFill="0" autoLine="0" autoPict="0">
            <anchor moveWithCells="1">
              <from>
                <xdr:col>1</xdr:col>
                <xdr:colOff>438150</xdr:colOff>
                <xdr:row>9</xdr:row>
                <xdr:rowOff>184150</xdr:rowOff>
              </from>
              <to>
                <xdr:col>1</xdr:col>
                <xdr:colOff>1708150</xdr:colOff>
                <xdr:row>10</xdr:row>
                <xdr:rowOff>203200</xdr:rowOff>
              </to>
            </anchor>
          </controlPr>
        </control>
      </mc:Choice>
    </mc:AlternateContent>
    <mc:AlternateContent xmlns:mc="http://schemas.openxmlformats.org/markup-compatibility/2006">
      <mc:Choice Requires="x14">
        <control shapeId="35852" r:id="rId8" name="Option Button 12">
          <controlPr defaultSize="0" autoFill="0" autoLine="0" autoPict="0">
            <anchor moveWithCells="1">
              <from>
                <xdr:col>1</xdr:col>
                <xdr:colOff>1701800</xdr:colOff>
                <xdr:row>9</xdr:row>
                <xdr:rowOff>184150</xdr:rowOff>
              </from>
              <to>
                <xdr:col>11</xdr:col>
                <xdr:colOff>57150</xdr:colOff>
                <xdr:row>10</xdr:row>
                <xdr:rowOff>203200</xdr:rowOff>
              </to>
            </anchor>
          </controlPr>
        </control>
      </mc:Choice>
    </mc:AlternateContent>
    <mc:AlternateContent xmlns:mc="http://schemas.openxmlformats.org/markup-compatibility/2006">
      <mc:Choice Requires="x14">
        <control shapeId="35859" r:id="rId9" name="Button 19">
          <controlPr defaultSize="0" print="0" autoFill="0" autoPict="0" macro="[0]!PlanungUebertragen">
            <anchor moveWithCells="1" sizeWithCells="1">
              <from>
                <xdr:col>6</xdr:col>
                <xdr:colOff>31750</xdr:colOff>
                <xdr:row>1</xdr:row>
                <xdr:rowOff>120650</xdr:rowOff>
              </from>
              <to>
                <xdr:col>7</xdr:col>
                <xdr:colOff>1358900</xdr:colOff>
                <xdr:row>3</xdr:row>
                <xdr:rowOff>69850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8">
    <outlinePr summaryBelow="0" summaryRight="0"/>
    <pageSetUpPr fitToPage="1"/>
  </sheetPr>
  <dimension ref="A1:Z70"/>
  <sheetViews>
    <sheetView topLeftCell="H36" zoomScale="85" zoomScaleNormal="85" workbookViewId="0">
      <selection activeCell="B3" sqref="B3"/>
    </sheetView>
  </sheetViews>
  <sheetFormatPr defaultColWidth="11" defaultRowHeight="13" outlineLevelRow="1" outlineLevelCol="1" x14ac:dyDescent="0.3"/>
  <cols>
    <col min="1" max="1" width="2.58203125" style="89" customWidth="1"/>
    <col min="2" max="2" width="47.6640625" style="89" customWidth="1"/>
    <col min="3" max="4" width="22.1640625" style="89" customWidth="1"/>
    <col min="5" max="5" width="26.6640625" style="89" bestFit="1" customWidth="1"/>
    <col min="6" max="6" width="26.08203125" style="89" bestFit="1" customWidth="1"/>
    <col min="7" max="9" width="22.1640625" style="89" customWidth="1"/>
    <col min="10" max="10" width="26.33203125" style="89" bestFit="1" customWidth="1"/>
    <col min="11" max="11" width="22.1640625" style="89" customWidth="1"/>
    <col min="12" max="12" width="22.1640625" style="89" customWidth="1" collapsed="1"/>
    <col min="13" max="14" width="22.1640625" style="89" hidden="1" customWidth="1" outlineLevel="1"/>
    <col min="15" max="15" width="2.58203125" style="89" customWidth="1"/>
    <col min="16" max="27" width="11" style="89"/>
    <col min="28" max="28" width="69.4140625" style="89" customWidth="1"/>
    <col min="29" max="16384" width="11" style="89"/>
  </cols>
  <sheetData>
    <row r="1" spans="1:26" ht="35.5" thickBot="1" x14ac:dyDescent="0.75">
      <c r="A1" s="579" t="s">
        <v>151</v>
      </c>
      <c r="B1" s="579"/>
      <c r="C1" s="579"/>
      <c r="D1" s="579"/>
      <c r="E1" s="579"/>
      <c r="F1" s="579"/>
      <c r="G1" s="579"/>
      <c r="H1" s="579"/>
      <c r="I1" s="579"/>
      <c r="J1" s="579"/>
      <c r="K1" s="579"/>
      <c r="L1" s="579"/>
      <c r="M1" s="579"/>
      <c r="N1" s="579"/>
      <c r="O1" s="579"/>
      <c r="Z1" s="100"/>
    </row>
    <row r="2" spans="1:26" ht="25.5" x14ac:dyDescent="0.55000000000000004">
      <c r="A2" s="90"/>
      <c r="B2" s="91" t="s">
        <v>152</v>
      </c>
      <c r="C2" s="92"/>
      <c r="D2" s="92"/>
      <c r="E2" s="93"/>
      <c r="F2" s="92"/>
      <c r="G2" s="92"/>
      <c r="H2" s="92"/>
      <c r="I2" s="92"/>
      <c r="J2" s="92"/>
      <c r="K2" s="92"/>
      <c r="L2" s="92"/>
      <c r="M2" s="92"/>
      <c r="N2" s="92"/>
      <c r="O2" s="94"/>
    </row>
    <row r="3" spans="1:26" s="96" customFormat="1" ht="8" x14ac:dyDescent="0.2">
      <c r="A3" s="95"/>
      <c r="O3" s="97"/>
    </row>
    <row r="4" spans="1:26" ht="14" x14ac:dyDescent="0.3">
      <c r="A4" s="98"/>
      <c r="B4" s="101" t="s">
        <v>96</v>
      </c>
      <c r="C4" s="578" t="str">
        <f>Datasheet!C11</f>
        <v>85D 407 621/85D 407 621 A</v>
      </c>
      <c r="D4" s="578"/>
      <c r="E4" s="578"/>
      <c r="F4" s="578"/>
      <c r="G4" s="578"/>
      <c r="H4" s="578"/>
      <c r="I4" s="250"/>
      <c r="J4" s="250"/>
      <c r="K4" s="250"/>
      <c r="L4" s="250"/>
      <c r="M4" s="250"/>
      <c r="N4" s="250"/>
      <c r="O4" s="99"/>
    </row>
    <row r="5" spans="1:26" ht="14" x14ac:dyDescent="0.3">
      <c r="A5" s="98"/>
      <c r="B5" s="102" t="s">
        <v>97</v>
      </c>
      <c r="C5" s="577" t="str">
        <f>Datasheet!C12</f>
        <v>Wheel Bearing</v>
      </c>
      <c r="D5" s="577"/>
      <c r="E5" s="577"/>
      <c r="F5" s="577"/>
      <c r="G5" s="577"/>
      <c r="H5" s="577"/>
      <c r="I5" s="251"/>
      <c r="J5" s="251"/>
      <c r="K5" s="251"/>
      <c r="L5" s="251"/>
      <c r="M5" s="251"/>
      <c r="N5" s="251"/>
      <c r="O5" s="99"/>
    </row>
    <row r="6" spans="1:26" ht="14" x14ac:dyDescent="0.3">
      <c r="A6" s="98"/>
      <c r="B6" s="103" t="s">
        <v>122</v>
      </c>
      <c r="C6" s="580">
        <f>'Capacity overview'!D6</f>
        <v>12</v>
      </c>
      <c r="D6" s="580"/>
      <c r="E6" s="581" t="str">
        <f>IF(MAX(C26:N26)&gt;C6,"The number of shifts is higher than nominated number of shifts/week!","")</f>
        <v/>
      </c>
      <c r="F6" s="581"/>
      <c r="G6" s="581"/>
      <c r="H6" s="581"/>
      <c r="I6" s="252"/>
      <c r="J6" s="252"/>
      <c r="K6" s="252"/>
      <c r="L6" s="252"/>
      <c r="M6" s="252"/>
      <c r="N6" s="252"/>
      <c r="O6" s="99"/>
    </row>
    <row r="7" spans="1:26" ht="14" x14ac:dyDescent="0.3">
      <c r="A7" s="98"/>
      <c r="B7" s="125" t="s">
        <v>455</v>
      </c>
      <c r="C7" s="576">
        <f>IF('Capacity overview'!$I$7=1,'Capacity overview'!I22,'Capacity overview'!I21)</f>
        <v>16016</v>
      </c>
      <c r="D7" s="576"/>
      <c r="E7" s="263"/>
      <c r="F7" s="263"/>
      <c r="G7" s="263"/>
      <c r="H7" s="152"/>
      <c r="I7" s="253"/>
      <c r="J7" s="253"/>
      <c r="K7" s="253"/>
      <c r="L7" s="253"/>
      <c r="M7" s="253"/>
      <c r="N7" s="253"/>
      <c r="O7" s="99"/>
    </row>
    <row r="8" spans="1:26" x14ac:dyDescent="0.3">
      <c r="A8" s="98"/>
      <c r="B8" s="15"/>
      <c r="C8" s="465"/>
      <c r="D8" s="465"/>
      <c r="E8" s="264"/>
      <c r="F8" s="265"/>
      <c r="G8" s="265"/>
      <c r="H8" s="153"/>
      <c r="I8" s="153"/>
      <c r="J8" s="153"/>
      <c r="K8" s="153"/>
      <c r="L8" s="153"/>
      <c r="M8" s="153"/>
      <c r="N8" s="153"/>
      <c r="O8" s="105"/>
    </row>
    <row r="9" spans="1:26" ht="18" x14ac:dyDescent="0.4">
      <c r="A9" s="98"/>
      <c r="B9" s="15"/>
      <c r="C9" s="573"/>
      <c r="D9" s="575"/>
      <c r="E9" s="266"/>
      <c r="F9" s="267"/>
      <c r="G9" s="268"/>
      <c r="H9" s="269"/>
      <c r="I9" s="153"/>
      <c r="J9" s="153"/>
      <c r="K9" s="153"/>
      <c r="L9" s="153"/>
      <c r="M9" s="153"/>
      <c r="N9" s="153"/>
      <c r="O9" s="116"/>
    </row>
    <row r="10" spans="1:26" x14ac:dyDescent="0.3">
      <c r="A10" s="98"/>
      <c r="B10" s="219"/>
      <c r="C10" s="575"/>
      <c r="D10" s="575"/>
      <c r="E10" s="266"/>
      <c r="F10" s="270"/>
      <c r="G10" s="271"/>
      <c r="H10" s="271"/>
      <c r="I10" s="153"/>
      <c r="J10" s="153"/>
      <c r="K10" s="153"/>
      <c r="L10" s="153"/>
      <c r="M10" s="153"/>
      <c r="N10" s="153"/>
      <c r="O10" s="105"/>
    </row>
    <row r="11" spans="1:26" ht="18" x14ac:dyDescent="0.4">
      <c r="A11" s="98"/>
      <c r="B11" s="15"/>
      <c r="C11" s="575"/>
      <c r="D11" s="575"/>
      <c r="E11" s="266"/>
      <c r="F11" s="272"/>
      <c r="G11" s="272"/>
      <c r="H11" s="268"/>
      <c r="I11" s="153"/>
      <c r="J11" s="153"/>
      <c r="K11" s="153"/>
      <c r="L11" s="153"/>
      <c r="M11" s="153"/>
      <c r="N11" s="153"/>
      <c r="O11" s="116"/>
      <c r="Q11" s="140"/>
    </row>
    <row r="12" spans="1:26" s="96" customFormat="1" ht="8.5" thickBot="1" x14ac:dyDescent="0.25">
      <c r="A12" s="122"/>
      <c r="B12" s="144"/>
      <c r="C12" s="220"/>
      <c r="D12" s="331">
        <f>'Capacity Calculation'!$D$13</f>
        <v>1</v>
      </c>
      <c r="G12" s="123"/>
      <c r="H12" s="155"/>
      <c r="I12" s="155"/>
      <c r="J12" s="155"/>
      <c r="K12" s="155"/>
      <c r="L12" s="155"/>
      <c r="M12" s="155"/>
      <c r="N12" s="155"/>
      <c r="O12" s="124"/>
    </row>
    <row r="13" spans="1:26" ht="18" x14ac:dyDescent="0.4">
      <c r="A13" s="90"/>
      <c r="B13" s="91" t="s">
        <v>153</v>
      </c>
      <c r="C13" s="92"/>
      <c r="D13" s="92"/>
      <c r="E13" s="92"/>
      <c r="F13" s="92"/>
      <c r="K13" s="92"/>
      <c r="L13" s="92"/>
      <c r="M13" s="92"/>
      <c r="N13" s="92"/>
      <c r="O13" s="94"/>
    </row>
    <row r="14" spans="1:26" s="96" customFormat="1" ht="8" x14ac:dyDescent="0.2">
      <c r="A14" s="95"/>
      <c r="O14" s="97"/>
    </row>
    <row r="15" spans="1:26" x14ac:dyDescent="0.3">
      <c r="A15" s="98"/>
      <c r="B15" s="107"/>
      <c r="C15" s="453" t="s">
        <v>472</v>
      </c>
      <c r="D15" s="453" t="s">
        <v>473</v>
      </c>
      <c r="E15" s="453" t="s">
        <v>474</v>
      </c>
      <c r="F15" s="453" t="s">
        <v>475</v>
      </c>
      <c r="G15" s="453" t="s">
        <v>476</v>
      </c>
      <c r="H15" s="453" t="s">
        <v>477</v>
      </c>
      <c r="I15" s="453" t="s">
        <v>478</v>
      </c>
      <c r="J15" s="453" t="s">
        <v>479</v>
      </c>
      <c r="K15" s="453" t="s">
        <v>480</v>
      </c>
      <c r="L15" s="453" t="s">
        <v>481</v>
      </c>
      <c r="M15" s="453" t="s">
        <v>482</v>
      </c>
      <c r="N15" s="453" t="s">
        <v>483</v>
      </c>
      <c r="O15" s="105"/>
    </row>
    <row r="16" spans="1:26" ht="18" x14ac:dyDescent="0.4">
      <c r="A16" s="98"/>
      <c r="B16" s="120" t="s">
        <v>154</v>
      </c>
      <c r="C16" s="113"/>
      <c r="D16" s="113"/>
      <c r="E16" s="113"/>
      <c r="F16" s="113"/>
      <c r="G16" s="113"/>
      <c r="H16" s="114"/>
      <c r="I16" s="113"/>
      <c r="J16" s="114"/>
      <c r="K16" s="113"/>
      <c r="L16" s="114"/>
      <c r="M16" s="113"/>
      <c r="N16" s="114"/>
      <c r="O16" s="116"/>
    </row>
    <row r="17" spans="1:16" ht="26" x14ac:dyDescent="0.3">
      <c r="A17" s="98"/>
      <c r="B17" s="159" t="s">
        <v>155</v>
      </c>
      <c r="C17" s="499" t="s">
        <v>500</v>
      </c>
      <c r="D17" s="500" t="s">
        <v>501</v>
      </c>
      <c r="E17" s="499" t="s">
        <v>502</v>
      </c>
      <c r="F17" s="501" t="s">
        <v>503</v>
      </c>
      <c r="G17" s="500" t="s">
        <v>504</v>
      </c>
      <c r="H17" s="500" t="s">
        <v>505</v>
      </c>
      <c r="I17" s="500" t="s">
        <v>506</v>
      </c>
      <c r="J17" s="500" t="s">
        <v>507</v>
      </c>
      <c r="K17" s="500" t="s">
        <v>508</v>
      </c>
      <c r="L17" s="500" t="s">
        <v>509</v>
      </c>
      <c r="M17" s="314"/>
      <c r="N17" s="314"/>
      <c r="O17" s="105"/>
    </row>
    <row r="18" spans="1:16" x14ac:dyDescent="0.3">
      <c r="A18" s="98"/>
      <c r="B18" s="160" t="s">
        <v>156</v>
      </c>
      <c r="C18" s="502" t="s">
        <v>510</v>
      </c>
      <c r="D18" s="502" t="s">
        <v>511</v>
      </c>
      <c r="E18" s="502" t="s">
        <v>511</v>
      </c>
      <c r="F18" s="502" t="s">
        <v>511</v>
      </c>
      <c r="G18" s="502"/>
      <c r="H18" s="503"/>
      <c r="I18" s="502"/>
      <c r="J18" s="502"/>
      <c r="K18" s="502"/>
      <c r="L18" s="502"/>
      <c r="M18" s="458"/>
      <c r="N18" s="458"/>
      <c r="O18" s="105"/>
    </row>
    <row r="19" spans="1:16" ht="42.5" customHeight="1" x14ac:dyDescent="0.3">
      <c r="A19" s="98"/>
      <c r="B19" s="161" t="s">
        <v>157</v>
      </c>
      <c r="C19" s="481"/>
      <c r="D19" s="481">
        <v>1</v>
      </c>
      <c r="E19" s="504">
        <v>2</v>
      </c>
      <c r="F19" s="505">
        <v>3</v>
      </c>
      <c r="G19" s="481">
        <v>1</v>
      </c>
      <c r="H19" s="481">
        <v>1</v>
      </c>
      <c r="I19" s="481">
        <v>1</v>
      </c>
      <c r="J19" s="506">
        <v>2</v>
      </c>
      <c r="K19" s="507">
        <v>1</v>
      </c>
      <c r="L19" s="481">
        <v>1</v>
      </c>
      <c r="M19" s="481"/>
      <c r="N19" s="481"/>
      <c r="O19" s="105"/>
    </row>
    <row r="20" spans="1:16" x14ac:dyDescent="0.3">
      <c r="A20" s="98"/>
      <c r="B20" s="161" t="s">
        <v>160</v>
      </c>
      <c r="C20" s="482">
        <v>1250</v>
      </c>
      <c r="D20" s="482"/>
      <c r="E20" s="482"/>
      <c r="F20" s="482"/>
      <c r="G20" s="482">
        <v>1</v>
      </c>
      <c r="H20" s="482">
        <v>1</v>
      </c>
      <c r="I20" s="482">
        <v>1</v>
      </c>
      <c r="J20" s="481">
        <v>2</v>
      </c>
      <c r="K20" s="482">
        <v>2</v>
      </c>
      <c r="L20" s="482">
        <v>1</v>
      </c>
      <c r="M20" s="482"/>
      <c r="N20" s="482"/>
      <c r="O20" s="105"/>
    </row>
    <row r="21" spans="1:16" x14ac:dyDescent="0.3">
      <c r="A21" s="98"/>
      <c r="B21" s="161" t="s">
        <v>158</v>
      </c>
      <c r="C21" s="200">
        <v>1</v>
      </c>
      <c r="D21" s="200">
        <v>1</v>
      </c>
      <c r="E21" s="200">
        <v>1</v>
      </c>
      <c r="F21" s="200">
        <v>1</v>
      </c>
      <c r="G21" s="200">
        <v>1</v>
      </c>
      <c r="H21" s="200">
        <v>1</v>
      </c>
      <c r="I21" s="200">
        <v>1</v>
      </c>
      <c r="J21" s="200">
        <v>1</v>
      </c>
      <c r="K21" s="200">
        <v>1</v>
      </c>
      <c r="L21" s="200">
        <v>1</v>
      </c>
      <c r="M21" s="200"/>
      <c r="N21" s="200"/>
      <c r="O21" s="105"/>
    </row>
    <row r="22" spans="1:16" ht="52" x14ac:dyDescent="0.3">
      <c r="A22" s="98"/>
      <c r="B22" s="161" t="s">
        <v>159</v>
      </c>
      <c r="C22" s="508"/>
      <c r="D22" s="508" t="s">
        <v>512</v>
      </c>
      <c r="E22" s="508" t="s">
        <v>513</v>
      </c>
      <c r="F22" s="509" t="s">
        <v>514</v>
      </c>
      <c r="G22" s="508" t="s">
        <v>515</v>
      </c>
      <c r="H22" s="510" t="s">
        <v>516</v>
      </c>
      <c r="I22" s="508"/>
      <c r="J22" s="508" t="s">
        <v>517</v>
      </c>
      <c r="K22" s="508"/>
      <c r="L22" s="508"/>
      <c r="M22" s="370"/>
      <c r="N22" s="370"/>
      <c r="O22" s="105"/>
    </row>
    <row r="23" spans="1:16" s="96" customFormat="1" ht="8" x14ac:dyDescent="0.2">
      <c r="A23" s="95"/>
      <c r="B23" s="108"/>
      <c r="C23" s="126"/>
      <c r="D23" s="126"/>
      <c r="E23" s="126"/>
      <c r="F23" s="126"/>
      <c r="G23" s="126"/>
      <c r="H23" s="127"/>
      <c r="I23" s="126"/>
      <c r="J23" s="126"/>
      <c r="K23" s="126"/>
      <c r="L23" s="126"/>
      <c r="M23" s="126"/>
      <c r="N23" s="127"/>
      <c r="O23" s="97"/>
    </row>
    <row r="24" spans="1:16" ht="18" x14ac:dyDescent="0.4">
      <c r="A24" s="98"/>
      <c r="B24" s="120" t="s">
        <v>161</v>
      </c>
      <c r="C24" s="128"/>
      <c r="D24" s="128"/>
      <c r="E24" s="128"/>
      <c r="F24" s="128"/>
      <c r="G24" s="128"/>
      <c r="H24" s="129"/>
      <c r="I24" s="128"/>
      <c r="J24" s="128"/>
      <c r="K24" s="128"/>
      <c r="L24" s="128"/>
      <c r="M24" s="128"/>
      <c r="N24" s="129"/>
      <c r="O24" s="116"/>
    </row>
    <row r="25" spans="1:16" x14ac:dyDescent="0.3">
      <c r="A25" s="98"/>
      <c r="B25" s="162" t="s">
        <v>162</v>
      </c>
      <c r="C25" s="483">
        <v>2</v>
      </c>
      <c r="D25" s="483">
        <v>2</v>
      </c>
      <c r="E25" s="483">
        <v>2</v>
      </c>
      <c r="F25" s="483">
        <v>2</v>
      </c>
      <c r="G25" s="483">
        <v>2</v>
      </c>
      <c r="H25" s="483">
        <v>2</v>
      </c>
      <c r="I25" s="483">
        <v>2</v>
      </c>
      <c r="J25" s="483">
        <v>2</v>
      </c>
      <c r="K25" s="483">
        <v>2</v>
      </c>
      <c r="L25" s="483">
        <v>2</v>
      </c>
      <c r="M25" s="483"/>
      <c r="N25" s="483"/>
      <c r="O25" s="105"/>
    </row>
    <row r="26" spans="1:16" x14ac:dyDescent="0.3">
      <c r="A26" s="98"/>
      <c r="B26" s="163" t="s">
        <v>163</v>
      </c>
      <c r="C26" s="484">
        <v>12</v>
      </c>
      <c r="D26" s="484">
        <v>12</v>
      </c>
      <c r="E26" s="484">
        <v>12</v>
      </c>
      <c r="F26" s="484">
        <v>12</v>
      </c>
      <c r="G26" s="484">
        <v>12</v>
      </c>
      <c r="H26" s="484">
        <v>12</v>
      </c>
      <c r="I26" s="484">
        <v>12</v>
      </c>
      <c r="J26" s="484">
        <v>12</v>
      </c>
      <c r="K26" s="484">
        <v>12</v>
      </c>
      <c r="L26" s="484">
        <v>12</v>
      </c>
      <c r="M26" s="484"/>
      <c r="N26" s="484"/>
      <c r="O26" s="105"/>
    </row>
    <row r="27" spans="1:16" x14ac:dyDescent="0.3">
      <c r="A27" s="98"/>
      <c r="B27" s="163" t="s">
        <v>465</v>
      </c>
      <c r="C27" s="130">
        <v>660</v>
      </c>
      <c r="D27" s="130">
        <v>660</v>
      </c>
      <c r="E27" s="130">
        <v>660</v>
      </c>
      <c r="F27" s="130">
        <v>660</v>
      </c>
      <c r="G27" s="130">
        <v>660</v>
      </c>
      <c r="H27" s="130">
        <v>660</v>
      </c>
      <c r="I27" s="130">
        <v>660</v>
      </c>
      <c r="J27" s="130">
        <v>660</v>
      </c>
      <c r="K27" s="130">
        <v>660</v>
      </c>
      <c r="L27" s="130">
        <v>660</v>
      </c>
      <c r="M27" s="130"/>
      <c r="N27" s="130"/>
      <c r="O27" s="105"/>
    </row>
    <row r="28" spans="1:16" x14ac:dyDescent="0.3">
      <c r="A28" s="98"/>
      <c r="B28" s="110" t="s">
        <v>165</v>
      </c>
      <c r="C28" s="131">
        <f>IFERROR(IF(C27="","",C27/60),0)</f>
        <v>11</v>
      </c>
      <c r="D28" s="131">
        <f t="shared" ref="D28:N28" si="0">IFERROR(IF(D27="","",D27/60),0)</f>
        <v>11</v>
      </c>
      <c r="E28" s="131">
        <f t="shared" si="0"/>
        <v>11</v>
      </c>
      <c r="F28" s="131">
        <f t="shared" si="0"/>
        <v>11</v>
      </c>
      <c r="G28" s="131">
        <f t="shared" si="0"/>
        <v>11</v>
      </c>
      <c r="H28" s="132">
        <f t="shared" si="0"/>
        <v>11</v>
      </c>
      <c r="I28" s="131">
        <f t="shared" si="0"/>
        <v>11</v>
      </c>
      <c r="J28" s="131">
        <f t="shared" si="0"/>
        <v>11</v>
      </c>
      <c r="K28" s="131">
        <f t="shared" si="0"/>
        <v>11</v>
      </c>
      <c r="L28" s="131">
        <f t="shared" si="0"/>
        <v>11</v>
      </c>
      <c r="M28" s="131" t="str">
        <f t="shared" si="0"/>
        <v/>
      </c>
      <c r="N28" s="132" t="str">
        <f t="shared" si="0"/>
        <v/>
      </c>
      <c r="O28" s="105"/>
    </row>
    <row r="29" spans="1:16" x14ac:dyDescent="0.3">
      <c r="A29" s="98"/>
      <c r="B29" s="111" t="s">
        <v>166</v>
      </c>
      <c r="C29" s="342">
        <f>IFERROR(IF(C28="","",C28*C26),0)</f>
        <v>132</v>
      </c>
      <c r="D29" s="342">
        <f t="shared" ref="D29:N29" si="1">IFERROR(IF(D28="","",D28*D26),0)</f>
        <v>132</v>
      </c>
      <c r="E29" s="342">
        <f t="shared" si="1"/>
        <v>132</v>
      </c>
      <c r="F29" s="342">
        <f t="shared" si="1"/>
        <v>132</v>
      </c>
      <c r="G29" s="342">
        <f t="shared" si="1"/>
        <v>132</v>
      </c>
      <c r="H29" s="351">
        <f t="shared" si="1"/>
        <v>132</v>
      </c>
      <c r="I29" s="342">
        <f t="shared" si="1"/>
        <v>132</v>
      </c>
      <c r="J29" s="342">
        <f t="shared" si="1"/>
        <v>132</v>
      </c>
      <c r="K29" s="342">
        <f t="shared" si="1"/>
        <v>132</v>
      </c>
      <c r="L29" s="342">
        <f t="shared" si="1"/>
        <v>132</v>
      </c>
      <c r="M29" s="342" t="str">
        <f t="shared" si="1"/>
        <v/>
      </c>
      <c r="N29" s="351" t="str">
        <f t="shared" si="1"/>
        <v/>
      </c>
      <c r="O29" s="105"/>
    </row>
    <row r="30" spans="1:16" s="96" customFormat="1" ht="8" x14ac:dyDescent="0.2">
      <c r="A30" s="95"/>
      <c r="B30" s="108"/>
      <c r="C30" s="126"/>
      <c r="D30" s="126"/>
      <c r="E30" s="126"/>
      <c r="F30" s="126"/>
      <c r="G30" s="126"/>
      <c r="H30" s="127"/>
      <c r="I30" s="126"/>
      <c r="J30" s="126"/>
      <c r="K30" s="126"/>
      <c r="L30" s="126"/>
      <c r="M30" s="126"/>
      <c r="N30" s="127"/>
      <c r="O30" s="97"/>
    </row>
    <row r="31" spans="1:16" ht="18" x14ac:dyDescent="0.4">
      <c r="A31" s="98"/>
      <c r="B31" s="120" t="s">
        <v>167</v>
      </c>
      <c r="C31" s="128"/>
      <c r="D31" s="128"/>
      <c r="E31" s="128"/>
      <c r="F31" s="128"/>
      <c r="G31" s="128"/>
      <c r="H31" s="129"/>
      <c r="I31" s="128"/>
      <c r="J31" s="128"/>
      <c r="K31" s="128"/>
      <c r="L31" s="128"/>
      <c r="M31" s="128"/>
      <c r="N31" s="129"/>
      <c r="O31" s="116"/>
    </row>
    <row r="32" spans="1:16" x14ac:dyDescent="0.3">
      <c r="A32" s="98"/>
      <c r="B32" s="162" t="s">
        <v>220</v>
      </c>
      <c r="C32" s="511">
        <v>0.8</v>
      </c>
      <c r="D32" s="309">
        <v>0.73</v>
      </c>
      <c r="E32" s="309">
        <v>0.73</v>
      </c>
      <c r="F32" s="309">
        <v>0.73</v>
      </c>
      <c r="G32" s="309">
        <v>0.73</v>
      </c>
      <c r="H32" s="309">
        <v>0.73</v>
      </c>
      <c r="I32" s="309">
        <v>0.73</v>
      </c>
      <c r="J32" s="309">
        <v>0.73</v>
      </c>
      <c r="K32" s="309">
        <v>0.73</v>
      </c>
      <c r="L32" s="309">
        <v>0.73</v>
      </c>
      <c r="M32" s="459"/>
      <c r="N32" s="459"/>
      <c r="O32" s="105"/>
      <c r="P32" s="140"/>
    </row>
    <row r="33" spans="1:20" ht="26" outlineLevel="1" x14ac:dyDescent="0.3">
      <c r="A33" s="98"/>
      <c r="B33" s="171" t="s">
        <v>222</v>
      </c>
      <c r="C33" s="512">
        <v>60</v>
      </c>
      <c r="D33" s="512">
        <v>60</v>
      </c>
      <c r="E33" s="512">
        <v>60</v>
      </c>
      <c r="F33" s="512">
        <v>60</v>
      </c>
      <c r="G33" s="512">
        <v>60</v>
      </c>
      <c r="H33" s="512">
        <v>60</v>
      </c>
      <c r="I33" s="512">
        <v>60</v>
      </c>
      <c r="J33" s="512">
        <v>60</v>
      </c>
      <c r="K33" s="512">
        <v>60</v>
      </c>
      <c r="L33" s="512">
        <v>60</v>
      </c>
      <c r="M33" s="460"/>
      <c r="N33" s="460"/>
      <c r="O33" s="105"/>
    </row>
    <row r="34" spans="1:20" x14ac:dyDescent="0.3">
      <c r="A34" s="98"/>
      <c r="B34" s="109" t="s">
        <v>464</v>
      </c>
      <c r="C34" s="170">
        <f>IFERROR(C32*(C27+C33)/C27,"")</f>
        <v>0.87272727272727268</v>
      </c>
      <c r="D34" s="170">
        <f t="shared" ref="D34:N34" si="2">IFERROR(D32*(D27+D33)/D27,"")</f>
        <v>0.79636363636363638</v>
      </c>
      <c r="E34" s="170">
        <f t="shared" si="2"/>
        <v>0.79636363636363638</v>
      </c>
      <c r="F34" s="170">
        <f t="shared" si="2"/>
        <v>0.79636363636363638</v>
      </c>
      <c r="G34" s="170">
        <f t="shared" si="2"/>
        <v>0.79636363636363638</v>
      </c>
      <c r="H34" s="275">
        <f t="shared" si="2"/>
        <v>0.79636363636363638</v>
      </c>
      <c r="I34" s="170">
        <f t="shared" si="2"/>
        <v>0.79636363636363638</v>
      </c>
      <c r="J34" s="170">
        <f t="shared" si="2"/>
        <v>0.79636363636363638</v>
      </c>
      <c r="K34" s="170">
        <f t="shared" si="2"/>
        <v>0.79636363636363638</v>
      </c>
      <c r="L34" s="170">
        <f t="shared" si="2"/>
        <v>0.79636363636363638</v>
      </c>
      <c r="M34" s="275" t="str">
        <f t="shared" si="2"/>
        <v/>
      </c>
      <c r="N34" s="275" t="str">
        <f t="shared" si="2"/>
        <v/>
      </c>
      <c r="O34" s="105"/>
    </row>
    <row r="35" spans="1:20" x14ac:dyDescent="0.3">
      <c r="A35" s="98"/>
      <c r="B35" s="107" t="s">
        <v>168</v>
      </c>
      <c r="C35" s="343">
        <f>IF(C34="","",C29*C34)</f>
        <v>115.19999999999999</v>
      </c>
      <c r="D35" s="343">
        <f t="shared" ref="D35:N35" si="3">IF(D34="","",D29*D34)</f>
        <v>105.12</v>
      </c>
      <c r="E35" s="343">
        <f t="shared" si="3"/>
        <v>105.12</v>
      </c>
      <c r="F35" s="343">
        <f t="shared" si="3"/>
        <v>105.12</v>
      </c>
      <c r="G35" s="343">
        <f t="shared" si="3"/>
        <v>105.12</v>
      </c>
      <c r="H35" s="352">
        <f t="shared" si="3"/>
        <v>105.12</v>
      </c>
      <c r="I35" s="343">
        <f t="shared" si="3"/>
        <v>105.12</v>
      </c>
      <c r="J35" s="343">
        <f t="shared" si="3"/>
        <v>105.12</v>
      </c>
      <c r="K35" s="343">
        <f t="shared" si="3"/>
        <v>105.12</v>
      </c>
      <c r="L35" s="343">
        <f t="shared" si="3"/>
        <v>105.12</v>
      </c>
      <c r="M35" s="343" t="str">
        <f t="shared" si="3"/>
        <v/>
      </c>
      <c r="N35" s="352" t="str">
        <f t="shared" si="3"/>
        <v/>
      </c>
      <c r="O35" s="105"/>
    </row>
    <row r="36" spans="1:20" s="96" customFormat="1" x14ac:dyDescent="0.3">
      <c r="A36" s="95"/>
      <c r="B36" s="108"/>
      <c r="C36" s="165"/>
      <c r="D36" s="165"/>
      <c r="E36" s="165"/>
      <c r="F36" s="165"/>
      <c r="G36" s="165"/>
      <c r="H36" s="166"/>
      <c r="I36" s="165"/>
      <c r="J36" s="165"/>
      <c r="K36" s="165"/>
      <c r="L36" s="165"/>
      <c r="M36" s="165"/>
      <c r="N36" s="166"/>
      <c r="O36" s="97"/>
      <c r="P36" s="89"/>
      <c r="Q36" s="89"/>
      <c r="T36" s="89"/>
    </row>
    <row r="37" spans="1:20" x14ac:dyDescent="0.3">
      <c r="A37" s="98"/>
      <c r="B37" s="162" t="s">
        <v>253</v>
      </c>
      <c r="C37" s="513">
        <v>0.05</v>
      </c>
      <c r="D37" s="133">
        <v>0.45</v>
      </c>
      <c r="E37" s="133">
        <v>0.45</v>
      </c>
      <c r="F37" s="133">
        <v>0.45</v>
      </c>
      <c r="G37" s="133">
        <v>0.45</v>
      </c>
      <c r="H37" s="133">
        <v>0.45</v>
      </c>
      <c r="I37" s="133">
        <v>0.45</v>
      </c>
      <c r="J37" s="133">
        <v>0.45</v>
      </c>
      <c r="K37" s="133">
        <v>0.45</v>
      </c>
      <c r="L37" s="513">
        <v>0.45</v>
      </c>
      <c r="M37" s="451"/>
      <c r="N37" s="451"/>
      <c r="O37" s="105"/>
    </row>
    <row r="38" spans="1:20" x14ac:dyDescent="0.3">
      <c r="A38" s="98"/>
      <c r="B38" s="110" t="s">
        <v>169</v>
      </c>
      <c r="C38" s="344">
        <f>IFERROR(IF(C37="","",C35*C37),"")</f>
        <v>5.76</v>
      </c>
      <c r="D38" s="344">
        <f t="shared" ref="D38:N38" si="4">IFERROR(IF(D37="","",D35*D37),"")</f>
        <v>47.304000000000002</v>
      </c>
      <c r="E38" s="344">
        <f t="shared" si="4"/>
        <v>47.304000000000002</v>
      </c>
      <c r="F38" s="344">
        <f t="shared" si="4"/>
        <v>47.304000000000002</v>
      </c>
      <c r="G38" s="344">
        <f t="shared" si="4"/>
        <v>47.304000000000002</v>
      </c>
      <c r="H38" s="353">
        <f t="shared" si="4"/>
        <v>47.304000000000002</v>
      </c>
      <c r="I38" s="344">
        <f t="shared" si="4"/>
        <v>47.304000000000002</v>
      </c>
      <c r="J38" s="344">
        <f t="shared" si="4"/>
        <v>47.304000000000002</v>
      </c>
      <c r="K38" s="344">
        <f t="shared" si="4"/>
        <v>47.304000000000002</v>
      </c>
      <c r="L38" s="344">
        <f t="shared" si="4"/>
        <v>47.304000000000002</v>
      </c>
      <c r="M38" s="344" t="str">
        <f t="shared" si="4"/>
        <v/>
      </c>
      <c r="N38" s="353" t="str">
        <f t="shared" si="4"/>
        <v/>
      </c>
      <c r="O38" s="105"/>
    </row>
    <row r="39" spans="1:20" x14ac:dyDescent="0.3">
      <c r="A39" s="98"/>
      <c r="B39" s="110" t="s">
        <v>170</v>
      </c>
      <c r="C39" s="167">
        <f>IFERROR(IF(C37="","",1-C37),"")</f>
        <v>0.95</v>
      </c>
      <c r="D39" s="167">
        <f t="shared" ref="D39:N39" si="5">IFERROR(IF(D37="","",1-D37),"")</f>
        <v>0.55000000000000004</v>
      </c>
      <c r="E39" s="167">
        <f t="shared" si="5"/>
        <v>0.55000000000000004</v>
      </c>
      <c r="F39" s="167">
        <f t="shared" si="5"/>
        <v>0.55000000000000004</v>
      </c>
      <c r="G39" s="167">
        <f t="shared" si="5"/>
        <v>0.55000000000000004</v>
      </c>
      <c r="H39" s="175">
        <f t="shared" si="5"/>
        <v>0.55000000000000004</v>
      </c>
      <c r="I39" s="167">
        <f t="shared" si="5"/>
        <v>0.55000000000000004</v>
      </c>
      <c r="J39" s="167">
        <f t="shared" si="5"/>
        <v>0.55000000000000004</v>
      </c>
      <c r="K39" s="167">
        <f t="shared" si="5"/>
        <v>0.55000000000000004</v>
      </c>
      <c r="L39" s="167">
        <f t="shared" si="5"/>
        <v>0.55000000000000004</v>
      </c>
      <c r="M39" s="167" t="str">
        <f t="shared" si="5"/>
        <v/>
      </c>
      <c r="N39" s="175" t="str">
        <f t="shared" si="5"/>
        <v/>
      </c>
      <c r="O39" s="105"/>
    </row>
    <row r="40" spans="1:20" x14ac:dyDescent="0.3">
      <c r="A40" s="98"/>
      <c r="B40" s="111" t="s">
        <v>171</v>
      </c>
      <c r="C40" s="345">
        <f>IFERROR(IF(C39="","",C35*C39),"")</f>
        <v>109.43999999999998</v>
      </c>
      <c r="D40" s="345">
        <f>IFERROR(IF(D39="","",D35*D39),"")</f>
        <v>57.81600000000001</v>
      </c>
      <c r="E40" s="345">
        <f t="shared" ref="E40:N40" si="6">IFERROR(IF(E39="","",E35*E39),"")</f>
        <v>57.81600000000001</v>
      </c>
      <c r="F40" s="345">
        <f t="shared" si="6"/>
        <v>57.81600000000001</v>
      </c>
      <c r="G40" s="345">
        <f t="shared" si="6"/>
        <v>57.81600000000001</v>
      </c>
      <c r="H40" s="354">
        <f t="shared" si="6"/>
        <v>57.81600000000001</v>
      </c>
      <c r="I40" s="345">
        <f t="shared" si="6"/>
        <v>57.81600000000001</v>
      </c>
      <c r="J40" s="345">
        <f t="shared" si="6"/>
        <v>57.81600000000001</v>
      </c>
      <c r="K40" s="345">
        <f t="shared" si="6"/>
        <v>57.81600000000001</v>
      </c>
      <c r="L40" s="345">
        <f t="shared" si="6"/>
        <v>57.81600000000001</v>
      </c>
      <c r="M40" s="345" t="str">
        <f t="shared" si="6"/>
        <v/>
      </c>
      <c r="N40" s="354" t="str">
        <f t="shared" si="6"/>
        <v/>
      </c>
      <c r="O40" s="105"/>
    </row>
    <row r="41" spans="1:20" s="96" customFormat="1" ht="8" x14ac:dyDescent="0.2">
      <c r="A41" s="95"/>
      <c r="B41" s="108"/>
      <c r="C41" s="126"/>
      <c r="D41" s="126"/>
      <c r="E41" s="126"/>
      <c r="F41" s="126"/>
      <c r="G41" s="126"/>
      <c r="H41" s="127"/>
      <c r="I41" s="126"/>
      <c r="J41" s="126"/>
      <c r="K41" s="126"/>
      <c r="L41" s="126"/>
      <c r="M41" s="126"/>
      <c r="N41" s="127"/>
      <c r="O41" s="97"/>
    </row>
    <row r="42" spans="1:20" ht="18" x14ac:dyDescent="0.4">
      <c r="A42" s="98"/>
      <c r="B42" s="179" t="s">
        <v>172</v>
      </c>
      <c r="C42" s="128"/>
      <c r="D42" s="128"/>
      <c r="E42" s="128"/>
      <c r="F42" s="128"/>
      <c r="G42" s="128"/>
      <c r="H42" s="129"/>
      <c r="I42" s="128"/>
      <c r="J42" s="128"/>
      <c r="K42" s="128"/>
      <c r="L42" s="128"/>
      <c r="M42" s="128"/>
      <c r="N42" s="129"/>
      <c r="O42" s="116"/>
    </row>
    <row r="43" spans="1:20" ht="18" x14ac:dyDescent="0.4">
      <c r="A43" s="98"/>
      <c r="B43" s="162" t="s">
        <v>173</v>
      </c>
      <c r="C43" s="274">
        <v>600</v>
      </c>
      <c r="D43" s="274">
        <v>8.3000000000000007</v>
      </c>
      <c r="E43" s="514">
        <v>17</v>
      </c>
      <c r="F43" s="514">
        <v>25.5</v>
      </c>
      <c r="G43" s="274">
        <v>7.8</v>
      </c>
      <c r="H43" s="274">
        <v>7.8</v>
      </c>
      <c r="I43" s="274">
        <v>8.5</v>
      </c>
      <c r="J43" s="514">
        <v>32</v>
      </c>
      <c r="K43" s="514">
        <v>16.2</v>
      </c>
      <c r="L43" s="274">
        <v>8.5</v>
      </c>
      <c r="M43" s="274"/>
      <c r="N43" s="274"/>
      <c r="O43" s="116"/>
    </row>
    <row r="44" spans="1:20" ht="18" x14ac:dyDescent="0.4">
      <c r="A44" s="98"/>
      <c r="B44" s="162" t="s">
        <v>174</v>
      </c>
      <c r="C44" s="309">
        <v>0.98</v>
      </c>
      <c r="D44" s="309">
        <v>0.98</v>
      </c>
      <c r="E44" s="309">
        <v>0.97</v>
      </c>
      <c r="F44" s="515">
        <v>0.97</v>
      </c>
      <c r="G44" s="459">
        <v>0.98</v>
      </c>
      <c r="H44" s="459">
        <v>0.98</v>
      </c>
      <c r="I44" s="459">
        <v>0.98</v>
      </c>
      <c r="J44" s="459">
        <v>0.98</v>
      </c>
      <c r="K44" s="459">
        <v>0.98</v>
      </c>
      <c r="L44" s="459">
        <v>0.98</v>
      </c>
      <c r="M44" s="309"/>
      <c r="N44" s="309"/>
      <c r="O44" s="116"/>
    </row>
    <row r="45" spans="1:20" ht="18" x14ac:dyDescent="0.4">
      <c r="A45" s="98"/>
      <c r="B45" s="168" t="s">
        <v>175</v>
      </c>
      <c r="C45" s="273">
        <v>8.0000000000000004E-4</v>
      </c>
      <c r="D45" s="516">
        <v>8.0000000000000004E-4</v>
      </c>
      <c r="E45" s="273">
        <v>1.4E-3</v>
      </c>
      <c r="F45" s="273">
        <v>1.4E-3</v>
      </c>
      <c r="G45" s="516">
        <v>1.6000000000000001E-3</v>
      </c>
      <c r="H45" s="517">
        <v>1E-3</v>
      </c>
      <c r="I45" s="516">
        <v>1.5E-3</v>
      </c>
      <c r="J45" s="516">
        <v>1.6000000000000001E-3</v>
      </c>
      <c r="K45" s="516">
        <v>1E-3</v>
      </c>
      <c r="L45" s="516">
        <v>8.0000000000000004E-4</v>
      </c>
      <c r="M45" s="273"/>
      <c r="N45" s="273"/>
      <c r="O45" s="116"/>
    </row>
    <row r="46" spans="1:20" ht="18" x14ac:dyDescent="0.4">
      <c r="A46" s="98"/>
      <c r="B46" s="312" t="s">
        <v>176</v>
      </c>
      <c r="C46" s="313">
        <f>IF(C45&gt;0,C34*C44*(1-C45),"")</f>
        <v>0.854588509090909</v>
      </c>
      <c r="D46" s="313">
        <f>IF(D45&gt;0,D34*D44*(1-D45),"")</f>
        <v>0.77981201454545446</v>
      </c>
      <c r="E46" s="313">
        <f>IF(E45&gt;0,E34*E44*(1-E45),"")</f>
        <v>0.7713912654545455</v>
      </c>
      <c r="F46" s="313">
        <f t="shared" ref="F46:M46" si="7">IF(F45&gt;0,F34*F44*(1-F45),"")</f>
        <v>0.7713912654545455</v>
      </c>
      <c r="G46" s="313">
        <f t="shared" si="7"/>
        <v>0.77918766545454543</v>
      </c>
      <c r="H46" s="313">
        <f t="shared" si="7"/>
        <v>0.77965592727272726</v>
      </c>
      <c r="I46" s="313">
        <f t="shared" si="7"/>
        <v>0.77926570909090909</v>
      </c>
      <c r="J46" s="313">
        <f t="shared" si="7"/>
        <v>0.77918766545454543</v>
      </c>
      <c r="K46" s="313">
        <f t="shared" si="7"/>
        <v>0.77965592727272726</v>
      </c>
      <c r="L46" s="313">
        <f t="shared" si="7"/>
        <v>0.77981201454545446</v>
      </c>
      <c r="M46" s="313" t="str">
        <f t="shared" si="7"/>
        <v/>
      </c>
      <c r="N46" s="449" t="str">
        <f>IF(N45&gt;0,N34*N44*(1-N45),"")</f>
        <v/>
      </c>
      <c r="O46" s="116"/>
    </row>
    <row r="47" spans="1:20" x14ac:dyDescent="0.3">
      <c r="A47" s="98"/>
      <c r="B47" s="374" t="s">
        <v>177</v>
      </c>
      <c r="C47" s="375">
        <v>6</v>
      </c>
      <c r="D47" s="375">
        <v>1</v>
      </c>
      <c r="E47" s="375">
        <v>1</v>
      </c>
      <c r="F47" s="375">
        <v>1</v>
      </c>
      <c r="G47" s="375"/>
      <c r="H47" s="376"/>
      <c r="I47" s="375"/>
      <c r="J47" s="375"/>
      <c r="K47" s="375"/>
      <c r="L47" s="375"/>
      <c r="M47" s="375"/>
      <c r="N47" s="376"/>
      <c r="O47" s="105"/>
    </row>
    <row r="48" spans="1:20" s="96" customFormat="1" ht="8" x14ac:dyDescent="0.2">
      <c r="A48" s="95"/>
      <c r="B48" s="108"/>
      <c r="C48" s="126"/>
      <c r="D48" s="126"/>
      <c r="E48" s="126"/>
      <c r="F48" s="126"/>
      <c r="G48" s="126"/>
      <c r="H48" s="127"/>
      <c r="I48" s="126"/>
      <c r="J48" s="126"/>
      <c r="K48" s="126"/>
      <c r="L48" s="126"/>
      <c r="M48" s="126"/>
      <c r="N48" s="127"/>
      <c r="O48" s="97"/>
    </row>
    <row r="49" spans="1:15" ht="18" x14ac:dyDescent="0.4">
      <c r="A49" s="98"/>
      <c r="B49" s="120" t="s">
        <v>178</v>
      </c>
      <c r="C49" s="128"/>
      <c r="D49" s="128"/>
      <c r="E49" s="128"/>
      <c r="F49" s="128"/>
      <c r="G49" s="128"/>
      <c r="H49" s="129"/>
      <c r="I49" s="128"/>
      <c r="J49" s="128"/>
      <c r="K49" s="128"/>
      <c r="L49" s="128"/>
      <c r="M49" s="128"/>
      <c r="N49" s="129"/>
      <c r="O49" s="116"/>
    </row>
    <row r="50" spans="1:15" ht="15.65" customHeight="1" x14ac:dyDescent="0.3">
      <c r="A50" s="98"/>
      <c r="B50" s="109" t="s">
        <v>179</v>
      </c>
      <c r="C50" s="346">
        <f>IF(C51="","",C51/(C26*C37))</f>
        <v>70503.551999999996</v>
      </c>
      <c r="D50" s="346">
        <f t="shared" ref="D50:N50" si="8">IF(D51="","",D51/(D26*D37))</f>
        <v>3720.548888674698</v>
      </c>
      <c r="E50" s="346">
        <f t="shared" si="8"/>
        <v>3593.7757778823529</v>
      </c>
      <c r="F50" s="346">
        <f t="shared" si="8"/>
        <v>3593.7757778823529</v>
      </c>
      <c r="G50" s="346">
        <f t="shared" si="8"/>
        <v>3955.8758399999997</v>
      </c>
      <c r="H50" s="355">
        <f t="shared" si="8"/>
        <v>3958.2531692307684</v>
      </c>
      <c r="I50" s="346">
        <f t="shared" si="8"/>
        <v>3630.4614211764706</v>
      </c>
      <c r="J50" s="346">
        <f t="shared" si="8"/>
        <v>3856.9789439999995</v>
      </c>
      <c r="K50" s="346">
        <f t="shared" si="8"/>
        <v>3811.6511999999998</v>
      </c>
      <c r="L50" s="346">
        <f t="shared" si="8"/>
        <v>3633.0065618823533</v>
      </c>
      <c r="M50" s="346" t="str">
        <f t="shared" si="8"/>
        <v/>
      </c>
      <c r="N50" s="355" t="str">
        <f t="shared" si="8"/>
        <v/>
      </c>
      <c r="O50" s="105"/>
    </row>
    <row r="51" spans="1:15" ht="18" x14ac:dyDescent="0.4">
      <c r="A51" s="98"/>
      <c r="B51" s="109" t="s">
        <v>180</v>
      </c>
      <c r="C51" s="347">
        <f t="shared" ref="C51:N51" si="9">IFERROR(C38*3600/(C43/C44)*(1-C45)*IF(C19="",1,C19)*IF(C20="",1,C20),"")</f>
        <v>42302.131200000003</v>
      </c>
      <c r="D51" s="347">
        <f t="shared" si="9"/>
        <v>20090.96399884337</v>
      </c>
      <c r="E51" s="347">
        <f t="shared" si="9"/>
        <v>19406.389200564707</v>
      </c>
      <c r="F51" s="347">
        <f t="shared" si="9"/>
        <v>19406.389200564707</v>
      </c>
      <c r="G51" s="347">
        <f t="shared" si="9"/>
        <v>21361.729535999999</v>
      </c>
      <c r="H51" s="356">
        <f t="shared" si="9"/>
        <v>21374.567113846151</v>
      </c>
      <c r="I51" s="347">
        <f t="shared" si="9"/>
        <v>19604.491674352943</v>
      </c>
      <c r="J51" s="347">
        <f t="shared" si="9"/>
        <v>20827.686297599997</v>
      </c>
      <c r="K51" s="347">
        <f t="shared" si="9"/>
        <v>20582.91648</v>
      </c>
      <c r="L51" s="347">
        <f t="shared" si="9"/>
        <v>19618.235434164708</v>
      </c>
      <c r="M51" s="347" t="str">
        <f t="shared" si="9"/>
        <v/>
      </c>
      <c r="N51" s="356" t="str">
        <f t="shared" si="9"/>
        <v/>
      </c>
      <c r="O51" s="116"/>
    </row>
    <row r="52" spans="1:15" ht="18" x14ac:dyDescent="0.4">
      <c r="A52" s="98"/>
      <c r="B52" s="109" t="s">
        <v>181</v>
      </c>
      <c r="C52" s="348">
        <f>IFERROR(IF(C51="","",C51/'Capacity overview'!$O$9),"")</f>
        <v>18388.412260022651</v>
      </c>
      <c r="D52" s="348">
        <f>IFERROR(IF(D51="","",D51/'Capacity overview'!$O$9),"")</f>
        <v>8733.3880878324435</v>
      </c>
      <c r="E52" s="348">
        <f>IFERROR(IF(E51="","",E51/'Capacity overview'!$O$9),"")</f>
        <v>8435.808669101647</v>
      </c>
      <c r="F52" s="348">
        <f>IFERROR(IF(F51="","",F51/'Capacity overview'!$O$9),"")</f>
        <v>8435.808669101647</v>
      </c>
      <c r="G52" s="348">
        <f>IFERROR(IF(G51="","",G51/'Capacity overview'!$O$9),"")</f>
        <v>9285.7801286160811</v>
      </c>
      <c r="H52" s="357">
        <f>IFERROR(IF(H51="","",H51/'Capacity overview'!$O$9),"")</f>
        <v>9291.3605253279893</v>
      </c>
      <c r="I52" s="348">
        <f>IFERROR(IF(I51="","",I51/'Capacity overview'!$O$9),"")</f>
        <v>8521.9222963448155</v>
      </c>
      <c r="J52" s="348">
        <f>IFERROR(IF(J51="","",J51/'Capacity overview'!$O$9),"")</f>
        <v>9053.6356254006787</v>
      </c>
      <c r="K52" s="348">
        <f>IFERROR(IF(K51="","",K51/'Capacity overview'!$O$9),"")</f>
        <v>8947.2360614269546</v>
      </c>
      <c r="L52" s="348">
        <f>IFERROR(IF(L51="","",L51/'Capacity overview'!$O$9),"")</f>
        <v>8527.8966034128589</v>
      </c>
      <c r="M52" s="348" t="str">
        <f>IFERROR(IF(M51="","",M51/'Capacity overview'!$O$9),"")</f>
        <v/>
      </c>
      <c r="N52" s="357" t="str">
        <f>IFERROR(IF(N51="","",N51/'Capacity overview'!$O$9),"")</f>
        <v/>
      </c>
      <c r="O52" s="116"/>
    </row>
    <row r="53" spans="1:15" x14ac:dyDescent="0.3">
      <c r="A53" s="98"/>
      <c r="B53" s="111" t="s">
        <v>182</v>
      </c>
      <c r="C53" s="137">
        <f>IFERROR(IF(C51="","",C51/C55-1),"")</f>
        <v>1.6120488545847484</v>
      </c>
      <c r="D53" s="137">
        <f t="shared" ref="D53:N53" si="10">IFERROR(IF(D51="","",D51/D55-1),"")</f>
        <v>0.24156247675462672</v>
      </c>
      <c r="E53" s="137">
        <f t="shared" si="10"/>
        <v>0.20089042082702391</v>
      </c>
      <c r="F53" s="137">
        <f t="shared" si="10"/>
        <v>0.20260204502476964</v>
      </c>
      <c r="G53" s="137">
        <f t="shared" si="10"/>
        <v>0.32590959816274578</v>
      </c>
      <c r="H53" s="138">
        <f t="shared" si="10"/>
        <v>0.32802529442970796</v>
      </c>
      <c r="I53" s="137">
        <f t="shared" si="10"/>
        <v>0.21986756731708934</v>
      </c>
      <c r="J53" s="137">
        <f t="shared" si="10"/>
        <v>0.29807954488002486</v>
      </c>
      <c r="K53" s="137">
        <f t="shared" si="10"/>
        <v>0.28410483997754077</v>
      </c>
      <c r="L53" s="137">
        <f t="shared" si="10"/>
        <v>0.22491479983545881</v>
      </c>
      <c r="M53" s="137" t="str">
        <f t="shared" si="10"/>
        <v/>
      </c>
      <c r="N53" s="138" t="str">
        <f t="shared" si="10"/>
        <v/>
      </c>
      <c r="O53" s="105"/>
    </row>
    <row r="54" spans="1:15" s="96" customFormat="1" ht="8.5" thickBot="1" x14ac:dyDescent="0.25">
      <c r="A54" s="95"/>
      <c r="B54" s="106"/>
      <c r="C54" s="139"/>
      <c r="D54" s="139"/>
      <c r="E54" s="139"/>
      <c r="F54" s="139"/>
      <c r="G54" s="139"/>
      <c r="H54" s="139"/>
      <c r="I54" s="139"/>
      <c r="J54" s="139"/>
      <c r="K54" s="139"/>
      <c r="L54" s="139"/>
      <c r="M54" s="139"/>
      <c r="N54" s="139"/>
      <c r="O54" s="97"/>
    </row>
    <row r="55" spans="1:15" ht="18" x14ac:dyDescent="0.4">
      <c r="A55" s="90"/>
      <c r="B55" s="183" t="s">
        <v>183</v>
      </c>
      <c r="C55" s="349">
        <f t="shared" ref="C55" si="11">IF(C17="","",ROUNDUP($C$7*IF(C21="",1,C21)*IF($D$12=1,1/((1-C59)*(1-C60)*(1-C61)*(1-C62)*(1-C63)*(1-C64)*(1-C65)*(1-C66)*(1-C67)*(1-C68)*(1-C69)),1),0))</f>
        <v>16195</v>
      </c>
      <c r="D55" s="349">
        <f t="shared" ref="D55:N55" si="12">IF(D17="","",ROUNDUP($C$7*IF(D21="",1,D21)*IF($D$12=1,1/((1-D59)*(1-D60)*(1-D61)*(1-D62)*(1-D63)*(1-D64)*(1-D65)*(1-D66)*(1-D67)*(1-D68)*(1-D69)),1),0))</f>
        <v>16182</v>
      </c>
      <c r="E55" s="349">
        <f t="shared" si="12"/>
        <v>16160</v>
      </c>
      <c r="F55" s="349">
        <f t="shared" si="12"/>
        <v>16137</v>
      </c>
      <c r="G55" s="349">
        <f t="shared" si="12"/>
        <v>16111</v>
      </c>
      <c r="H55" s="358">
        <f t="shared" si="12"/>
        <v>16095</v>
      </c>
      <c r="I55" s="349">
        <f t="shared" si="12"/>
        <v>16071</v>
      </c>
      <c r="J55" s="349">
        <f t="shared" si="12"/>
        <v>16045</v>
      </c>
      <c r="K55" s="349">
        <f t="shared" si="12"/>
        <v>16029</v>
      </c>
      <c r="L55" s="349">
        <f t="shared" si="12"/>
        <v>16016</v>
      </c>
      <c r="M55" s="349" t="str">
        <f t="shared" si="12"/>
        <v/>
      </c>
      <c r="N55" s="358" t="str">
        <f t="shared" si="12"/>
        <v/>
      </c>
      <c r="O55" s="180"/>
    </row>
    <row r="56" spans="1:15" ht="18.5" collapsed="1" thickBot="1" x14ac:dyDescent="0.45">
      <c r="A56" s="181"/>
      <c r="B56" s="184" t="s">
        <v>184</v>
      </c>
      <c r="C56" s="350">
        <f>IFERROR(IF(C17="","",ROUNDUP(C55/'Capacity overview'!$O$9,1)),"")</f>
        <v>7039.9000000000005</v>
      </c>
      <c r="D56" s="350">
        <f>IFERROR(IF(D17="","",ROUNDUP(D55/'Capacity overview'!$O$9,1)),"")</f>
        <v>7034.2000000000007</v>
      </c>
      <c r="E56" s="350">
        <f>IFERROR(IF(E17="","",ROUNDUP(E55/'Capacity overview'!$O$9,1)),"")</f>
        <v>7024.7000000000007</v>
      </c>
      <c r="F56" s="350">
        <f>IFERROR(IF(F17="","",ROUNDUP(F55/'Capacity overview'!$O$9,1)),"")</f>
        <v>7014.7000000000007</v>
      </c>
      <c r="G56" s="350">
        <f>IFERROR(IF(G17="","",ROUNDUP(G55/'Capacity overview'!$O$9,1)),"")</f>
        <v>7003.4000000000005</v>
      </c>
      <c r="H56" s="359">
        <f>IFERROR(IF(H17="","",ROUNDUP(H55/'Capacity overview'!$O$9,1)),"")</f>
        <v>6996.4000000000005</v>
      </c>
      <c r="I56" s="350">
        <f>IFERROR(IF(I17="","",ROUNDUP(I55/'Capacity overview'!$O$9,1)),"")</f>
        <v>6986</v>
      </c>
      <c r="J56" s="350">
        <f>IFERROR(IF(J17="","",ROUNDUP(J55/'Capacity overview'!$O$9,1)),"")</f>
        <v>6974.7000000000007</v>
      </c>
      <c r="K56" s="350">
        <f>IFERROR(IF(K17="","",ROUNDUP(K55/'Capacity overview'!$O$9,1)),"")</f>
        <v>6967.7000000000007</v>
      </c>
      <c r="L56" s="350">
        <f>IFERROR(IF(L17="","",ROUNDUP(L55/'Capacity overview'!$O$9,1)),"")</f>
        <v>6962.1</v>
      </c>
      <c r="M56" s="350" t="str">
        <f>IFERROR(IF(M17="","",ROUNDUP(M55/'Capacity overview'!$O$9,1)),"")</f>
        <v/>
      </c>
      <c r="N56" s="359" t="str">
        <f>IFERROR(IF(N17="","",ROUNDUP(N55/'Capacity overview'!$O$9,1)),"")</f>
        <v/>
      </c>
      <c r="O56" s="182"/>
    </row>
    <row r="57" spans="1:15" s="96" customFormat="1" ht="8" hidden="1" outlineLevel="1" x14ac:dyDescent="0.2">
      <c r="A57" s="95"/>
      <c r="B57" s="106"/>
      <c r="C57" s="106"/>
      <c r="D57" s="106"/>
      <c r="E57" s="106"/>
      <c r="F57" s="106"/>
      <c r="G57" s="106"/>
      <c r="H57" s="106"/>
      <c r="I57" s="106"/>
      <c r="J57" s="106"/>
      <c r="K57" s="106"/>
      <c r="L57" s="106"/>
      <c r="M57" s="106"/>
      <c r="N57" s="106"/>
      <c r="O57" s="97"/>
    </row>
    <row r="58" spans="1:15" ht="18" hidden="1" outlineLevel="1" x14ac:dyDescent="0.3">
      <c r="A58" s="98"/>
      <c r="B58" s="121" t="s">
        <v>185</v>
      </c>
      <c r="C58" s="104"/>
      <c r="D58" s="104"/>
      <c r="E58" s="104"/>
      <c r="F58" s="104"/>
      <c r="G58" s="104"/>
      <c r="H58" s="104"/>
      <c r="I58" s="104"/>
      <c r="J58" s="104"/>
      <c r="K58" s="104"/>
      <c r="L58" s="104"/>
      <c r="M58" s="104"/>
      <c r="N58" s="104"/>
      <c r="O58" s="119"/>
    </row>
    <row r="59" spans="1:15" hidden="1" outlineLevel="1" x14ac:dyDescent="0.3">
      <c r="A59" s="98"/>
      <c r="B59" s="104" t="str">
        <f>IF($D$15="","",$D$15)</f>
        <v>Prozess 2</v>
      </c>
      <c r="C59" s="455">
        <f>IF($D$45="",0,$D$45)</f>
        <v>8.0000000000000004E-4</v>
      </c>
      <c r="D59" s="455"/>
      <c r="E59" s="455"/>
      <c r="F59" s="455"/>
      <c r="G59" s="455"/>
      <c r="H59" s="455"/>
      <c r="I59" s="455"/>
      <c r="J59" s="455"/>
      <c r="K59" s="455"/>
      <c r="L59" s="455"/>
      <c r="M59" s="455"/>
      <c r="N59" s="455"/>
      <c r="O59" s="105"/>
    </row>
    <row r="60" spans="1:15" hidden="1" outlineLevel="1" x14ac:dyDescent="0.3">
      <c r="A60" s="98"/>
      <c r="B60" s="104" t="str">
        <f>IF($E$15="","",$E$15)</f>
        <v>Prozess 3</v>
      </c>
      <c r="C60" s="455">
        <f>IF($E$45="",0,$E$45)</f>
        <v>1.4E-3</v>
      </c>
      <c r="D60" s="455">
        <f>IF($E$45="",0,$E$45)</f>
        <v>1.4E-3</v>
      </c>
      <c r="E60" s="455"/>
      <c r="F60" s="455"/>
      <c r="G60" s="455"/>
      <c r="H60" s="455"/>
      <c r="I60" s="455"/>
      <c r="J60" s="455"/>
      <c r="K60" s="455"/>
      <c r="L60" s="455"/>
      <c r="M60" s="455"/>
      <c r="N60" s="455"/>
      <c r="O60" s="105"/>
    </row>
    <row r="61" spans="1:15" hidden="1" outlineLevel="1" x14ac:dyDescent="0.3">
      <c r="A61" s="98"/>
      <c r="B61" s="104" t="str">
        <f>IF($F$15="","",$F$15)</f>
        <v>Prozess 4</v>
      </c>
      <c r="C61" s="455">
        <f>IF($F$45="",0,$F$45)</f>
        <v>1.4E-3</v>
      </c>
      <c r="D61" s="455">
        <f t="shared" ref="D61:E61" si="13">IF($F$45="",0,$F$45)</f>
        <v>1.4E-3</v>
      </c>
      <c r="E61" s="455">
        <f t="shared" si="13"/>
        <v>1.4E-3</v>
      </c>
      <c r="F61" s="455"/>
      <c r="G61" s="455"/>
      <c r="H61" s="455"/>
      <c r="I61" s="455"/>
      <c r="J61" s="455"/>
      <c r="K61" s="455"/>
      <c r="L61" s="455"/>
      <c r="M61" s="455"/>
      <c r="N61" s="455"/>
      <c r="O61" s="105"/>
    </row>
    <row r="62" spans="1:15" hidden="1" outlineLevel="1" x14ac:dyDescent="0.3">
      <c r="A62" s="98"/>
      <c r="B62" s="104" t="str">
        <f>IF($G$15="","",$G$15)</f>
        <v>Prozess 5</v>
      </c>
      <c r="C62" s="455">
        <f>IF($G$45="",0,$G$45)</f>
        <v>1.6000000000000001E-3</v>
      </c>
      <c r="D62" s="455">
        <f t="shared" ref="D62:F62" si="14">IF($G$45="",0,$G$45)</f>
        <v>1.6000000000000001E-3</v>
      </c>
      <c r="E62" s="455">
        <f t="shared" si="14"/>
        <v>1.6000000000000001E-3</v>
      </c>
      <c r="F62" s="455">
        <f t="shared" si="14"/>
        <v>1.6000000000000001E-3</v>
      </c>
      <c r="G62" s="455"/>
      <c r="H62" s="455"/>
      <c r="I62" s="455"/>
      <c r="J62" s="455"/>
      <c r="K62" s="455"/>
      <c r="L62" s="455"/>
      <c r="M62" s="455"/>
      <c r="N62" s="455"/>
      <c r="O62" s="105"/>
    </row>
    <row r="63" spans="1:15" hidden="1" outlineLevel="1" x14ac:dyDescent="0.3">
      <c r="A63" s="98"/>
      <c r="B63" s="104" t="str">
        <f>IF($H$15="","",$H$15)</f>
        <v>Prozess 6</v>
      </c>
      <c r="C63" s="455">
        <f>IF($H$45="",0,$H$45)</f>
        <v>1E-3</v>
      </c>
      <c r="D63" s="455">
        <f t="shared" ref="D63:G63" si="15">IF($H$45="",0,$H$45)</f>
        <v>1E-3</v>
      </c>
      <c r="E63" s="455">
        <f t="shared" si="15"/>
        <v>1E-3</v>
      </c>
      <c r="F63" s="455">
        <f t="shared" si="15"/>
        <v>1E-3</v>
      </c>
      <c r="G63" s="455">
        <f t="shared" si="15"/>
        <v>1E-3</v>
      </c>
      <c r="H63" s="455"/>
      <c r="I63" s="455"/>
      <c r="J63" s="455"/>
      <c r="K63" s="455"/>
      <c r="L63" s="455"/>
      <c r="M63" s="455"/>
      <c r="N63" s="455"/>
      <c r="O63" s="105"/>
    </row>
    <row r="64" spans="1:15" hidden="1" outlineLevel="1" x14ac:dyDescent="0.3">
      <c r="A64" s="98"/>
      <c r="B64" s="104" t="str">
        <f>IF($I$15="","",$I$15)</f>
        <v>Prozess 7</v>
      </c>
      <c r="C64" s="455">
        <f>IF($I$45="",0,$I$45)</f>
        <v>1.5E-3</v>
      </c>
      <c r="D64" s="455">
        <f t="shared" ref="D64:H64" si="16">IF($I$45="",0,$I$45)</f>
        <v>1.5E-3</v>
      </c>
      <c r="E64" s="455">
        <f t="shared" si="16"/>
        <v>1.5E-3</v>
      </c>
      <c r="F64" s="455">
        <f t="shared" si="16"/>
        <v>1.5E-3</v>
      </c>
      <c r="G64" s="455">
        <f t="shared" si="16"/>
        <v>1.5E-3</v>
      </c>
      <c r="H64" s="455">
        <f t="shared" si="16"/>
        <v>1.5E-3</v>
      </c>
      <c r="I64" s="455"/>
      <c r="J64" s="455"/>
      <c r="K64" s="455"/>
      <c r="L64" s="455"/>
      <c r="M64" s="455"/>
      <c r="N64" s="455"/>
      <c r="O64" s="105"/>
    </row>
    <row r="65" spans="1:15" hidden="1" outlineLevel="1" x14ac:dyDescent="0.3">
      <c r="A65" s="98"/>
      <c r="B65" s="104" t="str">
        <f>IF($J$15="","",$J$15)</f>
        <v>Prozess 8</v>
      </c>
      <c r="C65" s="455">
        <f>IF($J$45="",0,$J$45)</f>
        <v>1.6000000000000001E-3</v>
      </c>
      <c r="D65" s="455">
        <f t="shared" ref="D65:I65" si="17">IF($J$45="",0,$J$45)</f>
        <v>1.6000000000000001E-3</v>
      </c>
      <c r="E65" s="455">
        <f t="shared" si="17"/>
        <v>1.6000000000000001E-3</v>
      </c>
      <c r="F65" s="455">
        <f t="shared" si="17"/>
        <v>1.6000000000000001E-3</v>
      </c>
      <c r="G65" s="455">
        <f t="shared" si="17"/>
        <v>1.6000000000000001E-3</v>
      </c>
      <c r="H65" s="455">
        <f t="shared" si="17"/>
        <v>1.6000000000000001E-3</v>
      </c>
      <c r="I65" s="455">
        <f t="shared" si="17"/>
        <v>1.6000000000000001E-3</v>
      </c>
      <c r="J65" s="455"/>
      <c r="K65" s="455"/>
      <c r="L65" s="455"/>
      <c r="M65" s="455"/>
      <c r="N65" s="455"/>
      <c r="O65" s="105"/>
    </row>
    <row r="66" spans="1:15" hidden="1" outlineLevel="1" x14ac:dyDescent="0.3">
      <c r="A66" s="98"/>
      <c r="B66" s="104" t="str">
        <f>IF($K$15="","",$K$15)</f>
        <v>Prozess 9</v>
      </c>
      <c r="C66" s="455">
        <f>IF($K$45="",0,$K$45)</f>
        <v>1E-3</v>
      </c>
      <c r="D66" s="455">
        <f t="shared" ref="D66:J66" si="18">IF($K$45="",0,$K$45)</f>
        <v>1E-3</v>
      </c>
      <c r="E66" s="455">
        <f t="shared" si="18"/>
        <v>1E-3</v>
      </c>
      <c r="F66" s="455">
        <f t="shared" si="18"/>
        <v>1E-3</v>
      </c>
      <c r="G66" s="455">
        <f t="shared" si="18"/>
        <v>1E-3</v>
      </c>
      <c r="H66" s="455">
        <f t="shared" si="18"/>
        <v>1E-3</v>
      </c>
      <c r="I66" s="455">
        <f t="shared" si="18"/>
        <v>1E-3</v>
      </c>
      <c r="J66" s="455">
        <f t="shared" si="18"/>
        <v>1E-3</v>
      </c>
      <c r="K66" s="455"/>
      <c r="L66" s="455"/>
      <c r="M66" s="455"/>
      <c r="N66" s="455"/>
      <c r="O66" s="105"/>
    </row>
    <row r="67" spans="1:15" hidden="1" outlineLevel="1" x14ac:dyDescent="0.3">
      <c r="A67" s="98"/>
      <c r="B67" s="104" t="str">
        <f>IF($L$15="","",$L$15)</f>
        <v>Prozess 10</v>
      </c>
      <c r="C67" s="455">
        <f>IF($L$45="",0,$L$45)</f>
        <v>8.0000000000000004E-4</v>
      </c>
      <c r="D67" s="455">
        <f t="shared" ref="D67:K67" si="19">IF($L$45="",0,$L$45)</f>
        <v>8.0000000000000004E-4</v>
      </c>
      <c r="E67" s="455">
        <f t="shared" si="19"/>
        <v>8.0000000000000004E-4</v>
      </c>
      <c r="F67" s="455">
        <f t="shared" si="19"/>
        <v>8.0000000000000004E-4</v>
      </c>
      <c r="G67" s="455">
        <f t="shared" si="19"/>
        <v>8.0000000000000004E-4</v>
      </c>
      <c r="H67" s="455">
        <f t="shared" si="19"/>
        <v>8.0000000000000004E-4</v>
      </c>
      <c r="I67" s="455">
        <f t="shared" si="19"/>
        <v>8.0000000000000004E-4</v>
      </c>
      <c r="J67" s="455">
        <f t="shared" si="19"/>
        <v>8.0000000000000004E-4</v>
      </c>
      <c r="K67" s="455">
        <f t="shared" si="19"/>
        <v>8.0000000000000004E-4</v>
      </c>
      <c r="L67" s="455"/>
      <c r="M67" s="455"/>
      <c r="N67" s="455"/>
      <c r="O67" s="105"/>
    </row>
    <row r="68" spans="1:15" hidden="1" outlineLevel="1" x14ac:dyDescent="0.3">
      <c r="A68" s="98"/>
      <c r="B68" s="104" t="str">
        <f>IF($M$15="","",$M$15)</f>
        <v>Prozess 11</v>
      </c>
      <c r="C68" s="455">
        <f>IF($M$45="",0,$M$45)</f>
        <v>0</v>
      </c>
      <c r="D68" s="455">
        <f t="shared" ref="D68:L68" si="20">IF($M$45="",0,$M$45)</f>
        <v>0</v>
      </c>
      <c r="E68" s="455">
        <f t="shared" si="20"/>
        <v>0</v>
      </c>
      <c r="F68" s="455">
        <f t="shared" si="20"/>
        <v>0</v>
      </c>
      <c r="G68" s="455">
        <f t="shared" si="20"/>
        <v>0</v>
      </c>
      <c r="H68" s="455">
        <f t="shared" si="20"/>
        <v>0</v>
      </c>
      <c r="I68" s="455">
        <f t="shared" si="20"/>
        <v>0</v>
      </c>
      <c r="J68" s="455">
        <f t="shared" si="20"/>
        <v>0</v>
      </c>
      <c r="K68" s="455">
        <f t="shared" si="20"/>
        <v>0</v>
      </c>
      <c r="L68" s="455">
        <f t="shared" si="20"/>
        <v>0</v>
      </c>
      <c r="M68" s="455"/>
      <c r="N68" s="455"/>
      <c r="O68" s="105"/>
    </row>
    <row r="69" spans="1:15" hidden="1" outlineLevel="1" x14ac:dyDescent="0.3">
      <c r="A69" s="98"/>
      <c r="B69" s="104" t="str">
        <f>IF($N$15="","",$N$15)</f>
        <v>Prozess 12</v>
      </c>
      <c r="C69" s="455">
        <f>IF($N$45="",0,$N$45)</f>
        <v>0</v>
      </c>
      <c r="D69" s="455">
        <f t="shared" ref="D69:M69" si="21">IF($N$45="",0,$N$45)</f>
        <v>0</v>
      </c>
      <c r="E69" s="455">
        <f t="shared" si="21"/>
        <v>0</v>
      </c>
      <c r="F69" s="455">
        <f t="shared" si="21"/>
        <v>0</v>
      </c>
      <c r="G69" s="455">
        <f t="shared" si="21"/>
        <v>0</v>
      </c>
      <c r="H69" s="455">
        <f t="shared" si="21"/>
        <v>0</v>
      </c>
      <c r="I69" s="455">
        <f t="shared" si="21"/>
        <v>0</v>
      </c>
      <c r="J69" s="455">
        <f t="shared" si="21"/>
        <v>0</v>
      </c>
      <c r="K69" s="455">
        <f t="shared" si="21"/>
        <v>0</v>
      </c>
      <c r="L69" s="455">
        <f t="shared" si="21"/>
        <v>0</v>
      </c>
      <c r="M69" s="455">
        <f t="shared" si="21"/>
        <v>0</v>
      </c>
      <c r="N69" s="455"/>
      <c r="O69" s="105"/>
    </row>
    <row r="70" spans="1:15" s="96" customFormat="1" ht="8.5" thickBot="1" x14ac:dyDescent="0.25">
      <c r="A70" s="122"/>
      <c r="B70" s="123"/>
      <c r="C70" s="123"/>
      <c r="D70" s="123"/>
      <c r="E70" s="123"/>
      <c r="F70" s="123"/>
      <c r="G70" s="123"/>
      <c r="H70" s="123"/>
      <c r="I70" s="123"/>
      <c r="J70" s="123"/>
      <c r="K70" s="123"/>
      <c r="L70" s="123"/>
      <c r="M70" s="123"/>
      <c r="N70" s="123"/>
      <c r="O70" s="124"/>
    </row>
  </sheetData>
  <mergeCells count="7">
    <mergeCell ref="C7:D7"/>
    <mergeCell ref="C9:D11"/>
    <mergeCell ref="A1:O1"/>
    <mergeCell ref="C4:H4"/>
    <mergeCell ref="C5:H5"/>
    <mergeCell ref="C6:D6"/>
    <mergeCell ref="E6:H6"/>
  </mergeCells>
  <phoneticPr fontId="74" type="noConversion"/>
  <conditionalFormatting sqref="C53">
    <cfRule type="cellIs" dxfId="34" priority="54" operator="lessThan">
      <formula>0</formula>
    </cfRule>
  </conditionalFormatting>
  <conditionalFormatting sqref="D53:N53">
    <cfRule type="cellIs" dxfId="33" priority="35" operator="lessThan">
      <formula>0</formula>
    </cfRule>
  </conditionalFormatting>
  <conditionalFormatting sqref="D51:N52 C51">
    <cfRule type="cellIs" dxfId="32" priority="36" operator="equal">
      <formula>""</formula>
    </cfRule>
    <cfRule type="expression" dxfId="31" priority="37">
      <formula>C55&lt;=C51</formula>
    </cfRule>
    <cfRule type="expression" dxfId="30" priority="38">
      <formula>C55&gt;C51</formula>
    </cfRule>
  </conditionalFormatting>
  <conditionalFormatting sqref="C34">
    <cfRule type="expression" dxfId="29" priority="26">
      <formula>AND(C34&lt;&gt;"",C34&gt;0.85)</formula>
    </cfRule>
  </conditionalFormatting>
  <conditionalFormatting sqref="M34">
    <cfRule type="expression" dxfId="28" priority="24">
      <formula>AND(M34&lt;&gt;"",M34&gt;0.85)</formula>
    </cfRule>
  </conditionalFormatting>
  <conditionalFormatting sqref="N34">
    <cfRule type="expression" dxfId="27" priority="27">
      <formula>AND(N34&lt;&gt;"",N34&gt;0.85)</formula>
    </cfRule>
  </conditionalFormatting>
  <conditionalFormatting sqref="L34">
    <cfRule type="expression" dxfId="26" priority="23">
      <formula>AND(L34&lt;&gt;"",L34&gt;0.85)</formula>
    </cfRule>
  </conditionalFormatting>
  <conditionalFormatting sqref="K34">
    <cfRule type="expression" dxfId="25" priority="22">
      <formula>AND(K34&lt;&gt;"",K34&gt;0.85)</formula>
    </cfRule>
  </conditionalFormatting>
  <conditionalFormatting sqref="J34">
    <cfRule type="expression" dxfId="24" priority="21">
      <formula>AND(J34&lt;&gt;"",J34&gt;0.85)</formula>
    </cfRule>
  </conditionalFormatting>
  <conditionalFormatting sqref="I34">
    <cfRule type="expression" dxfId="23" priority="20">
      <formula>AND(I34&lt;&gt;"",I34&gt;0.85)</formula>
    </cfRule>
  </conditionalFormatting>
  <conditionalFormatting sqref="H34">
    <cfRule type="expression" dxfId="22" priority="19">
      <formula>AND(H34&lt;&gt;"",H34&gt;0.85)</formula>
    </cfRule>
  </conditionalFormatting>
  <conditionalFormatting sqref="G34">
    <cfRule type="expression" dxfId="21" priority="18">
      <formula>AND(G34&lt;&gt;"",G34&gt;0.85)</formula>
    </cfRule>
  </conditionalFormatting>
  <conditionalFormatting sqref="F34">
    <cfRule type="expression" dxfId="20" priority="17">
      <formula>AND(F34&lt;&gt;"",F34&gt;0.85)</formula>
    </cfRule>
  </conditionalFormatting>
  <conditionalFormatting sqref="E34">
    <cfRule type="expression" dxfId="19" priority="16">
      <formula>AND(E34&lt;&gt;"",E34&gt;0.85)</formula>
    </cfRule>
  </conditionalFormatting>
  <conditionalFormatting sqref="D34">
    <cfRule type="expression" dxfId="18" priority="25">
      <formula>AND(D34&lt;&gt;"",D34&gt;0.85)</formula>
    </cfRule>
  </conditionalFormatting>
  <conditionalFormatting sqref="C51:N52">
    <cfRule type="cellIs" dxfId="17" priority="55" operator="equal">
      <formula>""</formula>
    </cfRule>
    <cfRule type="expression" dxfId="16" priority="56">
      <formula>C55&lt;=C51</formula>
    </cfRule>
    <cfRule type="expression" dxfId="15" priority="58">
      <formula>C55&gt;C51</formula>
    </cfRule>
  </conditionalFormatting>
  <conditionalFormatting sqref="M26:N26">
    <cfRule type="cellIs" dxfId="14" priority="8" operator="greaterThan">
      <formula>$C$6</formula>
    </cfRule>
  </conditionalFormatting>
  <conditionalFormatting sqref="C26">
    <cfRule type="cellIs" dxfId="13" priority="7" operator="greaterThan">
      <formula>$C$6</formula>
    </cfRule>
  </conditionalFormatting>
  <conditionalFormatting sqref="D26:L26">
    <cfRule type="cellIs" dxfId="12" priority="6" operator="greaterThan">
      <formula>$C$6</formula>
    </cfRule>
  </conditionalFormatting>
  <conditionalFormatting sqref="D32">
    <cfRule type="cellIs" dxfId="11" priority="5" operator="greaterThan">
      <formula>0.85</formula>
    </cfRule>
  </conditionalFormatting>
  <conditionalFormatting sqref="C32">
    <cfRule type="cellIs" dxfId="10" priority="4" operator="greaterThan">
      <formula>0.85</formula>
    </cfRule>
  </conditionalFormatting>
  <conditionalFormatting sqref="E32:F32">
    <cfRule type="cellIs" dxfId="9" priority="3" operator="greaterThan">
      <formula>0.85</formula>
    </cfRule>
  </conditionalFormatting>
  <conditionalFormatting sqref="G32">
    <cfRule type="cellIs" dxfId="8" priority="2" operator="greaterThan">
      <formula>0.85</formula>
    </cfRule>
  </conditionalFormatting>
  <conditionalFormatting sqref="H32:L32">
    <cfRule type="cellIs" dxfId="7" priority="1" operator="greaterThan">
      <formula>0.85</formula>
    </cfRule>
  </conditionalFormatting>
  <dataValidations count="16">
    <dataValidation type="whole" allowBlank="1" showInputMessage="1" showErrorMessage="1" error="Bitte geben Sie eine ganze Zahl ein" sqref="C33:N33 C47:N47" xr:uid="{00000000-0002-0000-0200-000001000000}">
      <formula1>0</formula1>
      <formula2>999999</formula2>
    </dataValidation>
    <dataValidation type="decimal" allowBlank="1" showInputMessage="1" showErrorMessage="1" error="Bitte geben Sie eine %-Zahl zwischen 1% und 100% ein" sqref="C32:N32 C37:N37" xr:uid="{00000000-0002-0000-0200-000002000000}">
      <formula1>0</formula1>
      <formula2>1</formula2>
    </dataValidation>
    <dataValidation type="time" allowBlank="1" showInputMessage="1" showErrorMessage="1" errorTitle="Umrechnung Zeit - Minuten" error="Bitte geben Sie eine gültige Zeit im Format [hh:mm:ss] ein." sqref="F11:G11" xr:uid="{00000000-0002-0000-0200-000003000000}">
      <formula1>0</formula1>
      <formula2>0.999988425925926</formula2>
    </dataValidation>
    <dataValidation allowBlank="1" showInputMessage="1" showErrorMessage="1" errorTitle="Umrechnung Stunden - Minuten" error="Bitte geben Sie eine positive Zahl ein._x000a_Es können ausschließlich positive Zahlen umgerechnet werden." sqref="E8:E11 F10:H10" xr:uid="{00000000-0002-0000-0200-000004000000}"/>
    <dataValidation type="decimal" allowBlank="1" showInputMessage="1" showErrorMessage="1" errorTitle="Umrechnung Stunden - Minuten" error="Bitte geben Sie eine positive Zahl ein._x000a_Es können ausschließlich positive Zahlen umgerechnet werden." sqref="F9:G9 H11" xr:uid="{00000000-0002-0000-0200-000005000000}">
      <formula1>0</formula1>
      <formula2>1000000</formula2>
    </dataValidation>
    <dataValidation type="decimal" allowBlank="1" showInputMessage="1" showErrorMessage="1" error="Bitte geben Sie eine Zahl ein" sqref="C25:N26" xr:uid="{98664FB7-18BD-4011-820F-FA13A744D4A2}">
      <formula1>0</formula1>
      <formula2>9999999</formula2>
    </dataValidation>
    <dataValidation allowBlank="1" showInputMessage="1" showErrorMessage="1" error="Bitte geben Sie eine ganze Zahl ein" sqref="B37 B38:N40" xr:uid="{00000000-0002-0000-0200-000007000000}"/>
    <dataValidation type="whole" allowBlank="1" showInputMessage="1" showErrorMessage="1" sqref="D12" xr:uid="{00000000-0002-0000-0200-000008000000}">
      <formula1>1</formula1>
      <formula2>2</formula2>
    </dataValidation>
    <dataValidation type="whole" allowBlank="1" showInputMessage="1" showErrorMessage="1" error="Bitte geben Sie eine ganze Zahl ein" sqref="C19:L20 C27:N27" xr:uid="{13BC1FA6-A47D-4840-AAD8-5E58B5633630}">
      <formula1>0</formula1>
      <formula2>9999999</formula2>
    </dataValidation>
    <dataValidation type="decimal" allowBlank="1" showInputMessage="1" showErrorMessage="1" error="Bitte geben Sie eine Zahl zwischen 0 und 100% ein" sqref="O45:XFD45 A45" xr:uid="{00000000-0002-0000-0200-00000A000000}">
      <formula1>0</formula1>
      <formula2>1</formula2>
    </dataValidation>
    <dataValidation allowBlank="1" showInputMessage="1" showErrorMessage="1" error="Bitte geben Sie eine Zahl zwischen 0 und 100% ein" sqref="B45 A46:XFD46" xr:uid="{00000000-0002-0000-0200-00000B000000}"/>
    <dataValidation type="decimal" operator="greaterThan" allowBlank="1" showInputMessage="1" showErrorMessage="1" error="Bitte geben Sie eine ganze Zahl ein" sqref="C43:N43" xr:uid="{00000000-0002-0000-0200-00000C000000}">
      <formula1>0</formula1>
    </dataValidation>
    <dataValidation type="decimal" allowBlank="1" showInputMessage="1" showErrorMessage="1" sqref="C44:N45" xr:uid="{00000000-0002-0000-0200-00000D000000}">
      <formula1>0</formula1>
      <formula2>10</formula2>
    </dataValidation>
    <dataValidation type="decimal" operator="greaterThanOrEqual" allowBlank="1" showInputMessage="1" showErrorMessage="1" error="Bitte geben Sie eine %-Zahl größer 0 ein." sqref="M21:N21" xr:uid="{0A549F78-4D0C-4DB3-AFAD-98DD41FF1E4A}">
      <formula1>0</formula1>
    </dataValidation>
    <dataValidation type="whole" operator="greaterThan" allowBlank="1" showInputMessage="1" showErrorMessage="1" error="Bitte geben Sie eine ganze Zahl &gt;0 ein" sqref="M19:N20" xr:uid="{41D0C1D5-32E5-4153-A161-E2FA79DF9800}">
      <formula1>0</formula1>
    </dataValidation>
    <dataValidation type="decimal" operator="greaterThanOrEqual" allowBlank="1" showInputMessage="1" showErrorMessage="1" error="Bitte geben Sie eine %-Zahl größer 0 ein" sqref="C21:L21" xr:uid="{003E1E6E-A9EE-4D38-AFBF-6FD705FDFFDE}">
      <formula1>0</formula1>
    </dataValidation>
  </dataValidations>
  <printOptions horizontalCentered="1"/>
  <pageMargins left="0.70866141732283472" right="0.70866141732283472" top="0.9055118110236221" bottom="0.78740157480314965" header="0.31496062992125984" footer="0.31496062992125984"/>
  <pageSetup paperSize="9" scale="32" orientation="landscape" r:id="rId1"/>
  <headerFooter>
    <oddHeader>&amp;L&amp;"Calibri"&amp;10&amp;K000000 INTERNAL&amp;1#_x000D_&amp;"Arial"&amp;11&amp;K000000&amp;"Arial"&amp;11&amp;K000000
&amp;"Calibri,Standard"Kapazitätsplanung und abnahme
&amp;A&amp;R&amp;G</oddHeader>
    <oddFooter>&amp;L&amp;"Audi Type,Standard"&amp;8&amp;F_x000D_&amp;1#&amp;"Calibri"&amp;10&amp;K000000 Internal&amp;C&amp;"Audi Type,Standard"&amp;8&amp;P von &amp;N&amp;R&amp;"Audi Type,Standard"&amp;8&amp;D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9153" r:id="rId5" name="Option Button 1">
              <controlPr defaultSize="0" autoFill="0" autoLine="0" autoPict="0">
                <anchor moveWithCells="1">
                  <from>
                    <xdr:col>1</xdr:col>
                    <xdr:colOff>438150</xdr:colOff>
                    <xdr:row>8</xdr:row>
                    <xdr:rowOff>209550</xdr:rowOff>
                  </from>
                  <to>
                    <xdr:col>1</xdr:col>
                    <xdr:colOff>1714500</xdr:colOff>
                    <xdr:row>10</xdr:row>
                    <xdr:rowOff>82550</xdr:rowOff>
                  </to>
                </anchor>
              </controlPr>
            </control>
          </mc:Choice>
        </mc:AlternateContent>
        <mc:AlternateContent xmlns:mc="http://schemas.openxmlformats.org/markup-compatibility/2006">
          <mc:Choice Requires="x14">
            <control shapeId="49154" r:id="rId6" name="Option Button 2">
              <controlPr defaultSize="0" autoFill="0" autoLine="0" autoPict="0">
                <anchor moveWithCells="1">
                  <from>
                    <xdr:col>1</xdr:col>
                    <xdr:colOff>1701800</xdr:colOff>
                    <xdr:row>8</xdr:row>
                    <xdr:rowOff>209550</xdr:rowOff>
                  </from>
                  <to>
                    <xdr:col>1</xdr:col>
                    <xdr:colOff>2978150</xdr:colOff>
                    <xdr:row>10</xdr:row>
                    <xdr:rowOff>82550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R55"/>
  <sheetViews>
    <sheetView workbookViewId="0">
      <selection activeCell="O6" sqref="O6"/>
    </sheetView>
  </sheetViews>
  <sheetFormatPr defaultColWidth="10.58203125" defaultRowHeight="14" outlineLevelCol="1" x14ac:dyDescent="0.3"/>
  <cols>
    <col min="1" max="1" width="1.9140625" style="381" customWidth="1"/>
    <col min="2" max="2" width="11.1640625" style="381" customWidth="1"/>
    <col min="3" max="3" width="59.08203125" style="381" customWidth="1"/>
    <col min="4" max="4" width="12.9140625" style="381" bestFit="1" customWidth="1"/>
    <col min="5" max="5" width="14.58203125" style="381" bestFit="1" customWidth="1"/>
    <col min="6" max="6" width="9.6640625" style="381" customWidth="1"/>
    <col min="7" max="9" width="9.6640625" style="381" customWidth="1" outlineLevel="1"/>
    <col min="10" max="12" width="9.6640625" style="381" customWidth="1"/>
    <col min="13" max="13" width="15.08203125" style="381" bestFit="1" customWidth="1"/>
    <col min="14" max="14" width="19.08203125" style="381" bestFit="1" customWidth="1"/>
    <col min="15" max="17" width="17.6640625" style="381" customWidth="1"/>
    <col min="18" max="18" width="1.9140625" style="381" customWidth="1"/>
    <col min="19" max="16384" width="10.58203125" style="381"/>
  </cols>
  <sheetData>
    <row r="1" spans="1:18" ht="21" thickBot="1" x14ac:dyDescent="0.35">
      <c r="A1" s="518" t="str">
        <f>CONCATENATE("Cycle time monitoring - ",D3)</f>
        <v>Cycle time monitoring - Process name</v>
      </c>
      <c r="B1" s="518"/>
      <c r="C1" s="518"/>
      <c r="D1" s="518"/>
      <c r="E1" s="518"/>
      <c r="F1" s="518"/>
      <c r="G1" s="518"/>
      <c r="H1" s="518"/>
      <c r="I1" s="518"/>
      <c r="J1" s="518"/>
      <c r="K1" s="518"/>
      <c r="L1" s="518"/>
      <c r="M1" s="518"/>
      <c r="N1" s="518"/>
      <c r="O1" s="518"/>
      <c r="P1" s="518"/>
      <c r="Q1" s="518"/>
      <c r="R1" s="518"/>
    </row>
    <row r="2" spans="1:18" x14ac:dyDescent="0.3">
      <c r="A2" s="382"/>
      <c r="B2" s="383"/>
      <c r="C2" s="383"/>
      <c r="D2" s="383"/>
      <c r="E2" s="383"/>
      <c r="F2" s="383"/>
      <c r="G2" s="383"/>
      <c r="H2" s="383"/>
      <c r="I2" s="383"/>
      <c r="J2" s="383"/>
      <c r="K2" s="383"/>
      <c r="L2" s="383"/>
      <c r="M2" s="383"/>
      <c r="N2" s="383"/>
      <c r="O2" s="383"/>
      <c r="P2" s="383"/>
      <c r="Q2" s="383"/>
      <c r="R2" s="384"/>
    </row>
    <row r="3" spans="1:18" x14ac:dyDescent="0.3">
      <c r="A3" s="385"/>
      <c r="C3" s="386" t="s">
        <v>247</v>
      </c>
      <c r="D3" s="583" t="s">
        <v>155</v>
      </c>
      <c r="E3" s="583"/>
      <c r="R3" s="387"/>
    </row>
    <row r="4" spans="1:18" x14ac:dyDescent="0.3">
      <c r="A4" s="385"/>
      <c r="O4" s="388" t="s">
        <v>240</v>
      </c>
      <c r="P4" s="388" t="s">
        <v>241</v>
      </c>
      <c r="Q4" s="388" t="s">
        <v>242</v>
      </c>
      <c r="R4" s="387"/>
    </row>
    <row r="5" spans="1:18" ht="87.5" x14ac:dyDescent="0.3">
      <c r="A5" s="389"/>
      <c r="B5" s="390" t="s">
        <v>245</v>
      </c>
      <c r="C5" s="391" t="s">
        <v>246</v>
      </c>
      <c r="D5" s="392" t="s">
        <v>249</v>
      </c>
      <c r="E5" s="393" t="s">
        <v>248</v>
      </c>
      <c r="F5" s="390" t="s">
        <v>243</v>
      </c>
      <c r="G5" s="394" t="s">
        <v>250</v>
      </c>
      <c r="H5" s="394" t="s">
        <v>251</v>
      </c>
      <c r="I5" s="391" t="s">
        <v>252</v>
      </c>
      <c r="J5" s="395" t="s">
        <v>253</v>
      </c>
      <c r="K5" s="392" t="s">
        <v>157</v>
      </c>
      <c r="L5" s="393" t="s">
        <v>160</v>
      </c>
      <c r="M5" s="392" t="s">
        <v>254</v>
      </c>
      <c r="N5" s="393" t="s">
        <v>255</v>
      </c>
      <c r="O5" s="390" t="s">
        <v>261</v>
      </c>
      <c r="P5" s="394" t="s">
        <v>256</v>
      </c>
      <c r="Q5" s="391" t="s">
        <v>257</v>
      </c>
      <c r="R5" s="396"/>
    </row>
    <row r="6" spans="1:18" x14ac:dyDescent="0.3">
      <c r="A6" s="385"/>
      <c r="B6" s="442">
        <v>44197</v>
      </c>
      <c r="C6" s="397" t="s">
        <v>258</v>
      </c>
      <c r="D6" s="398"/>
      <c r="E6" s="399">
        <v>30</v>
      </c>
      <c r="F6" s="400">
        <f>IF(C6&lt;&gt;"",G6*H6*(1-I6),"")</f>
        <v>0.8075</v>
      </c>
      <c r="G6" s="401">
        <v>0.85</v>
      </c>
      <c r="H6" s="401">
        <v>1</v>
      </c>
      <c r="I6" s="402">
        <v>0.05</v>
      </c>
      <c r="J6" s="403">
        <v>0.2</v>
      </c>
      <c r="K6" s="439">
        <v>1</v>
      </c>
      <c r="L6" s="436">
        <v>2</v>
      </c>
      <c r="M6" s="433">
        <v>480</v>
      </c>
      <c r="N6" s="430">
        <v>15</v>
      </c>
      <c r="O6" s="421">
        <f>IF(C6&lt;&gt;"",(M6*N6*60*L6*K6*F6*J6)/E6,"")</f>
        <v>4651.2</v>
      </c>
      <c r="P6" s="422">
        <v>2700</v>
      </c>
      <c r="Q6" s="423">
        <v>2000</v>
      </c>
      <c r="R6" s="387"/>
    </row>
    <row r="7" spans="1:18" x14ac:dyDescent="0.3">
      <c r="A7" s="385"/>
      <c r="B7" s="443">
        <v>44228</v>
      </c>
      <c r="C7" s="404" t="s">
        <v>259</v>
      </c>
      <c r="D7" s="405"/>
      <c r="E7" s="406">
        <f>IF(C7&lt;&gt;"",E6+D7,"")</f>
        <v>30</v>
      </c>
      <c r="F7" s="407">
        <f t="shared" ref="F7:F24" si="0">IF(C7&lt;&gt;"",G7*H7*(1-I7),"")</f>
        <v>0.82450000000000001</v>
      </c>
      <c r="G7" s="408">
        <v>0.85</v>
      </c>
      <c r="H7" s="408">
        <v>1</v>
      </c>
      <c r="I7" s="409">
        <v>0.03</v>
      </c>
      <c r="J7" s="410">
        <v>0.2</v>
      </c>
      <c r="K7" s="440">
        <v>1</v>
      </c>
      <c r="L7" s="437">
        <v>2</v>
      </c>
      <c r="M7" s="434">
        <v>480</v>
      </c>
      <c r="N7" s="431">
        <v>15</v>
      </c>
      <c r="O7" s="424">
        <f>IF(C7&lt;&gt;"",(M7*N7*60*L7*K7*F7*J7)/E7,"")</f>
        <v>4749.12</v>
      </c>
      <c r="P7" s="425">
        <v>2700</v>
      </c>
      <c r="Q7" s="426">
        <v>2300</v>
      </c>
      <c r="R7" s="387"/>
    </row>
    <row r="8" spans="1:18" x14ac:dyDescent="0.3">
      <c r="A8" s="385"/>
      <c r="B8" s="443">
        <v>44242</v>
      </c>
      <c r="C8" s="404" t="s">
        <v>260</v>
      </c>
      <c r="D8" s="405">
        <v>-5</v>
      </c>
      <c r="E8" s="406">
        <f t="shared" ref="E8:E24" si="1">IF(C8&lt;&gt;"",E7+D8,"")</f>
        <v>25</v>
      </c>
      <c r="F8" s="407">
        <f t="shared" si="0"/>
        <v>0.82450000000000001</v>
      </c>
      <c r="G8" s="408">
        <v>0.85</v>
      </c>
      <c r="H8" s="408">
        <v>1</v>
      </c>
      <c r="I8" s="409">
        <v>0.03</v>
      </c>
      <c r="J8" s="410">
        <v>0.2</v>
      </c>
      <c r="K8" s="440">
        <v>1</v>
      </c>
      <c r="L8" s="437">
        <v>2</v>
      </c>
      <c r="M8" s="434">
        <v>480</v>
      </c>
      <c r="N8" s="431">
        <v>15</v>
      </c>
      <c r="O8" s="424">
        <f t="shared" ref="O8:O24" si="2">IF(C8&lt;&gt;"",(M8*N8*60*L8*K8*F8*J8)/E8,"")</f>
        <v>5698.9440000000004</v>
      </c>
      <c r="P8" s="425">
        <v>2700</v>
      </c>
      <c r="Q8" s="426">
        <v>2500</v>
      </c>
      <c r="R8" s="387"/>
    </row>
    <row r="9" spans="1:18" x14ac:dyDescent="0.3">
      <c r="A9" s="385"/>
      <c r="B9" s="443"/>
      <c r="C9" s="404" t="s">
        <v>244</v>
      </c>
      <c r="D9" s="405"/>
      <c r="E9" s="406">
        <f t="shared" si="1"/>
        <v>25</v>
      </c>
      <c r="F9" s="407">
        <f t="shared" si="0"/>
        <v>0</v>
      </c>
      <c r="G9" s="408"/>
      <c r="H9" s="408"/>
      <c r="I9" s="409"/>
      <c r="J9" s="410"/>
      <c r="K9" s="440"/>
      <c r="L9" s="437"/>
      <c r="M9" s="434"/>
      <c r="N9" s="431"/>
      <c r="O9" s="424">
        <f t="shared" si="2"/>
        <v>0</v>
      </c>
      <c r="P9" s="425"/>
      <c r="Q9" s="426"/>
      <c r="R9" s="387"/>
    </row>
    <row r="10" spans="1:18" x14ac:dyDescent="0.3">
      <c r="A10" s="385"/>
      <c r="B10" s="443"/>
      <c r="C10" s="404"/>
      <c r="D10" s="405"/>
      <c r="E10" s="406" t="str">
        <f t="shared" si="1"/>
        <v/>
      </c>
      <c r="F10" s="407" t="str">
        <f t="shared" si="0"/>
        <v/>
      </c>
      <c r="G10" s="408"/>
      <c r="H10" s="408"/>
      <c r="I10" s="409"/>
      <c r="J10" s="410"/>
      <c r="K10" s="440"/>
      <c r="L10" s="437"/>
      <c r="M10" s="434"/>
      <c r="N10" s="431"/>
      <c r="O10" s="424" t="str">
        <f t="shared" si="2"/>
        <v/>
      </c>
      <c r="P10" s="425"/>
      <c r="Q10" s="426"/>
      <c r="R10" s="387"/>
    </row>
    <row r="11" spans="1:18" x14ac:dyDescent="0.3">
      <c r="A11" s="385"/>
      <c r="B11" s="443"/>
      <c r="C11" s="404"/>
      <c r="D11" s="405"/>
      <c r="E11" s="406" t="str">
        <f t="shared" si="1"/>
        <v/>
      </c>
      <c r="F11" s="407" t="str">
        <f t="shared" si="0"/>
        <v/>
      </c>
      <c r="G11" s="408"/>
      <c r="H11" s="408"/>
      <c r="I11" s="409"/>
      <c r="J11" s="410"/>
      <c r="K11" s="440"/>
      <c r="L11" s="437"/>
      <c r="M11" s="434"/>
      <c r="N11" s="431"/>
      <c r="O11" s="424" t="str">
        <f t="shared" si="2"/>
        <v/>
      </c>
      <c r="P11" s="425"/>
      <c r="Q11" s="426"/>
      <c r="R11" s="387"/>
    </row>
    <row r="12" spans="1:18" x14ac:dyDescent="0.3">
      <c r="A12" s="385"/>
      <c r="B12" s="443"/>
      <c r="C12" s="404"/>
      <c r="D12" s="405"/>
      <c r="E12" s="406" t="str">
        <f t="shared" si="1"/>
        <v/>
      </c>
      <c r="F12" s="407" t="str">
        <f t="shared" si="0"/>
        <v/>
      </c>
      <c r="G12" s="408"/>
      <c r="H12" s="408"/>
      <c r="I12" s="409"/>
      <c r="J12" s="410"/>
      <c r="K12" s="440"/>
      <c r="L12" s="437"/>
      <c r="M12" s="434"/>
      <c r="N12" s="431"/>
      <c r="O12" s="424" t="str">
        <f t="shared" si="2"/>
        <v/>
      </c>
      <c r="P12" s="425"/>
      <c r="Q12" s="426"/>
      <c r="R12" s="387"/>
    </row>
    <row r="13" spans="1:18" x14ac:dyDescent="0.3">
      <c r="A13" s="385"/>
      <c r="B13" s="443"/>
      <c r="C13" s="404"/>
      <c r="D13" s="405"/>
      <c r="E13" s="406" t="str">
        <f t="shared" si="1"/>
        <v/>
      </c>
      <c r="F13" s="407" t="str">
        <f t="shared" si="0"/>
        <v/>
      </c>
      <c r="G13" s="408"/>
      <c r="H13" s="408"/>
      <c r="I13" s="409"/>
      <c r="J13" s="410"/>
      <c r="K13" s="440"/>
      <c r="L13" s="437"/>
      <c r="M13" s="434"/>
      <c r="N13" s="431"/>
      <c r="O13" s="424" t="str">
        <f t="shared" si="2"/>
        <v/>
      </c>
      <c r="P13" s="425"/>
      <c r="Q13" s="426"/>
      <c r="R13" s="387"/>
    </row>
    <row r="14" spans="1:18" x14ac:dyDescent="0.3">
      <c r="A14" s="385"/>
      <c r="B14" s="443"/>
      <c r="C14" s="404"/>
      <c r="D14" s="405"/>
      <c r="E14" s="406" t="str">
        <f t="shared" si="1"/>
        <v/>
      </c>
      <c r="F14" s="407" t="str">
        <f t="shared" si="0"/>
        <v/>
      </c>
      <c r="G14" s="408"/>
      <c r="H14" s="408"/>
      <c r="I14" s="409"/>
      <c r="J14" s="410"/>
      <c r="K14" s="440"/>
      <c r="L14" s="437"/>
      <c r="M14" s="434"/>
      <c r="N14" s="431"/>
      <c r="O14" s="424" t="str">
        <f t="shared" si="2"/>
        <v/>
      </c>
      <c r="P14" s="425"/>
      <c r="Q14" s="426"/>
      <c r="R14" s="387"/>
    </row>
    <row r="15" spans="1:18" x14ac:dyDescent="0.3">
      <c r="A15" s="385"/>
      <c r="B15" s="443"/>
      <c r="C15" s="404"/>
      <c r="D15" s="405"/>
      <c r="E15" s="406" t="str">
        <f t="shared" si="1"/>
        <v/>
      </c>
      <c r="F15" s="407" t="str">
        <f t="shared" si="0"/>
        <v/>
      </c>
      <c r="G15" s="408"/>
      <c r="H15" s="408"/>
      <c r="I15" s="409"/>
      <c r="J15" s="410"/>
      <c r="K15" s="440"/>
      <c r="L15" s="437"/>
      <c r="M15" s="434"/>
      <c r="N15" s="431"/>
      <c r="O15" s="424" t="str">
        <f t="shared" si="2"/>
        <v/>
      </c>
      <c r="P15" s="425"/>
      <c r="Q15" s="426"/>
      <c r="R15" s="387"/>
    </row>
    <row r="16" spans="1:18" x14ac:dyDescent="0.3">
      <c r="A16" s="385"/>
      <c r="B16" s="443"/>
      <c r="C16" s="404"/>
      <c r="D16" s="405"/>
      <c r="E16" s="406" t="str">
        <f t="shared" si="1"/>
        <v/>
      </c>
      <c r="F16" s="407" t="str">
        <f t="shared" si="0"/>
        <v/>
      </c>
      <c r="G16" s="408"/>
      <c r="H16" s="408"/>
      <c r="I16" s="409"/>
      <c r="J16" s="410"/>
      <c r="K16" s="440"/>
      <c r="L16" s="437"/>
      <c r="M16" s="434"/>
      <c r="N16" s="431"/>
      <c r="O16" s="424" t="str">
        <f t="shared" si="2"/>
        <v/>
      </c>
      <c r="P16" s="425"/>
      <c r="Q16" s="426"/>
      <c r="R16" s="387"/>
    </row>
    <row r="17" spans="1:18" x14ac:dyDescent="0.3">
      <c r="A17" s="385"/>
      <c r="B17" s="443"/>
      <c r="C17" s="404"/>
      <c r="D17" s="405"/>
      <c r="E17" s="406" t="str">
        <f t="shared" si="1"/>
        <v/>
      </c>
      <c r="F17" s="407" t="str">
        <f t="shared" si="0"/>
        <v/>
      </c>
      <c r="G17" s="408"/>
      <c r="H17" s="408"/>
      <c r="I17" s="409"/>
      <c r="J17" s="410"/>
      <c r="K17" s="440"/>
      <c r="L17" s="437"/>
      <c r="M17" s="434"/>
      <c r="N17" s="431"/>
      <c r="O17" s="424" t="str">
        <f t="shared" si="2"/>
        <v/>
      </c>
      <c r="P17" s="425"/>
      <c r="Q17" s="426"/>
      <c r="R17" s="387"/>
    </row>
    <row r="18" spans="1:18" x14ac:dyDescent="0.3">
      <c r="A18" s="385"/>
      <c r="B18" s="443"/>
      <c r="C18" s="404"/>
      <c r="D18" s="405"/>
      <c r="E18" s="406" t="str">
        <f t="shared" si="1"/>
        <v/>
      </c>
      <c r="F18" s="407" t="str">
        <f t="shared" si="0"/>
        <v/>
      </c>
      <c r="G18" s="408"/>
      <c r="H18" s="408"/>
      <c r="I18" s="409"/>
      <c r="J18" s="410"/>
      <c r="K18" s="440"/>
      <c r="L18" s="437"/>
      <c r="M18" s="434"/>
      <c r="N18" s="431"/>
      <c r="O18" s="424" t="str">
        <f t="shared" si="2"/>
        <v/>
      </c>
      <c r="P18" s="425"/>
      <c r="Q18" s="426"/>
      <c r="R18" s="387"/>
    </row>
    <row r="19" spans="1:18" x14ac:dyDescent="0.3">
      <c r="A19" s="385"/>
      <c r="B19" s="443"/>
      <c r="C19" s="404"/>
      <c r="D19" s="405"/>
      <c r="E19" s="406" t="str">
        <f t="shared" si="1"/>
        <v/>
      </c>
      <c r="F19" s="407" t="str">
        <f t="shared" si="0"/>
        <v/>
      </c>
      <c r="G19" s="408"/>
      <c r="H19" s="408"/>
      <c r="I19" s="409"/>
      <c r="J19" s="410"/>
      <c r="K19" s="440"/>
      <c r="L19" s="437"/>
      <c r="M19" s="434"/>
      <c r="N19" s="431"/>
      <c r="O19" s="424" t="str">
        <f t="shared" si="2"/>
        <v/>
      </c>
      <c r="P19" s="425"/>
      <c r="Q19" s="426"/>
      <c r="R19" s="387"/>
    </row>
    <row r="20" spans="1:18" x14ac:dyDescent="0.3">
      <c r="A20" s="385"/>
      <c r="B20" s="443"/>
      <c r="C20" s="404"/>
      <c r="D20" s="405"/>
      <c r="E20" s="406" t="str">
        <f t="shared" si="1"/>
        <v/>
      </c>
      <c r="F20" s="407" t="str">
        <f t="shared" si="0"/>
        <v/>
      </c>
      <c r="G20" s="408"/>
      <c r="H20" s="408"/>
      <c r="I20" s="409"/>
      <c r="J20" s="410"/>
      <c r="K20" s="440"/>
      <c r="L20" s="437"/>
      <c r="M20" s="434"/>
      <c r="N20" s="431"/>
      <c r="O20" s="424" t="str">
        <f t="shared" si="2"/>
        <v/>
      </c>
      <c r="P20" s="425"/>
      <c r="Q20" s="426"/>
      <c r="R20" s="387"/>
    </row>
    <row r="21" spans="1:18" x14ac:dyDescent="0.3">
      <c r="A21" s="385"/>
      <c r="B21" s="443"/>
      <c r="C21" s="404"/>
      <c r="D21" s="405"/>
      <c r="E21" s="406" t="str">
        <f t="shared" si="1"/>
        <v/>
      </c>
      <c r="F21" s="407" t="str">
        <f t="shared" si="0"/>
        <v/>
      </c>
      <c r="G21" s="408"/>
      <c r="H21" s="408"/>
      <c r="I21" s="409"/>
      <c r="J21" s="410"/>
      <c r="K21" s="440"/>
      <c r="L21" s="437"/>
      <c r="M21" s="434"/>
      <c r="N21" s="431"/>
      <c r="O21" s="424" t="str">
        <f t="shared" si="2"/>
        <v/>
      </c>
      <c r="P21" s="425"/>
      <c r="Q21" s="426"/>
      <c r="R21" s="387"/>
    </row>
    <row r="22" spans="1:18" x14ac:dyDescent="0.3">
      <c r="A22" s="385"/>
      <c r="B22" s="443"/>
      <c r="C22" s="404"/>
      <c r="D22" s="405"/>
      <c r="E22" s="406" t="str">
        <f t="shared" si="1"/>
        <v/>
      </c>
      <c r="F22" s="407" t="str">
        <f t="shared" si="0"/>
        <v/>
      </c>
      <c r="G22" s="408"/>
      <c r="H22" s="408"/>
      <c r="I22" s="409"/>
      <c r="J22" s="410"/>
      <c r="K22" s="440"/>
      <c r="L22" s="437"/>
      <c r="M22" s="434"/>
      <c r="N22" s="431"/>
      <c r="O22" s="424" t="str">
        <f t="shared" si="2"/>
        <v/>
      </c>
      <c r="P22" s="425"/>
      <c r="Q22" s="426"/>
      <c r="R22" s="387"/>
    </row>
    <row r="23" spans="1:18" x14ac:dyDescent="0.3">
      <c r="A23" s="385"/>
      <c r="B23" s="443"/>
      <c r="C23" s="404"/>
      <c r="D23" s="405"/>
      <c r="E23" s="406" t="str">
        <f t="shared" si="1"/>
        <v/>
      </c>
      <c r="F23" s="407" t="str">
        <f t="shared" si="0"/>
        <v/>
      </c>
      <c r="G23" s="408"/>
      <c r="H23" s="408"/>
      <c r="I23" s="409"/>
      <c r="J23" s="410"/>
      <c r="K23" s="440"/>
      <c r="L23" s="437"/>
      <c r="M23" s="434"/>
      <c r="N23" s="431"/>
      <c r="O23" s="424" t="str">
        <f t="shared" si="2"/>
        <v/>
      </c>
      <c r="P23" s="425"/>
      <c r="Q23" s="426"/>
      <c r="R23" s="387"/>
    </row>
    <row r="24" spans="1:18" x14ac:dyDescent="0.3">
      <c r="A24" s="385"/>
      <c r="B24" s="444"/>
      <c r="C24" s="411"/>
      <c r="D24" s="412"/>
      <c r="E24" s="413" t="str">
        <f t="shared" si="1"/>
        <v/>
      </c>
      <c r="F24" s="414" t="str">
        <f t="shared" si="0"/>
        <v/>
      </c>
      <c r="G24" s="415"/>
      <c r="H24" s="415"/>
      <c r="I24" s="416"/>
      <c r="J24" s="417"/>
      <c r="K24" s="441"/>
      <c r="L24" s="438"/>
      <c r="M24" s="435"/>
      <c r="N24" s="432"/>
      <c r="O24" s="427" t="str">
        <f t="shared" si="2"/>
        <v/>
      </c>
      <c r="P24" s="428"/>
      <c r="Q24" s="429"/>
      <c r="R24" s="387"/>
    </row>
    <row r="25" spans="1:18" x14ac:dyDescent="0.3">
      <c r="A25" s="385"/>
      <c r="R25" s="387"/>
    </row>
    <row r="26" spans="1:18" x14ac:dyDescent="0.3">
      <c r="A26" s="385"/>
      <c r="R26" s="387"/>
    </row>
    <row r="27" spans="1:18" x14ac:dyDescent="0.3">
      <c r="A27" s="385"/>
      <c r="R27" s="387"/>
    </row>
    <row r="28" spans="1:18" x14ac:dyDescent="0.3">
      <c r="A28" s="385"/>
      <c r="R28" s="387"/>
    </row>
    <row r="29" spans="1:18" x14ac:dyDescent="0.3">
      <c r="A29" s="385"/>
      <c r="R29" s="387"/>
    </row>
    <row r="30" spans="1:18" x14ac:dyDescent="0.3">
      <c r="A30" s="385"/>
      <c r="R30" s="387"/>
    </row>
    <row r="31" spans="1:18" x14ac:dyDescent="0.3">
      <c r="A31" s="385"/>
      <c r="R31" s="387"/>
    </row>
    <row r="32" spans="1:18" x14ac:dyDescent="0.3">
      <c r="A32" s="385"/>
      <c r="R32" s="387"/>
    </row>
    <row r="33" spans="1:18" x14ac:dyDescent="0.3">
      <c r="A33" s="385"/>
      <c r="R33" s="387"/>
    </row>
    <row r="34" spans="1:18" x14ac:dyDescent="0.3">
      <c r="A34" s="385"/>
      <c r="R34" s="387"/>
    </row>
    <row r="35" spans="1:18" x14ac:dyDescent="0.3">
      <c r="A35" s="385"/>
      <c r="R35" s="387"/>
    </row>
    <row r="36" spans="1:18" x14ac:dyDescent="0.3">
      <c r="A36" s="385"/>
      <c r="R36" s="387"/>
    </row>
    <row r="37" spans="1:18" x14ac:dyDescent="0.3">
      <c r="A37" s="385"/>
      <c r="R37" s="387"/>
    </row>
    <row r="38" spans="1:18" x14ac:dyDescent="0.3">
      <c r="A38" s="385"/>
      <c r="R38" s="387"/>
    </row>
    <row r="39" spans="1:18" x14ac:dyDescent="0.3">
      <c r="A39" s="385"/>
      <c r="R39" s="387"/>
    </row>
    <row r="40" spans="1:18" x14ac:dyDescent="0.3">
      <c r="A40" s="385"/>
      <c r="R40" s="387"/>
    </row>
    <row r="41" spans="1:18" x14ac:dyDescent="0.3">
      <c r="A41" s="385"/>
      <c r="R41" s="387"/>
    </row>
    <row r="42" spans="1:18" x14ac:dyDescent="0.3">
      <c r="A42" s="385"/>
      <c r="R42" s="387"/>
    </row>
    <row r="43" spans="1:18" x14ac:dyDescent="0.3">
      <c r="A43" s="385"/>
      <c r="R43" s="387"/>
    </row>
    <row r="44" spans="1:18" x14ac:dyDescent="0.3">
      <c r="A44" s="385"/>
      <c r="R44" s="387"/>
    </row>
    <row r="45" spans="1:18" x14ac:dyDescent="0.3">
      <c r="A45" s="385"/>
      <c r="R45" s="387"/>
    </row>
    <row r="46" spans="1:18" x14ac:dyDescent="0.3">
      <c r="A46" s="385"/>
      <c r="R46" s="387"/>
    </row>
    <row r="47" spans="1:18" x14ac:dyDescent="0.3">
      <c r="A47" s="385"/>
      <c r="R47" s="387"/>
    </row>
    <row r="48" spans="1:18" x14ac:dyDescent="0.3">
      <c r="A48" s="385"/>
      <c r="R48" s="387"/>
    </row>
    <row r="49" spans="1:18" x14ac:dyDescent="0.3">
      <c r="A49" s="385"/>
      <c r="R49" s="387"/>
    </row>
    <row r="50" spans="1:18" x14ac:dyDescent="0.3">
      <c r="A50" s="385"/>
      <c r="R50" s="387"/>
    </row>
    <row r="51" spans="1:18" x14ac:dyDescent="0.3">
      <c r="A51" s="385"/>
      <c r="R51" s="387"/>
    </row>
    <row r="52" spans="1:18" x14ac:dyDescent="0.3">
      <c r="A52" s="385"/>
      <c r="R52" s="387"/>
    </row>
    <row r="53" spans="1:18" x14ac:dyDescent="0.3">
      <c r="A53" s="385"/>
      <c r="R53" s="387"/>
    </row>
    <row r="54" spans="1:18" x14ac:dyDescent="0.3">
      <c r="A54" s="385"/>
      <c r="R54" s="387"/>
    </row>
    <row r="55" spans="1:18" ht="14.5" thickBot="1" x14ac:dyDescent="0.35">
      <c r="A55" s="418"/>
      <c r="B55" s="419"/>
      <c r="C55" s="419"/>
      <c r="D55" s="419"/>
      <c r="E55" s="419"/>
      <c r="F55" s="419"/>
      <c r="G55" s="419"/>
      <c r="H55" s="419"/>
      <c r="I55" s="419"/>
      <c r="J55" s="419"/>
      <c r="K55" s="419"/>
      <c r="L55" s="419"/>
      <c r="M55" s="419"/>
      <c r="N55" s="419"/>
      <c r="O55" s="419"/>
      <c r="P55" s="419"/>
      <c r="Q55" s="419"/>
      <c r="R55" s="420"/>
    </row>
  </sheetData>
  <mergeCells count="2">
    <mergeCell ref="A1:R1"/>
    <mergeCell ref="D3:E3"/>
  </mergeCells>
  <phoneticPr fontId="75" type="noConversion"/>
  <conditionalFormatting sqref="D6:D24">
    <cfRule type="cellIs" dxfId="6" priority="2" operator="greaterThan">
      <formula>0</formula>
    </cfRule>
    <cfRule type="cellIs" dxfId="5" priority="3" operator="lessThan">
      <formula>0</formula>
    </cfRule>
  </conditionalFormatting>
  <conditionalFormatting sqref="O6:O24">
    <cfRule type="cellIs" dxfId="4" priority="1" operator="lessThan">
      <formula>$Q6</formula>
    </cfRule>
  </conditionalFormatting>
  <pageMargins left="0.7" right="0.7" top="0.78740157499999996" bottom="0.78740157499999996" header="0.3" footer="0.3"/>
  <pageSetup orientation="portrait" r:id="rId1"/>
  <headerFooter>
    <oddHeader>&amp;L&amp;"Calibri"&amp;10&amp;K000000 INTERNAL&amp;1#_x000D_</oddHeader>
    <oddFooter>&amp;L_x000D_&amp;1#&amp;"Calibri"&amp;10&amp;K000000 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3">
    <pageSetUpPr fitToPage="1"/>
  </sheetPr>
  <dimension ref="A1:I27"/>
  <sheetViews>
    <sheetView workbookViewId="0">
      <pane ySplit="5" topLeftCell="A6" activePane="bottomLeft" state="frozen"/>
      <selection activeCell="O17" sqref="O17"/>
      <selection pane="bottomLeft" sqref="A1:J1048576"/>
    </sheetView>
  </sheetViews>
  <sheetFormatPr defaultColWidth="11" defaultRowHeight="14" x14ac:dyDescent="0.3"/>
  <cols>
    <col min="1" max="1" width="2.58203125" style="50" customWidth="1"/>
    <col min="2" max="2" width="4.4140625" style="50" customWidth="1"/>
    <col min="3" max="3" width="37.08203125" style="50" customWidth="1"/>
    <col min="4" max="4" width="26.1640625" style="50" customWidth="1"/>
    <col min="5" max="5" width="16.08203125" style="50" customWidth="1"/>
    <col min="6" max="6" width="9.58203125" style="50" customWidth="1"/>
    <col min="7" max="7" width="8.4140625" style="50" customWidth="1"/>
    <col min="8" max="8" width="26.58203125" style="50" customWidth="1"/>
    <col min="9" max="9" width="2.58203125" style="50" customWidth="1"/>
    <col min="10" max="16384" width="11" style="50"/>
  </cols>
  <sheetData>
    <row r="1" spans="1:9" ht="21" thickBot="1" x14ac:dyDescent="0.35">
      <c r="A1" s="558" t="str">
        <f>CONCATENATE("List of Open Points - ", Datasheet!C9)</f>
        <v>List of Open Points - Schaeffler Trading(Shanghai) Co., Ltd</v>
      </c>
      <c r="B1" s="558"/>
      <c r="C1" s="558"/>
      <c r="D1" s="558"/>
      <c r="E1" s="558"/>
      <c r="F1" s="558"/>
      <c r="G1" s="558"/>
      <c r="H1" s="558"/>
      <c r="I1" s="558"/>
    </row>
    <row r="2" spans="1:9" ht="26.25" customHeight="1" thickBot="1" x14ac:dyDescent="0.6">
      <c r="A2" s="51"/>
      <c r="B2" s="584" t="str">
        <f>CONCATENATE(RIGHT(Datasheet!A1,LEN(Datasheet!A1)-12)," - LOP of ",TEXT(Datasheet!C4,"MMMM TT, JJJJ"))</f>
        <v>Performance test (SFN 3) - LOP of June TT, JJJJ</v>
      </c>
      <c r="C2" s="584"/>
      <c r="D2" s="584"/>
      <c r="E2" s="584"/>
      <c r="F2" s="584"/>
      <c r="G2" s="584"/>
      <c r="H2" s="584"/>
      <c r="I2" s="47"/>
    </row>
    <row r="3" spans="1:9" s="22" customFormat="1" ht="8.25" customHeight="1" x14ac:dyDescent="0.2">
      <c r="A3" s="43"/>
      <c r="B3" s="55"/>
      <c r="C3" s="44"/>
      <c r="D3" s="56"/>
      <c r="E3" s="44"/>
      <c r="F3" s="44"/>
      <c r="G3" s="44"/>
      <c r="H3" s="44"/>
      <c r="I3" s="45"/>
    </row>
    <row r="4" spans="1:9" x14ac:dyDescent="0.3">
      <c r="A4" s="52"/>
      <c r="B4" s="241" t="s">
        <v>208</v>
      </c>
      <c r="C4" s="241" t="s">
        <v>209</v>
      </c>
      <c r="D4" s="241" t="s">
        <v>210</v>
      </c>
      <c r="E4" s="241" t="s">
        <v>211</v>
      </c>
      <c r="F4" s="241" t="s">
        <v>212</v>
      </c>
      <c r="G4" s="241" t="s">
        <v>81</v>
      </c>
      <c r="H4" s="241" t="s">
        <v>213</v>
      </c>
      <c r="I4" s="53"/>
    </row>
    <row r="5" spans="1:9" s="22" customFormat="1" ht="39" x14ac:dyDescent="0.3">
      <c r="A5" s="242"/>
      <c r="B5" s="243"/>
      <c r="C5" s="243" t="s">
        <v>214</v>
      </c>
      <c r="D5" s="243" t="s">
        <v>215</v>
      </c>
      <c r="E5" s="243" t="s">
        <v>216</v>
      </c>
      <c r="F5" s="243" t="s">
        <v>217</v>
      </c>
      <c r="G5" s="243"/>
      <c r="H5" s="243" t="s">
        <v>218</v>
      </c>
      <c r="I5" s="244"/>
    </row>
    <row r="6" spans="1:9" ht="14.5" thickBot="1" x14ac:dyDescent="0.35">
      <c r="A6" s="27"/>
      <c r="B6" s="28"/>
      <c r="C6" s="245"/>
      <c r="D6" s="28"/>
      <c r="E6" s="28"/>
      <c r="F6" s="28"/>
      <c r="G6" s="28"/>
      <c r="H6" s="28"/>
      <c r="I6" s="30"/>
    </row>
    <row r="7" spans="1:9" x14ac:dyDescent="0.3">
      <c r="A7" s="52"/>
      <c r="B7" s="57">
        <v>1</v>
      </c>
      <c r="C7" s="468"/>
      <c r="D7" s="470"/>
      <c r="E7" s="471"/>
      <c r="F7" s="472"/>
      <c r="G7" s="471"/>
      <c r="H7" s="471"/>
      <c r="I7" s="53"/>
    </row>
    <row r="8" spans="1:9" x14ac:dyDescent="0.3">
      <c r="A8" s="52"/>
      <c r="B8" s="54">
        <v>2</v>
      </c>
      <c r="C8" s="469"/>
      <c r="D8" s="473"/>
      <c r="E8" s="474"/>
      <c r="F8" s="475"/>
      <c r="G8" s="474"/>
      <c r="H8" s="474"/>
      <c r="I8" s="53"/>
    </row>
    <row r="9" spans="1:9" x14ac:dyDescent="0.3">
      <c r="A9" s="52"/>
      <c r="B9" s="54">
        <v>3</v>
      </c>
      <c r="C9" s="469"/>
      <c r="D9" s="473"/>
      <c r="E9" s="474"/>
      <c r="F9" s="475"/>
      <c r="G9" s="474"/>
      <c r="H9" s="474"/>
      <c r="I9" s="53"/>
    </row>
    <row r="10" spans="1:9" x14ac:dyDescent="0.3">
      <c r="A10" s="52"/>
      <c r="B10" s="54">
        <v>4</v>
      </c>
      <c r="C10" s="246"/>
      <c r="D10" s="247"/>
      <c r="E10" s="58"/>
      <c r="F10" s="248"/>
      <c r="G10" s="58"/>
      <c r="H10" s="58"/>
      <c r="I10" s="53"/>
    </row>
    <row r="11" spans="1:9" x14ac:dyDescent="0.3">
      <c r="A11" s="52"/>
      <c r="B11" s="54">
        <v>5</v>
      </c>
      <c r="C11" s="246"/>
      <c r="D11" s="247"/>
      <c r="E11" s="58"/>
      <c r="F11" s="248"/>
      <c r="G11" s="58"/>
      <c r="H11" s="58"/>
      <c r="I11" s="53"/>
    </row>
    <row r="12" spans="1:9" x14ac:dyDescent="0.3">
      <c r="A12" s="52"/>
      <c r="B12" s="54">
        <v>6</v>
      </c>
      <c r="C12" s="246"/>
      <c r="D12" s="247"/>
      <c r="E12" s="58"/>
      <c r="F12" s="248"/>
      <c r="G12" s="58"/>
      <c r="H12" s="58"/>
      <c r="I12" s="53"/>
    </row>
    <row r="13" spans="1:9" x14ac:dyDescent="0.3">
      <c r="A13" s="52"/>
      <c r="B13" s="54">
        <v>7</v>
      </c>
      <c r="C13" s="246"/>
      <c r="D13" s="247"/>
      <c r="E13" s="58"/>
      <c r="F13" s="248"/>
      <c r="G13" s="58"/>
      <c r="H13" s="58"/>
      <c r="I13" s="53"/>
    </row>
    <row r="14" spans="1:9" x14ac:dyDescent="0.3">
      <c r="A14" s="52"/>
      <c r="B14" s="54">
        <v>8</v>
      </c>
      <c r="C14" s="246"/>
      <c r="D14" s="247"/>
      <c r="E14" s="58"/>
      <c r="F14" s="248"/>
      <c r="G14" s="58"/>
      <c r="H14" s="58"/>
      <c r="I14" s="53"/>
    </row>
    <row r="15" spans="1:9" x14ac:dyDescent="0.3">
      <c r="A15" s="52"/>
      <c r="B15" s="54">
        <v>9</v>
      </c>
      <c r="C15" s="246"/>
      <c r="D15" s="247"/>
      <c r="E15" s="58"/>
      <c r="F15" s="248"/>
      <c r="G15" s="58"/>
      <c r="H15" s="58"/>
      <c r="I15" s="53"/>
    </row>
    <row r="16" spans="1:9" x14ac:dyDescent="0.3">
      <c r="A16" s="52"/>
      <c r="B16" s="54">
        <v>10</v>
      </c>
      <c r="C16" s="246"/>
      <c r="D16" s="247"/>
      <c r="E16" s="58"/>
      <c r="F16" s="248"/>
      <c r="G16" s="58"/>
      <c r="H16" s="58"/>
      <c r="I16" s="53"/>
    </row>
    <row r="17" spans="1:9" x14ac:dyDescent="0.3">
      <c r="A17" s="52"/>
      <c r="B17" s="54">
        <v>11</v>
      </c>
      <c r="C17" s="246"/>
      <c r="D17" s="247"/>
      <c r="E17" s="58"/>
      <c r="F17" s="248"/>
      <c r="G17" s="58"/>
      <c r="H17" s="58"/>
      <c r="I17" s="53"/>
    </row>
    <row r="18" spans="1:9" x14ac:dyDescent="0.3">
      <c r="A18" s="52"/>
      <c r="B18" s="54">
        <v>12</v>
      </c>
      <c r="C18" s="246"/>
      <c r="D18" s="247"/>
      <c r="E18" s="58"/>
      <c r="F18" s="248"/>
      <c r="G18" s="58"/>
      <c r="H18" s="58"/>
      <c r="I18" s="53"/>
    </row>
    <row r="19" spans="1:9" x14ac:dyDescent="0.3">
      <c r="A19" s="52"/>
      <c r="B19" s="54">
        <v>13</v>
      </c>
      <c r="C19" s="246"/>
      <c r="D19" s="247"/>
      <c r="E19" s="58"/>
      <c r="F19" s="248"/>
      <c r="G19" s="58"/>
      <c r="H19" s="58"/>
      <c r="I19" s="53"/>
    </row>
    <row r="20" spans="1:9" x14ac:dyDescent="0.3">
      <c r="A20" s="52"/>
      <c r="B20" s="54">
        <v>14</v>
      </c>
      <c r="C20" s="246"/>
      <c r="D20" s="247"/>
      <c r="E20" s="58"/>
      <c r="F20" s="248"/>
      <c r="G20" s="58"/>
      <c r="H20" s="58"/>
      <c r="I20" s="53"/>
    </row>
    <row r="21" spans="1:9" x14ac:dyDescent="0.3">
      <c r="A21" s="52"/>
      <c r="B21" s="54">
        <v>15</v>
      </c>
      <c r="C21" s="246"/>
      <c r="D21" s="247"/>
      <c r="E21" s="58"/>
      <c r="F21" s="248"/>
      <c r="G21" s="58"/>
      <c r="H21" s="58"/>
      <c r="I21" s="53"/>
    </row>
    <row r="22" spans="1:9" x14ac:dyDescent="0.3">
      <c r="A22" s="52"/>
      <c r="B22" s="54">
        <v>16</v>
      </c>
      <c r="C22" s="246"/>
      <c r="D22" s="247"/>
      <c r="E22" s="58"/>
      <c r="F22" s="248"/>
      <c r="G22" s="58"/>
      <c r="H22" s="58"/>
      <c r="I22" s="53"/>
    </row>
    <row r="23" spans="1:9" x14ac:dyDescent="0.3">
      <c r="A23" s="52"/>
      <c r="B23" s="54">
        <v>17</v>
      </c>
      <c r="C23" s="246"/>
      <c r="D23" s="247"/>
      <c r="E23" s="58"/>
      <c r="F23" s="248"/>
      <c r="G23" s="58"/>
      <c r="H23" s="58"/>
      <c r="I23" s="53"/>
    </row>
    <row r="24" spans="1:9" x14ac:dyDescent="0.3">
      <c r="A24" s="52"/>
      <c r="B24" s="54">
        <v>18</v>
      </c>
      <c r="C24" s="246"/>
      <c r="D24" s="247"/>
      <c r="E24" s="58"/>
      <c r="F24" s="248"/>
      <c r="G24" s="58"/>
      <c r="H24" s="58"/>
      <c r="I24" s="53"/>
    </row>
    <row r="25" spans="1:9" x14ac:dyDescent="0.3">
      <c r="A25" s="52"/>
      <c r="B25" s="54">
        <v>20</v>
      </c>
      <c r="C25" s="246"/>
      <c r="D25" s="247"/>
      <c r="E25" s="58"/>
      <c r="F25" s="248"/>
      <c r="G25" s="58"/>
      <c r="H25" s="58"/>
      <c r="I25" s="53"/>
    </row>
    <row r="26" spans="1:9" s="22" customFormat="1" ht="8.5" thickBot="1" x14ac:dyDescent="0.25">
      <c r="A26" s="21"/>
      <c r="I26" s="23"/>
    </row>
    <row r="27" spans="1:9" ht="50.5" thickBot="1" x14ac:dyDescent="1.05">
      <c r="A27" s="452"/>
      <c r="B27" s="585" t="s">
        <v>471</v>
      </c>
      <c r="C27" s="585"/>
      <c r="D27" s="585"/>
      <c r="E27" s="585"/>
      <c r="F27" s="585"/>
      <c r="G27" s="585"/>
      <c r="H27" s="585"/>
      <c r="I27" s="586"/>
    </row>
  </sheetData>
  <mergeCells count="3">
    <mergeCell ref="A1:I1"/>
    <mergeCell ref="B2:H2"/>
    <mergeCell ref="B27:I27"/>
  </mergeCells>
  <phoneticPr fontId="75" type="noConversion"/>
  <printOptions horizontalCentered="1"/>
  <pageMargins left="0.70866141732283472" right="0.70866141732283472" top="0.9055118110236221" bottom="0.78740157480314965" header="0.31496062992125984" footer="0.31496062992125984"/>
  <pageSetup paperSize="9" scale="59" fitToHeight="0" orientation="portrait" r:id="rId1"/>
  <headerFooter>
    <oddHeader>&amp;L&amp;"Calibri"&amp;10&amp;K000000 INTERNAL&amp;1#_x000D_&amp;"Arial"&amp;11&amp;K000000&amp;"Arial"&amp;11&amp;K000000
&amp;"Calibri,Standard"Kapazitätsplanung und abnahme
&amp;A&amp;R&amp;G</oddHeader>
    <oddFooter>&amp;L&amp;"Audi Type,Standard"&amp;8&amp;F_x000D_&amp;1#&amp;"Calibri"&amp;10&amp;K000000 Internal&amp;C&amp;"Audi Type,Standard"&amp;8&amp;P von &amp;N&amp;R&amp;"Audi Type,Standard"&amp;8&amp;D</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pageSetUpPr fitToPage="1"/>
  </sheetPr>
  <dimension ref="A1:F262"/>
  <sheetViews>
    <sheetView zoomScaleNormal="100" workbookViewId="0">
      <selection activeCell="F5" sqref="F5:F82"/>
    </sheetView>
  </sheetViews>
  <sheetFormatPr defaultColWidth="11" defaultRowHeight="13" x14ac:dyDescent="0.3"/>
  <cols>
    <col min="1" max="1" width="28.1640625" style="1" bestFit="1" customWidth="1"/>
    <col min="2" max="2" width="6.4140625" style="1" customWidth="1"/>
    <col min="3" max="3" width="1.6640625" style="59" customWidth="1"/>
    <col min="4" max="4" width="27.1640625" style="1" bestFit="1" customWidth="1"/>
    <col min="5" max="5" width="2.58203125" style="59" bestFit="1" customWidth="1"/>
    <col min="6" max="6" width="20.4140625" style="1" bestFit="1" customWidth="1"/>
    <col min="7" max="16384" width="11" style="1"/>
  </cols>
  <sheetData>
    <row r="1" spans="1:6" s="88" customFormat="1" ht="10.5" x14ac:dyDescent="0.25">
      <c r="A1" s="87">
        <v>1</v>
      </c>
      <c r="B1" s="88">
        <v>2</v>
      </c>
      <c r="C1" s="87">
        <v>3</v>
      </c>
      <c r="D1" s="87">
        <v>4</v>
      </c>
      <c r="E1" s="88">
        <v>5</v>
      </c>
      <c r="F1" s="87">
        <v>6</v>
      </c>
    </row>
    <row r="2" spans="1:6" ht="18" x14ac:dyDescent="0.4">
      <c r="A2" s="587" t="s">
        <v>79</v>
      </c>
      <c r="B2" s="587"/>
      <c r="D2" s="260" t="s">
        <v>80</v>
      </c>
      <c r="F2" s="260" t="s">
        <v>87</v>
      </c>
    </row>
    <row r="4" spans="1:6" x14ac:dyDescent="0.3">
      <c r="A4" s="11" t="s">
        <v>0</v>
      </c>
      <c r="B4" s="11" t="s">
        <v>1</v>
      </c>
      <c r="D4" s="48" t="s">
        <v>86</v>
      </c>
      <c r="F4" s="317" t="s">
        <v>82</v>
      </c>
    </row>
    <row r="5" spans="1:6" x14ac:dyDescent="0.3">
      <c r="A5" s="12" t="s">
        <v>106</v>
      </c>
      <c r="B5" s="11" t="s">
        <v>2</v>
      </c>
      <c r="D5" s="1" t="s">
        <v>146</v>
      </c>
      <c r="F5" s="1" t="s">
        <v>219</v>
      </c>
    </row>
    <row r="6" spans="1:6" x14ac:dyDescent="0.3">
      <c r="A6" s="13" t="s">
        <v>231</v>
      </c>
      <c r="B6" s="13"/>
      <c r="D6" s="1" t="s">
        <v>147</v>
      </c>
      <c r="F6" s="1" t="s">
        <v>381</v>
      </c>
    </row>
    <row r="7" spans="1:6" x14ac:dyDescent="0.3">
      <c r="A7" s="13" t="s">
        <v>225</v>
      </c>
      <c r="B7" s="13"/>
      <c r="D7" s="1" t="s">
        <v>148</v>
      </c>
      <c r="F7" s="172" t="s">
        <v>382</v>
      </c>
    </row>
    <row r="8" spans="1:6" x14ac:dyDescent="0.3">
      <c r="A8" s="13" t="s">
        <v>266</v>
      </c>
      <c r="B8" s="13"/>
      <c r="F8" s="172" t="s">
        <v>383</v>
      </c>
    </row>
    <row r="9" spans="1:6" x14ac:dyDescent="0.3">
      <c r="A9" s="13" t="s">
        <v>235</v>
      </c>
      <c r="B9" s="13"/>
      <c r="F9" s="172" t="s">
        <v>384</v>
      </c>
    </row>
    <row r="10" spans="1:6" x14ac:dyDescent="0.3">
      <c r="A10" s="13" t="s">
        <v>227</v>
      </c>
      <c r="B10" s="13"/>
      <c r="F10" s="172" t="s">
        <v>385</v>
      </c>
    </row>
    <row r="11" spans="1:6" x14ac:dyDescent="0.3">
      <c r="A11" s="13" t="s">
        <v>226</v>
      </c>
      <c r="B11" s="13"/>
      <c r="D11" s="173"/>
      <c r="F11" s="172" t="s">
        <v>386</v>
      </c>
    </row>
    <row r="12" spans="1:6" x14ac:dyDescent="0.3">
      <c r="A12" s="13" t="s">
        <v>236</v>
      </c>
      <c r="B12" s="13"/>
      <c r="D12" s="172"/>
      <c r="F12" s="172" t="s">
        <v>387</v>
      </c>
    </row>
    <row r="13" spans="1:6" x14ac:dyDescent="0.3">
      <c r="A13" s="13" t="s">
        <v>229</v>
      </c>
      <c r="B13" s="13"/>
      <c r="D13" s="172"/>
      <c r="F13" s="450" t="s">
        <v>388</v>
      </c>
    </row>
    <row r="14" spans="1:6" x14ac:dyDescent="0.3">
      <c r="A14" s="13" t="s">
        <v>36</v>
      </c>
      <c r="B14" s="13"/>
      <c r="D14" s="172"/>
      <c r="F14" s="450" t="s">
        <v>389</v>
      </c>
    </row>
    <row r="15" spans="1:6" x14ac:dyDescent="0.3">
      <c r="A15" s="13" t="s">
        <v>267</v>
      </c>
      <c r="B15" s="13"/>
      <c r="D15" s="81"/>
      <c r="F15" s="450" t="s">
        <v>390</v>
      </c>
    </row>
    <row r="16" spans="1:6" x14ac:dyDescent="0.3">
      <c r="A16" s="13" t="s">
        <v>268</v>
      </c>
      <c r="B16" s="13"/>
      <c r="F16" s="450" t="s">
        <v>391</v>
      </c>
    </row>
    <row r="17" spans="1:6" x14ac:dyDescent="0.3">
      <c r="A17" s="13" t="s">
        <v>230</v>
      </c>
      <c r="B17" s="13"/>
      <c r="F17" s="450" t="s">
        <v>392</v>
      </c>
    </row>
    <row r="18" spans="1:6" x14ac:dyDescent="0.3">
      <c r="A18" s="13" t="s">
        <v>232</v>
      </c>
      <c r="B18" s="13"/>
      <c r="D18" s="65"/>
      <c r="F18" s="450" t="s">
        <v>393</v>
      </c>
    </row>
    <row r="19" spans="1:6" x14ac:dyDescent="0.3">
      <c r="A19" s="13" t="s">
        <v>56</v>
      </c>
      <c r="B19" s="13"/>
      <c r="F19" s="450" t="s">
        <v>394</v>
      </c>
    </row>
    <row r="20" spans="1:6" x14ac:dyDescent="0.3">
      <c r="A20" s="13" t="s">
        <v>233</v>
      </c>
      <c r="B20" s="13"/>
      <c r="F20" s="172" t="s">
        <v>395</v>
      </c>
    </row>
    <row r="21" spans="1:6" x14ac:dyDescent="0.3">
      <c r="A21" s="13" t="s">
        <v>269</v>
      </c>
      <c r="B21" s="13"/>
      <c r="F21" s="172" t="s">
        <v>396</v>
      </c>
    </row>
    <row r="22" spans="1:6" x14ac:dyDescent="0.3">
      <c r="A22" s="13" t="s">
        <v>270</v>
      </c>
      <c r="B22" s="13"/>
      <c r="F22" s="172" t="s">
        <v>397</v>
      </c>
    </row>
    <row r="23" spans="1:6" x14ac:dyDescent="0.3">
      <c r="A23" s="13" t="s">
        <v>271</v>
      </c>
      <c r="B23" s="13"/>
      <c r="F23" s="172" t="s">
        <v>398</v>
      </c>
    </row>
    <row r="24" spans="1:6" x14ac:dyDescent="0.3">
      <c r="A24" s="13" t="s">
        <v>234</v>
      </c>
      <c r="B24" s="13"/>
      <c r="F24" s="172" t="s">
        <v>399</v>
      </c>
    </row>
    <row r="25" spans="1:6" x14ac:dyDescent="0.3">
      <c r="A25" s="13" t="s">
        <v>272</v>
      </c>
      <c r="B25" s="13"/>
      <c r="F25" s="450" t="s">
        <v>400</v>
      </c>
    </row>
    <row r="26" spans="1:6" x14ac:dyDescent="0.3">
      <c r="A26" s="13" t="s">
        <v>228</v>
      </c>
      <c r="B26" s="13"/>
      <c r="F26" s="450" t="s">
        <v>401</v>
      </c>
    </row>
    <row r="27" spans="1:6" x14ac:dyDescent="0.3">
      <c r="A27" s="13"/>
      <c r="B27" s="13"/>
      <c r="F27" s="450" t="s">
        <v>402</v>
      </c>
    </row>
    <row r="28" spans="1:6" x14ac:dyDescent="0.3">
      <c r="A28" s="13" t="s">
        <v>3</v>
      </c>
      <c r="B28" s="13"/>
      <c r="F28" s="450" t="s">
        <v>403</v>
      </c>
    </row>
    <row r="29" spans="1:6" x14ac:dyDescent="0.3">
      <c r="A29" s="13" t="s">
        <v>273</v>
      </c>
      <c r="B29" s="13"/>
      <c r="F29" s="450" t="s">
        <v>404</v>
      </c>
    </row>
    <row r="30" spans="1:6" x14ac:dyDescent="0.3">
      <c r="A30" s="13" t="s">
        <v>274</v>
      </c>
      <c r="B30" s="13"/>
      <c r="F30" s="450" t="s">
        <v>405</v>
      </c>
    </row>
    <row r="31" spans="1:6" x14ac:dyDescent="0.3">
      <c r="A31" s="13" t="s">
        <v>4</v>
      </c>
      <c r="B31" s="13"/>
      <c r="F31" s="450" t="s">
        <v>406</v>
      </c>
    </row>
    <row r="32" spans="1:6" x14ac:dyDescent="0.3">
      <c r="A32" s="13" t="s">
        <v>5</v>
      </c>
      <c r="B32" s="13"/>
      <c r="F32" s="450" t="s">
        <v>407</v>
      </c>
    </row>
    <row r="33" spans="1:6" x14ac:dyDescent="0.3">
      <c r="A33" s="13" t="s">
        <v>275</v>
      </c>
      <c r="B33" s="13"/>
      <c r="F33" s="450" t="s">
        <v>408</v>
      </c>
    </row>
    <row r="34" spans="1:6" x14ac:dyDescent="0.3">
      <c r="A34" s="13" t="s">
        <v>276</v>
      </c>
      <c r="B34" s="13"/>
      <c r="F34" s="450" t="s">
        <v>409</v>
      </c>
    </row>
    <row r="35" spans="1:6" x14ac:dyDescent="0.3">
      <c r="A35" s="13" t="s">
        <v>277</v>
      </c>
      <c r="B35" s="13"/>
      <c r="F35" s="450" t="s">
        <v>410</v>
      </c>
    </row>
    <row r="36" spans="1:6" x14ac:dyDescent="0.3">
      <c r="A36" s="13" t="s">
        <v>278</v>
      </c>
      <c r="B36" s="13"/>
      <c r="F36" s="450" t="s">
        <v>411</v>
      </c>
    </row>
    <row r="37" spans="1:6" x14ac:dyDescent="0.3">
      <c r="A37" s="13" t="s">
        <v>279</v>
      </c>
      <c r="B37" s="13"/>
      <c r="F37" s="450" t="s">
        <v>412</v>
      </c>
    </row>
    <row r="38" spans="1:6" x14ac:dyDescent="0.3">
      <c r="A38" s="13" t="s">
        <v>280</v>
      </c>
      <c r="B38" s="13"/>
      <c r="F38" s="450" t="s">
        <v>413</v>
      </c>
    </row>
    <row r="39" spans="1:6" x14ac:dyDescent="0.3">
      <c r="A39" s="13" t="s">
        <v>6</v>
      </c>
      <c r="B39" s="13"/>
      <c r="F39" s="450" t="s">
        <v>414</v>
      </c>
    </row>
    <row r="40" spans="1:6" x14ac:dyDescent="0.3">
      <c r="A40" s="13" t="s">
        <v>7</v>
      </c>
      <c r="B40" s="13"/>
      <c r="F40" s="450" t="s">
        <v>415</v>
      </c>
    </row>
    <row r="41" spans="1:6" x14ac:dyDescent="0.3">
      <c r="A41" s="13" t="s">
        <v>8</v>
      </c>
      <c r="B41" s="13"/>
      <c r="F41" s="450" t="s">
        <v>416</v>
      </c>
    </row>
    <row r="42" spans="1:6" x14ac:dyDescent="0.3">
      <c r="A42" s="13" t="s">
        <v>281</v>
      </c>
      <c r="B42" s="13"/>
      <c r="F42" s="450" t="s">
        <v>417</v>
      </c>
    </row>
    <row r="43" spans="1:6" x14ac:dyDescent="0.3">
      <c r="A43" s="13" t="s">
        <v>9</v>
      </c>
      <c r="B43" s="13"/>
      <c r="F43" s="1" t="s">
        <v>418</v>
      </c>
    </row>
    <row r="44" spans="1:6" x14ac:dyDescent="0.3">
      <c r="A44" s="13" t="s">
        <v>10</v>
      </c>
      <c r="B44" s="13"/>
      <c r="F44" s="1" t="s">
        <v>419</v>
      </c>
    </row>
    <row r="45" spans="1:6" x14ac:dyDescent="0.3">
      <c r="A45" s="13" t="s">
        <v>11</v>
      </c>
      <c r="B45" s="13"/>
      <c r="F45" s="1" t="s">
        <v>420</v>
      </c>
    </row>
    <row r="46" spans="1:6" x14ac:dyDescent="0.3">
      <c r="A46" s="13" t="s">
        <v>282</v>
      </c>
      <c r="B46" s="13"/>
      <c r="F46" s="450" t="s">
        <v>421</v>
      </c>
    </row>
    <row r="47" spans="1:6" x14ac:dyDescent="0.3">
      <c r="A47" s="13" t="s">
        <v>283</v>
      </c>
      <c r="B47" s="13"/>
      <c r="F47" s="450" t="s">
        <v>422</v>
      </c>
    </row>
    <row r="48" spans="1:6" x14ac:dyDescent="0.3">
      <c r="A48" s="13" t="s">
        <v>284</v>
      </c>
      <c r="B48" s="13"/>
      <c r="F48" s="450" t="s">
        <v>423</v>
      </c>
    </row>
    <row r="49" spans="1:6" x14ac:dyDescent="0.3">
      <c r="A49" s="13" t="s">
        <v>285</v>
      </c>
      <c r="B49" s="13"/>
      <c r="F49" s="450" t="s">
        <v>424</v>
      </c>
    </row>
    <row r="50" spans="1:6" x14ac:dyDescent="0.3">
      <c r="A50" s="13" t="s">
        <v>12</v>
      </c>
      <c r="B50" s="13"/>
      <c r="F50" s="450" t="s">
        <v>425</v>
      </c>
    </row>
    <row r="51" spans="1:6" x14ac:dyDescent="0.3">
      <c r="A51" s="13" t="s">
        <v>286</v>
      </c>
      <c r="B51" s="13"/>
      <c r="F51" s="450" t="s">
        <v>426</v>
      </c>
    </row>
    <row r="52" spans="1:6" x14ac:dyDescent="0.3">
      <c r="A52" s="13" t="s">
        <v>287</v>
      </c>
      <c r="B52" s="13"/>
      <c r="F52" s="450" t="s">
        <v>427</v>
      </c>
    </row>
    <row r="53" spans="1:6" x14ac:dyDescent="0.3">
      <c r="A53" s="13" t="s">
        <v>13</v>
      </c>
      <c r="B53" s="13"/>
      <c r="F53" s="450" t="s">
        <v>428</v>
      </c>
    </row>
    <row r="54" spans="1:6" x14ac:dyDescent="0.3">
      <c r="A54" s="13" t="s">
        <v>288</v>
      </c>
      <c r="B54" s="13"/>
      <c r="F54" s="450" t="s">
        <v>429</v>
      </c>
    </row>
    <row r="55" spans="1:6" x14ac:dyDescent="0.3">
      <c r="A55" s="13" t="s">
        <v>289</v>
      </c>
      <c r="B55" s="13"/>
      <c r="F55" s="450" t="s">
        <v>430</v>
      </c>
    </row>
    <row r="56" spans="1:6" x14ac:dyDescent="0.3">
      <c r="A56" s="13" t="s">
        <v>290</v>
      </c>
      <c r="B56" s="13"/>
      <c r="F56" s="450" t="s">
        <v>431</v>
      </c>
    </row>
    <row r="57" spans="1:6" x14ac:dyDescent="0.3">
      <c r="A57" s="13" t="s">
        <v>291</v>
      </c>
      <c r="B57" s="13"/>
      <c r="F57" s="450" t="s">
        <v>432</v>
      </c>
    </row>
    <row r="58" spans="1:6" x14ac:dyDescent="0.3">
      <c r="A58" s="13" t="s">
        <v>292</v>
      </c>
      <c r="B58" s="13"/>
      <c r="F58" s="450" t="s">
        <v>433</v>
      </c>
    </row>
    <row r="59" spans="1:6" x14ac:dyDescent="0.3">
      <c r="A59" s="13" t="s">
        <v>14</v>
      </c>
      <c r="B59" s="13"/>
      <c r="F59" s="450" t="s">
        <v>434</v>
      </c>
    </row>
    <row r="60" spans="1:6" x14ac:dyDescent="0.3">
      <c r="A60" s="13" t="s">
        <v>293</v>
      </c>
      <c r="B60" s="13"/>
      <c r="F60" s="450" t="s">
        <v>435</v>
      </c>
    </row>
    <row r="61" spans="1:6" x14ac:dyDescent="0.3">
      <c r="A61" s="13" t="s">
        <v>294</v>
      </c>
      <c r="B61" s="13"/>
      <c r="F61" s="450" t="s">
        <v>436</v>
      </c>
    </row>
    <row r="62" spans="1:6" x14ac:dyDescent="0.3">
      <c r="A62" s="13" t="s">
        <v>295</v>
      </c>
      <c r="B62" s="13"/>
      <c r="F62" s="450" t="s">
        <v>437</v>
      </c>
    </row>
    <row r="63" spans="1:6" x14ac:dyDescent="0.3">
      <c r="A63" s="13" t="s">
        <v>296</v>
      </c>
      <c r="B63" s="13"/>
      <c r="F63" s="172" t="s">
        <v>438</v>
      </c>
    </row>
    <row r="64" spans="1:6" x14ac:dyDescent="0.3">
      <c r="A64" s="13" t="s">
        <v>15</v>
      </c>
      <c r="B64" s="13"/>
      <c r="F64" s="172" t="s">
        <v>439</v>
      </c>
    </row>
    <row r="65" spans="1:6" x14ac:dyDescent="0.3">
      <c r="A65" s="13" t="s">
        <v>297</v>
      </c>
      <c r="B65" s="13"/>
      <c r="F65" s="172" t="s">
        <v>440</v>
      </c>
    </row>
    <row r="66" spans="1:6" x14ac:dyDescent="0.3">
      <c r="A66" s="13" t="s">
        <v>298</v>
      </c>
      <c r="B66" s="13"/>
      <c r="F66" s="172" t="s">
        <v>441</v>
      </c>
    </row>
    <row r="67" spans="1:6" x14ac:dyDescent="0.3">
      <c r="A67" s="13" t="s">
        <v>299</v>
      </c>
      <c r="B67" s="13"/>
      <c r="F67" s="172" t="s">
        <v>442</v>
      </c>
    </row>
    <row r="68" spans="1:6" x14ac:dyDescent="0.3">
      <c r="A68" s="13" t="s">
        <v>300</v>
      </c>
      <c r="B68" s="13"/>
      <c r="F68" s="172" t="s">
        <v>443</v>
      </c>
    </row>
    <row r="69" spans="1:6" x14ac:dyDescent="0.3">
      <c r="A69" s="13" t="s">
        <v>301</v>
      </c>
      <c r="B69" s="13"/>
      <c r="F69" s="172" t="s">
        <v>444</v>
      </c>
    </row>
    <row r="70" spans="1:6" ht="14" x14ac:dyDescent="0.3">
      <c r="A70" s="13" t="s">
        <v>302</v>
      </c>
      <c r="B70" s="13"/>
      <c r="F70" s="454" t="s">
        <v>445</v>
      </c>
    </row>
    <row r="71" spans="1:6" ht="14" x14ac:dyDescent="0.3">
      <c r="A71" s="13" t="s">
        <v>303</v>
      </c>
      <c r="B71" s="13"/>
      <c r="F71" s="454" t="s">
        <v>446</v>
      </c>
    </row>
    <row r="72" spans="1:6" ht="14" x14ac:dyDescent="0.3">
      <c r="A72" s="13" t="s">
        <v>16</v>
      </c>
      <c r="B72" s="13"/>
      <c r="F72" s="454" t="s">
        <v>447</v>
      </c>
    </row>
    <row r="73" spans="1:6" ht="14" x14ac:dyDescent="0.3">
      <c r="A73" s="13" t="s">
        <v>304</v>
      </c>
      <c r="B73" s="13"/>
      <c r="F73" s="454" t="s">
        <v>448</v>
      </c>
    </row>
    <row r="74" spans="1:6" ht="14" x14ac:dyDescent="0.3">
      <c r="A74" s="13" t="s">
        <v>17</v>
      </c>
      <c r="B74" s="13"/>
      <c r="F74" s="454" t="s">
        <v>449</v>
      </c>
    </row>
    <row r="75" spans="1:6" ht="14" x14ac:dyDescent="0.3">
      <c r="A75" s="13" t="s">
        <v>305</v>
      </c>
      <c r="B75" s="13"/>
      <c r="F75" s="454" t="s">
        <v>450</v>
      </c>
    </row>
    <row r="76" spans="1:6" ht="14" x14ac:dyDescent="0.3">
      <c r="A76" s="13" t="s">
        <v>18</v>
      </c>
      <c r="B76" s="13"/>
      <c r="F76" s="454" t="s">
        <v>451</v>
      </c>
    </row>
    <row r="77" spans="1:6" ht="14" x14ac:dyDescent="0.3">
      <c r="A77" s="13" t="s">
        <v>306</v>
      </c>
      <c r="B77" s="13"/>
      <c r="F77" s="454" t="s">
        <v>452</v>
      </c>
    </row>
    <row r="78" spans="1:6" ht="14" x14ac:dyDescent="0.3">
      <c r="A78" s="13" t="s">
        <v>307</v>
      </c>
      <c r="B78" s="13"/>
      <c r="F78" s="454" t="s">
        <v>453</v>
      </c>
    </row>
    <row r="79" spans="1:6" ht="14" x14ac:dyDescent="0.3">
      <c r="A79" s="13" t="s">
        <v>308</v>
      </c>
      <c r="B79" s="13"/>
      <c r="F79" s="454"/>
    </row>
    <row r="80" spans="1:6" ht="14" x14ac:dyDescent="0.3">
      <c r="A80" s="13" t="s">
        <v>309</v>
      </c>
      <c r="B80" s="13"/>
      <c r="F80" s="454"/>
    </row>
    <row r="81" spans="1:6" ht="14" x14ac:dyDescent="0.3">
      <c r="A81" s="13" t="s">
        <v>310</v>
      </c>
      <c r="B81" s="13"/>
      <c r="F81" s="454"/>
    </row>
    <row r="82" spans="1:6" ht="14" x14ac:dyDescent="0.3">
      <c r="A82" s="13" t="s">
        <v>311</v>
      </c>
      <c r="B82" s="13"/>
      <c r="F82" s="454"/>
    </row>
    <row r="83" spans="1:6" ht="14" x14ac:dyDescent="0.3">
      <c r="A83" s="13" t="s">
        <v>19</v>
      </c>
      <c r="B83" s="13"/>
      <c r="F83" s="228"/>
    </row>
    <row r="84" spans="1:6" ht="14" x14ac:dyDescent="0.3">
      <c r="A84" s="13" t="s">
        <v>312</v>
      </c>
      <c r="B84" s="13"/>
      <c r="F84" s="228"/>
    </row>
    <row r="85" spans="1:6" ht="14" x14ac:dyDescent="0.3">
      <c r="A85" s="13" t="s">
        <v>20</v>
      </c>
      <c r="B85" s="13"/>
      <c r="F85" s="228"/>
    </row>
    <row r="86" spans="1:6" ht="14" x14ac:dyDescent="0.3">
      <c r="A86" s="13" t="s">
        <v>313</v>
      </c>
      <c r="B86" s="13"/>
      <c r="F86" s="228"/>
    </row>
    <row r="87" spans="1:6" ht="14" x14ac:dyDescent="0.3">
      <c r="A87" s="13" t="s">
        <v>21</v>
      </c>
      <c r="B87" s="13"/>
      <c r="F87" s="228"/>
    </row>
    <row r="88" spans="1:6" ht="14" x14ac:dyDescent="0.3">
      <c r="A88" s="13" t="s">
        <v>22</v>
      </c>
      <c r="B88" s="13"/>
      <c r="F88" s="228"/>
    </row>
    <row r="89" spans="1:6" ht="14" x14ac:dyDescent="0.3">
      <c r="A89" s="13" t="s">
        <v>23</v>
      </c>
      <c r="B89" s="13"/>
      <c r="F89" s="228"/>
    </row>
    <row r="90" spans="1:6" ht="14" x14ac:dyDescent="0.3">
      <c r="A90" s="13" t="s">
        <v>314</v>
      </c>
      <c r="B90" s="13"/>
      <c r="F90" s="228"/>
    </row>
    <row r="91" spans="1:6" ht="14" x14ac:dyDescent="0.3">
      <c r="A91" s="13" t="s">
        <v>24</v>
      </c>
      <c r="B91" s="13"/>
      <c r="F91" s="228"/>
    </row>
    <row r="92" spans="1:6" ht="14" x14ac:dyDescent="0.3">
      <c r="A92" s="13" t="s">
        <v>25</v>
      </c>
      <c r="B92" s="13"/>
      <c r="F92" s="228"/>
    </row>
    <row r="93" spans="1:6" ht="14" x14ac:dyDescent="0.3">
      <c r="A93" s="13" t="s">
        <v>26</v>
      </c>
      <c r="B93" s="13"/>
      <c r="F93" s="228"/>
    </row>
    <row r="94" spans="1:6" ht="14" x14ac:dyDescent="0.3">
      <c r="A94" s="13" t="s">
        <v>27</v>
      </c>
      <c r="B94" s="13"/>
      <c r="F94" s="228"/>
    </row>
    <row r="95" spans="1:6" ht="14" x14ac:dyDescent="0.3">
      <c r="A95" s="13" t="s">
        <v>315</v>
      </c>
      <c r="B95" s="13"/>
      <c r="F95" s="228"/>
    </row>
    <row r="96" spans="1:6" ht="14" x14ac:dyDescent="0.3">
      <c r="A96" s="13" t="s">
        <v>316</v>
      </c>
      <c r="B96" s="13"/>
      <c r="F96" s="228"/>
    </row>
    <row r="97" spans="1:6" ht="14" x14ac:dyDescent="0.3">
      <c r="A97" s="13" t="s">
        <v>317</v>
      </c>
      <c r="B97" s="13"/>
      <c r="F97" s="228"/>
    </row>
    <row r="98" spans="1:6" ht="14" x14ac:dyDescent="0.3">
      <c r="A98" s="13" t="s">
        <v>28</v>
      </c>
      <c r="B98" s="13"/>
      <c r="F98" s="228"/>
    </row>
    <row r="99" spans="1:6" ht="14" x14ac:dyDescent="0.3">
      <c r="A99" s="13" t="s">
        <v>318</v>
      </c>
      <c r="B99" s="13"/>
      <c r="F99" s="228"/>
    </row>
    <row r="100" spans="1:6" ht="14" x14ac:dyDescent="0.3">
      <c r="A100" s="13" t="s">
        <v>319</v>
      </c>
      <c r="B100" s="13"/>
      <c r="F100" s="228"/>
    </row>
    <row r="101" spans="1:6" ht="14" x14ac:dyDescent="0.3">
      <c r="A101" s="13" t="s">
        <v>29</v>
      </c>
      <c r="B101" s="13"/>
      <c r="F101" s="228"/>
    </row>
    <row r="102" spans="1:6" ht="14" x14ac:dyDescent="0.3">
      <c r="A102" s="13" t="s">
        <v>320</v>
      </c>
      <c r="B102" s="13"/>
      <c r="F102" s="228"/>
    </row>
    <row r="103" spans="1:6" ht="14" x14ac:dyDescent="0.3">
      <c r="A103" s="13" t="s">
        <v>321</v>
      </c>
      <c r="B103" s="13"/>
      <c r="F103" s="228"/>
    </row>
    <row r="104" spans="1:6" ht="14" x14ac:dyDescent="0.3">
      <c r="A104" s="13" t="s">
        <v>30</v>
      </c>
      <c r="B104" s="13"/>
      <c r="F104" s="228"/>
    </row>
    <row r="105" spans="1:6" ht="14" x14ac:dyDescent="0.3">
      <c r="A105" s="13" t="s">
        <v>322</v>
      </c>
      <c r="B105" s="13"/>
      <c r="F105" s="228"/>
    </row>
    <row r="106" spans="1:6" ht="14" x14ac:dyDescent="0.3">
      <c r="A106" s="13" t="s">
        <v>31</v>
      </c>
      <c r="B106" s="13"/>
      <c r="F106" s="228"/>
    </row>
    <row r="107" spans="1:6" ht="14" x14ac:dyDescent="0.3">
      <c r="A107" s="13" t="s">
        <v>323</v>
      </c>
      <c r="B107" s="13"/>
      <c r="F107" s="228"/>
    </row>
    <row r="108" spans="1:6" ht="14" x14ac:dyDescent="0.3">
      <c r="A108" s="13" t="s">
        <v>324</v>
      </c>
      <c r="B108" s="13"/>
      <c r="F108" s="228"/>
    </row>
    <row r="109" spans="1:6" ht="14" x14ac:dyDescent="0.3">
      <c r="A109" s="13" t="s">
        <v>32</v>
      </c>
      <c r="B109" s="13"/>
      <c r="F109" s="228"/>
    </row>
    <row r="110" spans="1:6" ht="14" x14ac:dyDescent="0.3">
      <c r="A110" s="13" t="s">
        <v>325</v>
      </c>
      <c r="B110" s="13"/>
      <c r="F110" s="228"/>
    </row>
    <row r="111" spans="1:6" ht="14" x14ac:dyDescent="0.3">
      <c r="A111" s="13" t="s">
        <v>326</v>
      </c>
      <c r="B111" s="13"/>
      <c r="F111" s="228"/>
    </row>
    <row r="112" spans="1:6" ht="14" x14ac:dyDescent="0.3">
      <c r="A112" s="13" t="s">
        <v>327</v>
      </c>
      <c r="B112" s="13"/>
      <c r="F112" s="228"/>
    </row>
    <row r="113" spans="1:6" ht="14" x14ac:dyDescent="0.3">
      <c r="A113" s="13" t="s">
        <v>328</v>
      </c>
      <c r="B113" s="13"/>
      <c r="F113" s="228"/>
    </row>
    <row r="114" spans="1:6" ht="14" x14ac:dyDescent="0.3">
      <c r="A114" s="13" t="s">
        <v>329</v>
      </c>
      <c r="B114" s="13"/>
      <c r="F114" s="228"/>
    </row>
    <row r="115" spans="1:6" ht="14" x14ac:dyDescent="0.3">
      <c r="A115" s="13" t="s">
        <v>33</v>
      </c>
      <c r="B115" s="13"/>
      <c r="F115" s="228"/>
    </row>
    <row r="116" spans="1:6" ht="14" x14ac:dyDescent="0.3">
      <c r="A116" s="13" t="s">
        <v>34</v>
      </c>
      <c r="B116" s="13"/>
      <c r="F116" s="228"/>
    </row>
    <row r="117" spans="1:6" ht="14" x14ac:dyDescent="0.3">
      <c r="A117" s="13" t="s">
        <v>330</v>
      </c>
      <c r="B117" s="13"/>
      <c r="F117" s="228"/>
    </row>
    <row r="118" spans="1:6" ht="14" x14ac:dyDescent="0.3">
      <c r="A118" s="13" t="s">
        <v>35</v>
      </c>
      <c r="B118" s="13"/>
      <c r="F118" s="228"/>
    </row>
    <row r="119" spans="1:6" ht="14" x14ac:dyDescent="0.3">
      <c r="A119" s="13" t="s">
        <v>331</v>
      </c>
      <c r="B119" s="13"/>
      <c r="F119" s="228"/>
    </row>
    <row r="120" spans="1:6" ht="14" x14ac:dyDescent="0.3">
      <c r="A120" s="13" t="s">
        <v>332</v>
      </c>
      <c r="B120" s="13"/>
      <c r="F120" s="228"/>
    </row>
    <row r="121" spans="1:6" ht="14" x14ac:dyDescent="0.3">
      <c r="A121" s="13" t="s">
        <v>333</v>
      </c>
      <c r="B121" s="13"/>
      <c r="F121" s="228"/>
    </row>
    <row r="122" spans="1:6" ht="14" x14ac:dyDescent="0.3">
      <c r="A122" s="13" t="s">
        <v>37</v>
      </c>
      <c r="B122" s="13"/>
      <c r="F122" s="228"/>
    </row>
    <row r="123" spans="1:6" ht="14" x14ac:dyDescent="0.3">
      <c r="A123" s="13" t="s">
        <v>38</v>
      </c>
      <c r="B123" s="13"/>
      <c r="F123" s="228"/>
    </row>
    <row r="124" spans="1:6" ht="14" x14ac:dyDescent="0.3">
      <c r="A124" s="13" t="s">
        <v>334</v>
      </c>
      <c r="B124" s="13"/>
      <c r="F124" s="228"/>
    </row>
    <row r="125" spans="1:6" ht="14" x14ac:dyDescent="0.3">
      <c r="A125" s="13" t="s">
        <v>39</v>
      </c>
      <c r="B125" s="13"/>
      <c r="F125" s="228"/>
    </row>
    <row r="126" spans="1:6" ht="14" x14ac:dyDescent="0.3">
      <c r="A126" s="13" t="s">
        <v>40</v>
      </c>
      <c r="B126" s="13"/>
      <c r="F126" s="228"/>
    </row>
    <row r="127" spans="1:6" ht="14" x14ac:dyDescent="0.3">
      <c r="A127" s="13" t="s">
        <v>335</v>
      </c>
      <c r="B127" s="13"/>
      <c r="F127" s="228"/>
    </row>
    <row r="128" spans="1:6" ht="14" x14ac:dyDescent="0.3">
      <c r="A128" s="13" t="s">
        <v>336</v>
      </c>
      <c r="B128" s="13"/>
      <c r="F128" s="228"/>
    </row>
    <row r="129" spans="1:6" ht="14" x14ac:dyDescent="0.3">
      <c r="A129" s="13" t="s">
        <v>41</v>
      </c>
      <c r="B129" s="13"/>
      <c r="F129" s="228"/>
    </row>
    <row r="130" spans="1:6" ht="14" x14ac:dyDescent="0.3">
      <c r="A130" s="13" t="s">
        <v>42</v>
      </c>
      <c r="B130" s="13"/>
      <c r="F130" s="228"/>
    </row>
    <row r="131" spans="1:6" ht="14" x14ac:dyDescent="0.3">
      <c r="A131" s="13" t="s">
        <v>337</v>
      </c>
      <c r="B131" s="13"/>
      <c r="F131" s="228"/>
    </row>
    <row r="132" spans="1:6" ht="14" x14ac:dyDescent="0.3">
      <c r="A132" s="13" t="s">
        <v>43</v>
      </c>
      <c r="B132" s="13"/>
      <c r="F132" s="228"/>
    </row>
    <row r="133" spans="1:6" ht="14" x14ac:dyDescent="0.3">
      <c r="A133" s="13" t="s">
        <v>338</v>
      </c>
      <c r="B133" s="13"/>
      <c r="F133" s="228"/>
    </row>
    <row r="134" spans="1:6" ht="14" x14ac:dyDescent="0.3">
      <c r="A134" s="13" t="s">
        <v>339</v>
      </c>
      <c r="B134" s="13"/>
      <c r="F134" s="228"/>
    </row>
    <row r="135" spans="1:6" ht="14" x14ac:dyDescent="0.3">
      <c r="A135" s="13" t="s">
        <v>340</v>
      </c>
      <c r="B135" s="13"/>
      <c r="F135" s="228"/>
    </row>
    <row r="136" spans="1:6" ht="14" x14ac:dyDescent="0.3">
      <c r="A136" s="13" t="s">
        <v>341</v>
      </c>
      <c r="B136" s="13"/>
      <c r="F136" s="228"/>
    </row>
    <row r="137" spans="1:6" ht="14" x14ac:dyDescent="0.3">
      <c r="A137" s="13" t="s">
        <v>44</v>
      </c>
      <c r="B137" s="13"/>
      <c r="F137" s="228"/>
    </row>
    <row r="138" spans="1:6" ht="14" x14ac:dyDescent="0.3">
      <c r="A138" s="13" t="s">
        <v>45</v>
      </c>
      <c r="B138" s="13"/>
      <c r="F138" s="228"/>
    </row>
    <row r="139" spans="1:6" ht="14" x14ac:dyDescent="0.3">
      <c r="A139" s="13" t="s">
        <v>46</v>
      </c>
      <c r="B139" s="13"/>
      <c r="F139" s="228"/>
    </row>
    <row r="140" spans="1:6" ht="14" x14ac:dyDescent="0.3">
      <c r="A140" s="13" t="s">
        <v>342</v>
      </c>
      <c r="B140" s="13"/>
      <c r="F140" s="228"/>
    </row>
    <row r="141" spans="1:6" ht="14" x14ac:dyDescent="0.3">
      <c r="A141" s="13" t="s">
        <v>47</v>
      </c>
      <c r="B141" s="13"/>
      <c r="F141" s="228"/>
    </row>
    <row r="142" spans="1:6" ht="14" x14ac:dyDescent="0.3">
      <c r="A142" s="13" t="s">
        <v>48</v>
      </c>
      <c r="B142" s="13"/>
      <c r="F142" s="228"/>
    </row>
    <row r="143" spans="1:6" ht="14" x14ac:dyDescent="0.3">
      <c r="A143" s="13" t="s">
        <v>49</v>
      </c>
      <c r="B143" s="13"/>
      <c r="F143" s="228"/>
    </row>
    <row r="144" spans="1:6" ht="14" x14ac:dyDescent="0.3">
      <c r="A144" s="13" t="s">
        <v>343</v>
      </c>
      <c r="B144" s="13"/>
      <c r="F144" s="228"/>
    </row>
    <row r="145" spans="1:6" ht="14" x14ac:dyDescent="0.3">
      <c r="A145" s="13" t="s">
        <v>344</v>
      </c>
      <c r="B145" s="13"/>
      <c r="F145" s="228"/>
    </row>
    <row r="146" spans="1:6" ht="14" x14ac:dyDescent="0.3">
      <c r="A146" s="13" t="s">
        <v>345</v>
      </c>
      <c r="B146" s="13"/>
      <c r="F146" s="228"/>
    </row>
    <row r="147" spans="1:6" ht="14" x14ac:dyDescent="0.3">
      <c r="A147" s="13" t="s">
        <v>50</v>
      </c>
      <c r="B147" s="13"/>
      <c r="F147" s="228"/>
    </row>
    <row r="148" spans="1:6" ht="14" x14ac:dyDescent="0.3">
      <c r="A148" s="13" t="s">
        <v>51</v>
      </c>
      <c r="B148" s="13"/>
      <c r="F148" s="228"/>
    </row>
    <row r="149" spans="1:6" ht="14" x14ac:dyDescent="0.3">
      <c r="A149" s="13" t="s">
        <v>52</v>
      </c>
      <c r="B149" s="13"/>
      <c r="F149" s="228"/>
    </row>
    <row r="150" spans="1:6" ht="14" x14ac:dyDescent="0.3">
      <c r="A150" s="13" t="s">
        <v>346</v>
      </c>
      <c r="B150" s="13"/>
      <c r="F150" s="228"/>
    </row>
    <row r="151" spans="1:6" ht="14" x14ac:dyDescent="0.3">
      <c r="A151" s="13" t="s">
        <v>53</v>
      </c>
      <c r="B151" s="13"/>
      <c r="F151" s="228"/>
    </row>
    <row r="152" spans="1:6" ht="14" x14ac:dyDescent="0.3">
      <c r="A152" s="13" t="s">
        <v>347</v>
      </c>
      <c r="B152" s="13"/>
      <c r="F152" s="228"/>
    </row>
    <row r="153" spans="1:6" ht="14" x14ac:dyDescent="0.3">
      <c r="A153" s="13" t="s">
        <v>54</v>
      </c>
      <c r="B153" s="13"/>
      <c r="F153" s="228"/>
    </row>
    <row r="154" spans="1:6" ht="14" x14ac:dyDescent="0.3">
      <c r="A154" s="13" t="s">
        <v>55</v>
      </c>
      <c r="B154" s="13"/>
      <c r="F154" s="228"/>
    </row>
    <row r="155" spans="1:6" ht="14" x14ac:dyDescent="0.3">
      <c r="A155" s="13" t="s">
        <v>348</v>
      </c>
      <c r="B155" s="13"/>
      <c r="F155" s="228"/>
    </row>
    <row r="156" spans="1:6" ht="14" x14ac:dyDescent="0.3">
      <c r="A156" s="13" t="s">
        <v>57</v>
      </c>
      <c r="B156" s="13"/>
      <c r="F156" s="228"/>
    </row>
    <row r="157" spans="1:6" ht="14" x14ac:dyDescent="0.3">
      <c r="A157" s="13" t="s">
        <v>58</v>
      </c>
      <c r="B157" s="13"/>
      <c r="F157" s="228"/>
    </row>
    <row r="158" spans="1:6" ht="14" x14ac:dyDescent="0.3">
      <c r="A158" s="13" t="s">
        <v>349</v>
      </c>
      <c r="B158" s="13"/>
      <c r="F158" s="228"/>
    </row>
    <row r="159" spans="1:6" ht="14" x14ac:dyDescent="0.3">
      <c r="A159" s="13" t="s">
        <v>350</v>
      </c>
      <c r="B159" s="13"/>
      <c r="F159" s="228"/>
    </row>
    <row r="160" spans="1:6" ht="14" x14ac:dyDescent="0.3">
      <c r="A160" s="13" t="s">
        <v>59</v>
      </c>
      <c r="B160" s="13"/>
      <c r="F160" s="228"/>
    </row>
    <row r="161" spans="1:6" ht="14" x14ac:dyDescent="0.3">
      <c r="A161" s="13" t="s">
        <v>351</v>
      </c>
      <c r="B161" s="13"/>
      <c r="F161" s="228"/>
    </row>
    <row r="162" spans="1:6" ht="14" x14ac:dyDescent="0.3">
      <c r="A162" s="13" t="s">
        <v>60</v>
      </c>
      <c r="B162" s="13"/>
      <c r="F162" s="228"/>
    </row>
    <row r="163" spans="1:6" ht="14" x14ac:dyDescent="0.3">
      <c r="A163" s="13" t="s">
        <v>61</v>
      </c>
      <c r="B163" s="13"/>
      <c r="F163" s="228"/>
    </row>
    <row r="164" spans="1:6" ht="14" x14ac:dyDescent="0.3">
      <c r="A164" s="13" t="s">
        <v>352</v>
      </c>
      <c r="B164" s="13"/>
      <c r="F164" s="228"/>
    </row>
    <row r="165" spans="1:6" ht="14" x14ac:dyDescent="0.3">
      <c r="A165" s="13" t="s">
        <v>353</v>
      </c>
      <c r="B165" s="13"/>
      <c r="F165" s="228"/>
    </row>
    <row r="166" spans="1:6" ht="14" x14ac:dyDescent="0.3">
      <c r="A166" s="13" t="s">
        <v>62</v>
      </c>
      <c r="B166" s="13"/>
      <c r="F166" s="228"/>
    </row>
    <row r="167" spans="1:6" ht="14" x14ac:dyDescent="0.3">
      <c r="A167" s="13" t="s">
        <v>354</v>
      </c>
      <c r="B167" s="13"/>
      <c r="F167" s="228"/>
    </row>
    <row r="168" spans="1:6" ht="14" x14ac:dyDescent="0.3">
      <c r="A168" s="13" t="s">
        <v>63</v>
      </c>
      <c r="B168" s="13"/>
      <c r="F168" s="228"/>
    </row>
    <row r="169" spans="1:6" ht="14" x14ac:dyDescent="0.3">
      <c r="A169" s="13" t="s">
        <v>355</v>
      </c>
      <c r="B169" s="13"/>
      <c r="F169" s="228"/>
    </row>
    <row r="170" spans="1:6" ht="14" x14ac:dyDescent="0.3">
      <c r="A170" s="13" t="s">
        <v>356</v>
      </c>
      <c r="B170" s="13"/>
      <c r="F170" s="228"/>
    </row>
    <row r="171" spans="1:6" ht="14" x14ac:dyDescent="0.3">
      <c r="A171" s="13" t="s">
        <v>64</v>
      </c>
      <c r="B171" s="13"/>
      <c r="F171" s="228"/>
    </row>
    <row r="172" spans="1:6" ht="14" x14ac:dyDescent="0.3">
      <c r="A172" s="13" t="s">
        <v>357</v>
      </c>
      <c r="B172" s="13"/>
      <c r="F172" s="228"/>
    </row>
    <row r="173" spans="1:6" ht="14" x14ac:dyDescent="0.3">
      <c r="A173" s="13" t="s">
        <v>358</v>
      </c>
      <c r="B173" s="13"/>
      <c r="F173" s="228"/>
    </row>
    <row r="174" spans="1:6" ht="14" x14ac:dyDescent="0.3">
      <c r="A174" s="13" t="s">
        <v>359</v>
      </c>
      <c r="B174" s="13"/>
      <c r="F174" s="228"/>
    </row>
    <row r="175" spans="1:6" ht="14" x14ac:dyDescent="0.3">
      <c r="A175" s="13" t="s">
        <v>65</v>
      </c>
      <c r="B175" s="13"/>
      <c r="F175" s="228"/>
    </row>
    <row r="176" spans="1:6" ht="14" x14ac:dyDescent="0.3">
      <c r="A176" s="13" t="s">
        <v>66</v>
      </c>
      <c r="B176" s="13"/>
      <c r="F176" s="228"/>
    </row>
    <row r="177" spans="1:6" ht="14" x14ac:dyDescent="0.3">
      <c r="A177" s="13" t="s">
        <v>360</v>
      </c>
      <c r="B177" s="13"/>
      <c r="F177" s="228"/>
    </row>
    <row r="178" spans="1:6" ht="14" x14ac:dyDescent="0.3">
      <c r="A178" s="13" t="s">
        <v>361</v>
      </c>
      <c r="B178" s="13"/>
      <c r="F178" s="228"/>
    </row>
    <row r="179" spans="1:6" ht="14" x14ac:dyDescent="0.3">
      <c r="A179" s="13" t="s">
        <v>362</v>
      </c>
      <c r="B179" s="13"/>
      <c r="F179" s="228"/>
    </row>
    <row r="180" spans="1:6" ht="14" x14ac:dyDescent="0.3">
      <c r="A180" s="13" t="s">
        <v>363</v>
      </c>
      <c r="B180" s="13"/>
      <c r="F180" s="228"/>
    </row>
    <row r="181" spans="1:6" ht="14" x14ac:dyDescent="0.3">
      <c r="A181" s="13" t="s">
        <v>364</v>
      </c>
      <c r="B181" s="13"/>
      <c r="F181" s="228"/>
    </row>
    <row r="182" spans="1:6" ht="14" x14ac:dyDescent="0.3">
      <c r="A182" s="13" t="s">
        <v>67</v>
      </c>
      <c r="B182" s="13"/>
      <c r="F182" s="228"/>
    </row>
    <row r="183" spans="1:6" ht="14" x14ac:dyDescent="0.3">
      <c r="A183" s="13" t="s">
        <v>365</v>
      </c>
      <c r="B183" s="13"/>
      <c r="F183" s="228"/>
    </row>
    <row r="184" spans="1:6" ht="14" x14ac:dyDescent="0.3">
      <c r="A184" s="13" t="s">
        <v>366</v>
      </c>
      <c r="B184" s="13"/>
      <c r="F184" s="228"/>
    </row>
    <row r="185" spans="1:6" ht="14" x14ac:dyDescent="0.3">
      <c r="A185" s="13" t="s">
        <v>68</v>
      </c>
      <c r="B185" s="13"/>
      <c r="F185" s="228"/>
    </row>
    <row r="186" spans="1:6" ht="14" x14ac:dyDescent="0.3">
      <c r="A186" s="13" t="s">
        <v>367</v>
      </c>
      <c r="B186" s="13"/>
      <c r="F186" s="228"/>
    </row>
    <row r="187" spans="1:6" ht="14" x14ac:dyDescent="0.3">
      <c r="A187" s="13" t="s">
        <v>69</v>
      </c>
      <c r="B187" s="13"/>
      <c r="F187" s="228"/>
    </row>
    <row r="188" spans="1:6" ht="14" x14ac:dyDescent="0.3">
      <c r="A188" s="13" t="s">
        <v>70</v>
      </c>
      <c r="B188" s="13"/>
      <c r="F188" s="228"/>
    </row>
    <row r="189" spans="1:6" ht="14" x14ac:dyDescent="0.3">
      <c r="A189" s="13" t="s">
        <v>368</v>
      </c>
      <c r="B189" s="13"/>
      <c r="F189" s="228"/>
    </row>
    <row r="190" spans="1:6" ht="14" x14ac:dyDescent="0.3">
      <c r="A190" s="13" t="s">
        <v>369</v>
      </c>
      <c r="B190" s="13"/>
      <c r="F190" s="228"/>
    </row>
    <row r="191" spans="1:6" ht="14" x14ac:dyDescent="0.3">
      <c r="A191" s="13" t="s">
        <v>272</v>
      </c>
      <c r="B191" s="13"/>
      <c r="F191" s="228"/>
    </row>
    <row r="192" spans="1:6" ht="14" x14ac:dyDescent="0.3">
      <c r="A192" s="13" t="s">
        <v>71</v>
      </c>
      <c r="B192" s="13"/>
      <c r="F192" s="228"/>
    </row>
    <row r="193" spans="1:6" ht="14" x14ac:dyDescent="0.3">
      <c r="A193" s="13" t="s">
        <v>72</v>
      </c>
      <c r="B193" s="13"/>
      <c r="F193" s="228"/>
    </row>
    <row r="194" spans="1:6" ht="14" x14ac:dyDescent="0.3">
      <c r="A194" s="13" t="s">
        <v>73</v>
      </c>
      <c r="B194" s="13"/>
      <c r="F194" s="228"/>
    </row>
    <row r="195" spans="1:6" ht="14" x14ac:dyDescent="0.3">
      <c r="A195" s="13" t="s">
        <v>74</v>
      </c>
      <c r="B195" s="13"/>
      <c r="F195" s="228"/>
    </row>
    <row r="196" spans="1:6" ht="14" x14ac:dyDescent="0.3">
      <c r="A196" s="13" t="s">
        <v>370</v>
      </c>
      <c r="B196" s="13"/>
      <c r="F196" s="228"/>
    </row>
    <row r="197" spans="1:6" ht="14" x14ac:dyDescent="0.3">
      <c r="A197" s="13" t="s">
        <v>75</v>
      </c>
      <c r="B197" s="13"/>
      <c r="F197" s="228"/>
    </row>
    <row r="198" spans="1:6" ht="14" x14ac:dyDescent="0.3">
      <c r="A198" s="13" t="s">
        <v>371</v>
      </c>
      <c r="B198" s="13"/>
      <c r="F198" s="228"/>
    </row>
    <row r="199" spans="1:6" ht="14" x14ac:dyDescent="0.3">
      <c r="A199" s="13" t="s">
        <v>372</v>
      </c>
      <c r="B199" s="13"/>
      <c r="F199" s="228"/>
    </row>
    <row r="200" spans="1:6" ht="14" x14ac:dyDescent="0.3">
      <c r="A200" s="13" t="s">
        <v>76</v>
      </c>
      <c r="B200" s="13"/>
      <c r="F200" s="228"/>
    </row>
    <row r="201" spans="1:6" ht="14" x14ac:dyDescent="0.3">
      <c r="A201" s="13" t="s">
        <v>373</v>
      </c>
      <c r="B201" s="13"/>
      <c r="F201" s="228"/>
    </row>
    <row r="202" spans="1:6" ht="14" x14ac:dyDescent="0.3">
      <c r="A202" s="13" t="s">
        <v>77</v>
      </c>
      <c r="B202" s="13"/>
      <c r="F202" s="228"/>
    </row>
    <row r="203" spans="1:6" ht="14" x14ac:dyDescent="0.3">
      <c r="A203" s="13" t="s">
        <v>374</v>
      </c>
      <c r="B203" s="13"/>
      <c r="F203" s="228"/>
    </row>
    <row r="204" spans="1:6" ht="14" x14ac:dyDescent="0.3">
      <c r="A204" s="13" t="s">
        <v>375</v>
      </c>
      <c r="B204" s="13"/>
      <c r="F204" s="228"/>
    </row>
    <row r="205" spans="1:6" ht="14" x14ac:dyDescent="0.3">
      <c r="A205" s="13" t="s">
        <v>376</v>
      </c>
      <c r="B205" s="13"/>
      <c r="F205" s="228"/>
    </row>
    <row r="206" spans="1:6" ht="14" x14ac:dyDescent="0.3">
      <c r="A206" s="13" t="s">
        <v>78</v>
      </c>
      <c r="B206" s="13"/>
      <c r="F206" s="228"/>
    </row>
    <row r="207" spans="1:6" ht="14" x14ac:dyDescent="0.3">
      <c r="A207" s="13"/>
      <c r="B207" s="13"/>
      <c r="F207" s="228"/>
    </row>
    <row r="208" spans="1:6" ht="14" x14ac:dyDescent="0.3">
      <c r="A208" s="13"/>
      <c r="B208" s="13"/>
      <c r="F208" s="228"/>
    </row>
    <row r="209" spans="1:6" ht="14" x14ac:dyDescent="0.3">
      <c r="A209" s="13"/>
      <c r="B209" s="13"/>
      <c r="F209" s="228"/>
    </row>
    <row r="210" spans="1:6" ht="14" x14ac:dyDescent="0.3">
      <c r="A210" s="13"/>
      <c r="B210" s="13"/>
      <c r="F210" s="228"/>
    </row>
    <row r="211" spans="1:6" ht="14" x14ac:dyDescent="0.3">
      <c r="A211" s="13"/>
      <c r="B211" s="13"/>
      <c r="F211" s="228"/>
    </row>
    <row r="212" spans="1:6" ht="14" x14ac:dyDescent="0.3">
      <c r="A212" s="13"/>
      <c r="B212" s="13"/>
      <c r="F212" s="228"/>
    </row>
    <row r="213" spans="1:6" ht="14" x14ac:dyDescent="0.3">
      <c r="A213" s="13"/>
      <c r="B213" s="13"/>
      <c r="F213" s="228"/>
    </row>
    <row r="214" spans="1:6" ht="14" x14ac:dyDescent="0.3">
      <c r="A214" s="13"/>
      <c r="B214" s="13"/>
      <c r="F214" s="228"/>
    </row>
    <row r="215" spans="1:6" ht="14" x14ac:dyDescent="0.3">
      <c r="A215" s="13"/>
      <c r="B215" s="13"/>
      <c r="F215" s="228"/>
    </row>
    <row r="216" spans="1:6" ht="14" x14ac:dyDescent="0.3">
      <c r="A216" s="13"/>
      <c r="B216" s="13"/>
      <c r="F216" s="228"/>
    </row>
    <row r="217" spans="1:6" ht="14" x14ac:dyDescent="0.3">
      <c r="A217" s="13"/>
      <c r="B217" s="13"/>
      <c r="F217" s="228"/>
    </row>
    <row r="218" spans="1:6" ht="14" x14ac:dyDescent="0.3">
      <c r="A218" s="13"/>
      <c r="B218" s="13"/>
      <c r="F218" s="228"/>
    </row>
    <row r="219" spans="1:6" ht="14" x14ac:dyDescent="0.3">
      <c r="A219" s="13"/>
      <c r="B219" s="13"/>
      <c r="F219" s="228"/>
    </row>
    <row r="220" spans="1:6" ht="14" x14ac:dyDescent="0.3">
      <c r="A220" s="13"/>
      <c r="B220" s="13"/>
      <c r="F220" s="228"/>
    </row>
    <row r="221" spans="1:6" ht="14" x14ac:dyDescent="0.3">
      <c r="A221" s="13"/>
      <c r="B221" s="13"/>
      <c r="F221" s="228"/>
    </row>
    <row r="222" spans="1:6" ht="14" x14ac:dyDescent="0.3">
      <c r="A222" s="13"/>
      <c r="B222" s="13"/>
      <c r="F222" s="228"/>
    </row>
    <row r="223" spans="1:6" ht="14" x14ac:dyDescent="0.3">
      <c r="A223" s="13"/>
      <c r="B223" s="13"/>
      <c r="F223" s="228"/>
    </row>
    <row r="224" spans="1:6" ht="14" x14ac:dyDescent="0.3">
      <c r="A224" s="13"/>
      <c r="B224" s="13"/>
      <c r="F224" s="228"/>
    </row>
    <row r="225" spans="1:6" ht="14" x14ac:dyDescent="0.3">
      <c r="A225" s="13"/>
      <c r="B225" s="13"/>
      <c r="F225" s="228"/>
    </row>
    <row r="226" spans="1:6" ht="14" x14ac:dyDescent="0.3">
      <c r="A226" s="13"/>
      <c r="B226" s="13"/>
      <c r="F226" s="228"/>
    </row>
    <row r="227" spans="1:6" ht="14" x14ac:dyDescent="0.3">
      <c r="A227" s="13"/>
      <c r="B227" s="13"/>
      <c r="F227" s="228"/>
    </row>
    <row r="228" spans="1:6" ht="14" x14ac:dyDescent="0.3">
      <c r="A228" s="13"/>
      <c r="B228" s="13"/>
      <c r="F228" s="228"/>
    </row>
    <row r="229" spans="1:6" ht="14" x14ac:dyDescent="0.3">
      <c r="A229" s="13"/>
      <c r="B229" s="13"/>
      <c r="F229" s="228"/>
    </row>
    <row r="230" spans="1:6" ht="14" x14ac:dyDescent="0.3">
      <c r="A230" s="13"/>
      <c r="B230" s="13"/>
      <c r="F230" s="228"/>
    </row>
    <row r="231" spans="1:6" ht="14" x14ac:dyDescent="0.3">
      <c r="A231" s="13"/>
      <c r="B231" s="13"/>
      <c r="F231" s="228"/>
    </row>
    <row r="232" spans="1:6" ht="14" x14ac:dyDescent="0.3">
      <c r="A232" s="13"/>
      <c r="B232" s="13"/>
      <c r="F232" s="228"/>
    </row>
    <row r="233" spans="1:6" ht="14" x14ac:dyDescent="0.3">
      <c r="A233" s="13"/>
      <c r="B233" s="13"/>
      <c r="F233" s="228"/>
    </row>
    <row r="234" spans="1:6" ht="14" x14ac:dyDescent="0.3">
      <c r="A234" s="13"/>
      <c r="B234" s="13"/>
      <c r="F234" s="228"/>
    </row>
    <row r="235" spans="1:6" ht="14" x14ac:dyDescent="0.3">
      <c r="A235" s="13"/>
      <c r="B235" s="13"/>
      <c r="F235" s="228"/>
    </row>
    <row r="236" spans="1:6" ht="14" x14ac:dyDescent="0.3">
      <c r="A236" s="13"/>
      <c r="B236" s="13"/>
      <c r="F236" s="228"/>
    </row>
    <row r="237" spans="1:6" ht="14" x14ac:dyDescent="0.3">
      <c r="A237" s="13"/>
      <c r="B237" s="13"/>
      <c r="F237" s="228"/>
    </row>
    <row r="238" spans="1:6" ht="14" x14ac:dyDescent="0.3">
      <c r="A238" s="13"/>
      <c r="B238" s="13"/>
      <c r="F238" s="228"/>
    </row>
    <row r="239" spans="1:6" ht="14" x14ac:dyDescent="0.3">
      <c r="A239" s="13"/>
      <c r="B239" s="13"/>
      <c r="F239" s="228"/>
    </row>
    <row r="240" spans="1:6" ht="14" x14ac:dyDescent="0.3">
      <c r="A240" s="13"/>
      <c r="B240" s="13"/>
      <c r="F240" s="228"/>
    </row>
    <row r="241" spans="1:6" ht="14" x14ac:dyDescent="0.3">
      <c r="A241" s="13"/>
      <c r="B241" s="13"/>
      <c r="F241" s="228"/>
    </row>
    <row r="242" spans="1:6" ht="14" x14ac:dyDescent="0.3">
      <c r="A242" s="13"/>
      <c r="B242" s="13"/>
      <c r="F242" s="228"/>
    </row>
    <row r="243" spans="1:6" ht="14" x14ac:dyDescent="0.3">
      <c r="F243" s="228"/>
    </row>
    <row r="244" spans="1:6" ht="14" x14ac:dyDescent="0.3">
      <c r="F244" s="228"/>
    </row>
    <row r="245" spans="1:6" ht="14" x14ac:dyDescent="0.3">
      <c r="F245" s="228"/>
    </row>
    <row r="246" spans="1:6" ht="14" x14ac:dyDescent="0.3">
      <c r="F246" s="228"/>
    </row>
    <row r="247" spans="1:6" ht="14" x14ac:dyDescent="0.3">
      <c r="F247" s="228"/>
    </row>
    <row r="248" spans="1:6" ht="14" x14ac:dyDescent="0.3">
      <c r="F248" s="228"/>
    </row>
    <row r="249" spans="1:6" ht="14" x14ac:dyDescent="0.3">
      <c r="F249" s="228"/>
    </row>
    <row r="250" spans="1:6" ht="14" x14ac:dyDescent="0.3">
      <c r="F250" s="228"/>
    </row>
    <row r="251" spans="1:6" ht="14" x14ac:dyDescent="0.3">
      <c r="F251" s="228"/>
    </row>
    <row r="252" spans="1:6" ht="14" x14ac:dyDescent="0.3">
      <c r="F252" s="228"/>
    </row>
    <row r="253" spans="1:6" ht="14" x14ac:dyDescent="0.3">
      <c r="F253" s="228"/>
    </row>
    <row r="254" spans="1:6" ht="14" x14ac:dyDescent="0.3">
      <c r="F254" s="228"/>
    </row>
    <row r="255" spans="1:6" ht="14" x14ac:dyDescent="0.3">
      <c r="F255" s="228"/>
    </row>
    <row r="256" spans="1:6" ht="14" x14ac:dyDescent="0.3">
      <c r="F256" s="228"/>
    </row>
    <row r="257" spans="6:6" ht="14" x14ac:dyDescent="0.3">
      <c r="F257" s="228"/>
    </row>
    <row r="258" spans="6:6" ht="14" x14ac:dyDescent="0.3">
      <c r="F258" s="228"/>
    </row>
    <row r="259" spans="6:6" ht="14" x14ac:dyDescent="0.3">
      <c r="F259" s="228"/>
    </row>
    <row r="260" spans="6:6" ht="14" x14ac:dyDescent="0.3">
      <c r="F260" s="228"/>
    </row>
    <row r="261" spans="6:6" ht="14" x14ac:dyDescent="0.3">
      <c r="F261" s="228"/>
    </row>
    <row r="262" spans="6:6" ht="14" x14ac:dyDescent="0.3">
      <c r="F262" s="228"/>
    </row>
  </sheetData>
  <mergeCells count="1">
    <mergeCell ref="A2:B2"/>
  </mergeCells>
  <phoneticPr fontId="75" type="noConversion"/>
  <conditionalFormatting sqref="F5:F64">
    <cfRule type="cellIs" dxfId="3" priority="4" stopIfTrue="1" operator="equal">
      <formula>"???"</formula>
    </cfRule>
  </conditionalFormatting>
  <conditionalFormatting sqref="F63:F64">
    <cfRule type="cellIs" dxfId="2" priority="3" stopIfTrue="1" operator="equal">
      <formula>"???"</formula>
    </cfRule>
  </conditionalFormatting>
  <conditionalFormatting sqref="F65:F69">
    <cfRule type="cellIs" dxfId="1" priority="2" stopIfTrue="1" operator="equal">
      <formula>"???"</formula>
    </cfRule>
  </conditionalFormatting>
  <conditionalFormatting sqref="F65:F69">
    <cfRule type="cellIs" dxfId="0" priority="1" stopIfTrue="1" operator="equal">
      <formula>"???"</formula>
    </cfRule>
  </conditionalFormatting>
  <printOptions horizontalCentered="1"/>
  <pageMargins left="0.70866141732283472" right="0.70866141732283472" top="0.9055118110236221" bottom="0.78740157480314965" header="0.31496062992125984" footer="0.31496062992125984"/>
  <pageSetup paperSize="9" scale="20" orientation="portrait" r:id="rId1"/>
  <headerFooter>
    <oddHeader>&amp;L&amp;"Calibri"&amp;10&amp;K000000 INTERNAL&amp;1#_x000D_&amp;"Arial"&amp;11&amp;K000000&amp;"Arial"&amp;11&amp;K000000&amp;"Audi Type,Fett"Logistische Lieferantenbewertung&amp;"Audi Type,Standard"
&amp;A&amp;R&amp;G&amp;L&amp;"Audi Type,Fett"Logistische Lieferantenbewertung&amp;"Audi Type,Standard"
&amp;A</oddHeader>
    <oddFooter>&amp;L&amp;"Audi Type,Standard"&amp;8&amp;F_x000D_&amp;1#&amp;"Calibri"&amp;10&amp;K000000 Internal&amp;C&amp;"Audi Type,Standard"&amp;8&amp;P von &amp;N&amp;R&amp;"Audi Type,Standard"&amp;8Audi AG - &amp;D</oddFooter>
  </headerFooter>
  <legacyDrawingHF r:id="rId2"/>
</worksheet>
</file>

<file path=docMetadata/LabelInfo.xml><?xml version="1.0" encoding="utf-8"?>
<clbl:labelList xmlns:clbl="http://schemas.microsoft.com/office/2020/mipLabelMetadata">
  <clbl:label id="{b0ff92c5-92ff-43fe-a760-6a9303f9073d}" enabled="1" method="Standard" siteId="{1272ef7d-0a4c-4c35-8f4b-416e283c5d59}" contentBits="3" removed="0"/>
  <clbl:label id="{b1c9b508-7c6e-42bd-bedf-808292653d6c}" enabled="1" method="Privileged" siteId="{2882be50-2012-4d88-ac86-544124e120c8}"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7</vt:i4>
      </vt:variant>
      <vt:variant>
        <vt:lpstr>命名范围</vt:lpstr>
      </vt:variant>
      <vt:variant>
        <vt:i4>13</vt:i4>
      </vt:variant>
    </vt:vector>
  </HeadingPairs>
  <TitlesOfParts>
    <vt:vector size="20" baseType="lpstr">
      <vt:lpstr>Datasheet</vt:lpstr>
      <vt:lpstr>Capacity overview</vt:lpstr>
      <vt:lpstr>Capacity Calculation</vt:lpstr>
      <vt:lpstr>Capacity Planning</vt:lpstr>
      <vt:lpstr>Cycle time monitoring</vt:lpstr>
      <vt:lpstr>LOP</vt:lpstr>
      <vt:lpstr>Datenquelle</vt:lpstr>
      <vt:lpstr>Abnahme</vt:lpstr>
      <vt:lpstr>bedingterfuellt</vt:lpstr>
      <vt:lpstr>erfuellt</vt:lpstr>
      <vt:lpstr>Ergebnis</vt:lpstr>
      <vt:lpstr>nichterfuellt</vt:lpstr>
      <vt:lpstr>'Capacity Calculation'!Print_Area</vt:lpstr>
      <vt:lpstr>'Capacity overview'!Print_Area</vt:lpstr>
      <vt:lpstr>'Capacity Planning'!Print_Area</vt:lpstr>
      <vt:lpstr>Datasheet!Print_Area</vt:lpstr>
      <vt:lpstr>LOP!Print_Area</vt:lpstr>
      <vt:lpstr>'Capacity Calculation'!Print_Titles</vt:lpstr>
      <vt:lpstr>'Capacity Planning'!Print_Titles</vt:lpstr>
      <vt:lpstr>LOP!Print_Titles</vt:lpstr>
    </vt:vector>
  </TitlesOfParts>
  <Company>AUDI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Audit Checkliste</dc:title>
  <dc:creator>Floesser, Philipp (N/PL-72)</dc:creator>
  <cp:lastModifiedBy>Li, Jiajun (C/OP-5)</cp:lastModifiedBy>
  <cp:lastPrinted>2025-06-13T06:56:49Z</cp:lastPrinted>
  <dcterms:created xsi:type="dcterms:W3CDTF">2008-04-16T07:43:33Z</dcterms:created>
  <dcterms:modified xsi:type="dcterms:W3CDTF">2025-06-16T08:45:24Z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6b84135-ab90-4b03-a415-784f8f15a7f1_Enabled">
    <vt:lpwstr>true</vt:lpwstr>
  </property>
  <property fmtid="{D5CDD505-2E9C-101B-9397-08002B2CF9AE}" pid="3" name="MSIP_Label_a6b84135-ab90-4b03-a415-784f8f15a7f1_SetDate">
    <vt:lpwstr>2021-12-13T10:08:37Z</vt:lpwstr>
  </property>
  <property fmtid="{D5CDD505-2E9C-101B-9397-08002B2CF9AE}" pid="4" name="MSIP_Label_a6b84135-ab90-4b03-a415-784f8f15a7f1_Method">
    <vt:lpwstr>Privileged</vt:lpwstr>
  </property>
  <property fmtid="{D5CDD505-2E9C-101B-9397-08002B2CF9AE}" pid="5" name="MSIP_Label_a6b84135-ab90-4b03-a415-784f8f15a7f1_Name">
    <vt:lpwstr>a6b84135-ab90-4b03-a415-784f8f15a7f1</vt:lpwstr>
  </property>
  <property fmtid="{D5CDD505-2E9C-101B-9397-08002B2CF9AE}" pid="6" name="MSIP_Label_a6b84135-ab90-4b03-a415-784f8f15a7f1_SiteId">
    <vt:lpwstr>2882be50-2012-4d88-ac86-544124e120c8</vt:lpwstr>
  </property>
  <property fmtid="{D5CDD505-2E9C-101B-9397-08002B2CF9AE}" pid="7" name="MSIP_Label_a6b84135-ab90-4b03-a415-784f8f15a7f1_ContentBits">
    <vt:lpwstr>0</vt:lpwstr>
  </property>
  <property fmtid="{D5CDD505-2E9C-101B-9397-08002B2CF9AE}" pid="8" name="MSIP_Label_126ea00b-4117-42cd-b507-4f042240423e_Enabled">
    <vt:lpwstr>true</vt:lpwstr>
  </property>
  <property fmtid="{D5CDD505-2E9C-101B-9397-08002B2CF9AE}" pid="9" name="MSIP_Label_126ea00b-4117-42cd-b507-4f042240423e_SetDate">
    <vt:lpwstr>2025-06-13T07:00:49Z</vt:lpwstr>
  </property>
  <property fmtid="{D5CDD505-2E9C-101B-9397-08002B2CF9AE}" pid="10" name="MSIP_Label_126ea00b-4117-42cd-b507-4f042240423e_Method">
    <vt:lpwstr>Standard</vt:lpwstr>
  </property>
  <property fmtid="{D5CDD505-2E9C-101B-9397-08002B2CF9AE}" pid="11" name="MSIP_Label_126ea00b-4117-42cd-b507-4f042240423e_Name">
    <vt:lpwstr>Internal</vt:lpwstr>
  </property>
  <property fmtid="{D5CDD505-2E9C-101B-9397-08002B2CF9AE}" pid="12" name="MSIP_Label_126ea00b-4117-42cd-b507-4f042240423e_SiteId">
    <vt:lpwstr>3d7c7980-9f6d-438d-8e73-5159b3d6b689</vt:lpwstr>
  </property>
  <property fmtid="{D5CDD505-2E9C-101B-9397-08002B2CF9AE}" pid="13" name="MSIP_Label_126ea00b-4117-42cd-b507-4f042240423e_ActionId">
    <vt:lpwstr>790c2589-d27e-4fd6-bd81-5df0478455cf</vt:lpwstr>
  </property>
  <property fmtid="{D5CDD505-2E9C-101B-9397-08002B2CF9AE}" pid="14" name="MSIP_Label_126ea00b-4117-42cd-b507-4f042240423e_ContentBits">
    <vt:lpwstr>2</vt:lpwstr>
  </property>
</Properties>
</file>