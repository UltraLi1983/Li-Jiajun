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31D6D7B-4E64-4184-BC44-E9ED1A23B2C1}" xr6:coauthVersionLast="47" xr6:coauthVersionMax="47" xr10:uidLastSave="{00000000-0000-0000-0000-000000000000}"/>
  <bookViews>
    <workbookView xWindow="-110" yWindow="-110" windowWidth="19420" windowHeight="11500" tabRatio="722" activeTab="2" xr2:uid="{00000000-000D-0000-FFFF-FFFF00000000}"/>
  </bookViews>
  <sheets>
    <sheet name="On-site Record" sheetId="5" r:id="rId1"/>
    <sheet name="Cycletime Tracking" sheetId="1" r:id="rId2"/>
    <sheet name="Production Tracking" sheetId="4" r:id="rId3"/>
    <sheet name="Sheet1" sheetId="6" state="hidden" r:id="rId4"/>
  </sheets>
  <definedNames>
    <definedName name="_xlnm.Print_Area" localSheetId="1">'Cycletime Tracking'!$A$1:$V$71</definedName>
    <definedName name="_xlnm.Print_Area" localSheetId="0">'On-site Record'!$A$1:$W$98</definedName>
    <definedName name="_xlnm.Print_Area" localSheetId="2">'Production Tracking'!$A$1:$Z$94</definedName>
    <definedName name="_xlnm.Print_Titles" localSheetId="1">'Cycletime Tracking'!$1:$2</definedName>
    <definedName name="_xlnm.Print_Titles" localSheetId="0">'On-site Record'!$1:$2</definedName>
    <definedName name="_xlnm.Print_Titles" localSheetId="2">'Production Tracking'!$1:$5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4" l="1"/>
  <c r="L59" i="4"/>
  <c r="J59" i="4"/>
  <c r="J88" i="4" l="1"/>
  <c r="H88" i="4"/>
  <c r="F88" i="4"/>
  <c r="X75" i="4"/>
  <c r="V75" i="4"/>
  <c r="U75" i="4"/>
  <c r="J75" i="4"/>
  <c r="H75" i="4"/>
  <c r="F75" i="4"/>
  <c r="O46" i="4"/>
  <c r="N46" i="4"/>
  <c r="G46" i="4"/>
  <c r="F46" i="4"/>
  <c r="X89" i="4" l="1"/>
  <c r="V89" i="4"/>
  <c r="W81" i="4" s="1"/>
  <c r="T89" i="4"/>
  <c r="T81" i="4" s="1"/>
  <c r="R89" i="4"/>
  <c r="P89" i="4"/>
  <c r="P81" i="4" s="1"/>
  <c r="N89" i="4"/>
  <c r="N81" i="4" s="1"/>
  <c r="L89" i="4"/>
  <c r="M81" i="4" s="1"/>
  <c r="J89" i="4"/>
  <c r="J81" i="4" s="1"/>
  <c r="H89" i="4"/>
  <c r="F89" i="4"/>
  <c r="X83" i="4"/>
  <c r="X91" i="4" s="1"/>
  <c r="Y90" i="4" s="1"/>
  <c r="V83" i="4"/>
  <c r="V91" i="4" s="1"/>
  <c r="W90" i="4" s="1"/>
  <c r="T83" i="4"/>
  <c r="T91" i="4" s="1"/>
  <c r="R83" i="4"/>
  <c r="R91" i="4" s="1"/>
  <c r="S90" i="4" s="1"/>
  <c r="P83" i="4"/>
  <c r="P91" i="4" s="1"/>
  <c r="Q90" i="4" s="1"/>
  <c r="N83" i="4"/>
  <c r="N91" i="4" s="1"/>
  <c r="L83" i="4"/>
  <c r="L91" i="4" s="1"/>
  <c r="J83" i="4"/>
  <c r="J91" i="4" s="1"/>
  <c r="H83" i="4"/>
  <c r="H91" i="4" s="1"/>
  <c r="F83" i="4"/>
  <c r="F91" i="4" s="1"/>
  <c r="Y81" i="4"/>
  <c r="X81" i="4"/>
  <c r="S81" i="4"/>
  <c r="R81" i="4"/>
  <c r="F78" i="4"/>
  <c r="X76" i="4"/>
  <c r="X68" i="4" s="1"/>
  <c r="V76" i="4"/>
  <c r="V68" i="4" s="1"/>
  <c r="T76" i="4"/>
  <c r="T68" i="4" s="1"/>
  <c r="R76" i="4"/>
  <c r="S68" i="4" s="1"/>
  <c r="P76" i="4"/>
  <c r="P68" i="4" s="1"/>
  <c r="N76" i="4"/>
  <c r="N68" i="4" s="1"/>
  <c r="L76" i="4"/>
  <c r="M68" i="4" s="1"/>
  <c r="J76" i="4"/>
  <c r="J68" i="4" s="1"/>
  <c r="H76" i="4"/>
  <c r="F76" i="4"/>
  <c r="F68" i="4" s="1"/>
  <c r="C76" i="4"/>
  <c r="X70" i="4"/>
  <c r="X78" i="4" s="1"/>
  <c r="V70" i="4"/>
  <c r="V78" i="4" s="1"/>
  <c r="T70" i="4"/>
  <c r="T78" i="4" s="1"/>
  <c r="R70" i="4"/>
  <c r="R78" i="4" s="1"/>
  <c r="P70" i="4"/>
  <c r="P78" i="4" s="1"/>
  <c r="N70" i="4"/>
  <c r="N78" i="4" s="1"/>
  <c r="O77" i="4" s="1"/>
  <c r="L70" i="4"/>
  <c r="L78" i="4" s="1"/>
  <c r="M77" i="4" s="1"/>
  <c r="J70" i="4"/>
  <c r="J78" i="4" s="1"/>
  <c r="H70" i="4"/>
  <c r="H78" i="4" s="1"/>
  <c r="Q68" i="4"/>
  <c r="O68" i="4"/>
  <c r="R65" i="4"/>
  <c r="B83" i="4" s="1"/>
  <c r="G65" i="4"/>
  <c r="F65" i="4"/>
  <c r="X60" i="4"/>
  <c r="Y52" i="4" s="1"/>
  <c r="V60" i="4"/>
  <c r="W52" i="4" s="1"/>
  <c r="T60" i="4"/>
  <c r="U52" i="4" s="1"/>
  <c r="R60" i="4"/>
  <c r="R52" i="4" s="1"/>
  <c r="P60" i="4"/>
  <c r="P52" i="4" s="1"/>
  <c r="N60" i="4"/>
  <c r="O52" i="4" s="1"/>
  <c r="L60" i="4"/>
  <c r="J60" i="4"/>
  <c r="H60" i="4"/>
  <c r="H52" i="4" s="1"/>
  <c r="F60" i="4"/>
  <c r="G52" i="4" s="1"/>
  <c r="X54" i="4"/>
  <c r="X62" i="4" s="1"/>
  <c r="Y61" i="4" s="1"/>
  <c r="V54" i="4"/>
  <c r="V62" i="4" s="1"/>
  <c r="T54" i="4"/>
  <c r="T62" i="4" s="1"/>
  <c r="R54" i="4"/>
  <c r="R62" i="4" s="1"/>
  <c r="P54" i="4"/>
  <c r="P62" i="4" s="1"/>
  <c r="N54" i="4"/>
  <c r="N62" i="4" s="1"/>
  <c r="L54" i="4"/>
  <c r="L62" i="4" s="1"/>
  <c r="J54" i="4"/>
  <c r="J62" i="4" s="1"/>
  <c r="H54" i="4"/>
  <c r="H62" i="4" s="1"/>
  <c r="F54" i="4"/>
  <c r="F62" i="4" s="1"/>
  <c r="X52" i="4"/>
  <c r="N52" i="4"/>
  <c r="F49" i="4"/>
  <c r="X47" i="4"/>
  <c r="X39" i="4" s="1"/>
  <c r="V47" i="4"/>
  <c r="V39" i="4" s="1"/>
  <c r="T47" i="4"/>
  <c r="T39" i="4" s="1"/>
  <c r="R47" i="4"/>
  <c r="R39" i="4" s="1"/>
  <c r="P47" i="4"/>
  <c r="Q39" i="4" s="1"/>
  <c r="N47" i="4"/>
  <c r="N39" i="4" s="1"/>
  <c r="L47" i="4"/>
  <c r="J47" i="4"/>
  <c r="H47" i="4"/>
  <c r="I39" i="4" s="1"/>
  <c r="F47" i="4"/>
  <c r="C47" i="4"/>
  <c r="X41" i="4"/>
  <c r="X49" i="4" s="1"/>
  <c r="V41" i="4"/>
  <c r="V49" i="4" s="1"/>
  <c r="T41" i="4"/>
  <c r="T49" i="4" s="1"/>
  <c r="O36" i="4" s="1"/>
  <c r="R41" i="4"/>
  <c r="R49" i="4" s="1"/>
  <c r="P41" i="4"/>
  <c r="P49" i="4" s="1"/>
  <c r="N41" i="4"/>
  <c r="N49" i="4" s="1"/>
  <c r="L41" i="4"/>
  <c r="L49" i="4" s="1"/>
  <c r="J41" i="4"/>
  <c r="J49" i="4" s="1"/>
  <c r="H41" i="4"/>
  <c r="H49" i="4" s="1"/>
  <c r="W39" i="4"/>
  <c r="G36" i="4"/>
  <c r="F36" i="4"/>
  <c r="G7" i="4"/>
  <c r="F7" i="4"/>
  <c r="H25" i="4"/>
  <c r="H33" i="4" s="1"/>
  <c r="X12" i="4"/>
  <c r="X20" i="4" s="1"/>
  <c r="F25" i="4"/>
  <c r="F33" i="4" s="1"/>
  <c r="F20" i="4"/>
  <c r="C18" i="4"/>
  <c r="X31" i="4"/>
  <c r="X23" i="4" s="1"/>
  <c r="V31" i="4"/>
  <c r="V23" i="4" s="1"/>
  <c r="R31" i="4"/>
  <c r="S23" i="4" s="1"/>
  <c r="P31" i="4"/>
  <c r="P23" i="4" s="1"/>
  <c r="N31" i="4"/>
  <c r="O23" i="4" s="1"/>
  <c r="L31" i="4"/>
  <c r="M23" i="4" s="1"/>
  <c r="J31" i="4"/>
  <c r="H31" i="4"/>
  <c r="H23" i="4" s="1"/>
  <c r="F31" i="4"/>
  <c r="F23" i="4" s="1"/>
  <c r="T31" i="4"/>
  <c r="X25" i="4"/>
  <c r="X33" i="4" s="1"/>
  <c r="V25" i="4"/>
  <c r="V33" i="4" s="1"/>
  <c r="T25" i="4"/>
  <c r="T33" i="4" s="1"/>
  <c r="R25" i="4"/>
  <c r="R33" i="4" s="1"/>
  <c r="P25" i="4"/>
  <c r="P33" i="4" s="1"/>
  <c r="N25" i="4"/>
  <c r="N33" i="4" s="1"/>
  <c r="L25" i="4"/>
  <c r="L33" i="4" s="1"/>
  <c r="J25" i="4"/>
  <c r="J33" i="4" s="1"/>
  <c r="X18" i="4"/>
  <c r="X10" i="4" s="1"/>
  <c r="V18" i="4"/>
  <c r="W10" i="4" s="1"/>
  <c r="T18" i="4"/>
  <c r="T10" i="4" s="1"/>
  <c r="R18" i="4"/>
  <c r="R10" i="4" s="1"/>
  <c r="P18" i="4"/>
  <c r="P10" i="4" s="1"/>
  <c r="N18" i="4"/>
  <c r="O10" i="4" s="1"/>
  <c r="L18" i="4"/>
  <c r="L10" i="4" s="1"/>
  <c r="J18" i="4"/>
  <c r="J10" i="4" s="1"/>
  <c r="H18" i="4"/>
  <c r="I10" i="4" s="1"/>
  <c r="F18" i="4"/>
  <c r="V12" i="4"/>
  <c r="V20" i="4" s="1"/>
  <c r="R7" i="4" s="1"/>
  <c r="T12" i="4"/>
  <c r="T20" i="4" s="1"/>
  <c r="R12" i="4"/>
  <c r="R20" i="4" s="1"/>
  <c r="P12" i="4"/>
  <c r="P20" i="4" s="1"/>
  <c r="O7" i="4" s="1"/>
  <c r="N12" i="4"/>
  <c r="N20" i="4" s="1"/>
  <c r="L12" i="4"/>
  <c r="L20" i="4" s="1"/>
  <c r="J12" i="4"/>
  <c r="J20" i="4" s="1"/>
  <c r="H12" i="4"/>
  <c r="H20" i="4" s="1"/>
  <c r="G77" i="4" l="1"/>
  <c r="G68" i="4" s="1"/>
  <c r="Q77" i="4"/>
  <c r="L7" i="4"/>
  <c r="Q61" i="4"/>
  <c r="I61" i="4"/>
  <c r="I52" i="4" s="1"/>
  <c r="L36" i="4"/>
  <c r="R36" i="4"/>
  <c r="O65" i="4"/>
  <c r="K90" i="4"/>
  <c r="K81" i="4" s="1"/>
  <c r="H81" i="4"/>
  <c r="I90" i="4"/>
  <c r="I81" i="4" s="1"/>
  <c r="G90" i="4"/>
  <c r="G81" i="4" s="1"/>
  <c r="Y77" i="4"/>
  <c r="Y68" i="4" s="1"/>
  <c r="U77" i="4"/>
  <c r="U68" i="4" s="1"/>
  <c r="L65" i="4"/>
  <c r="K77" i="4"/>
  <c r="K68" i="4" s="1"/>
  <c r="I77" i="4"/>
  <c r="I68" i="4" s="1"/>
  <c r="U48" i="4"/>
  <c r="U39" i="4" s="1"/>
  <c r="S48" i="4"/>
  <c r="S39" i="4" s="1"/>
  <c r="J39" i="4"/>
  <c r="I36" i="4"/>
  <c r="F39" i="4"/>
  <c r="M48" i="4"/>
  <c r="M39" i="4" s="1"/>
  <c r="J52" i="4"/>
  <c r="K61" i="4"/>
  <c r="K52" i="4" s="1"/>
  <c r="R68" i="4"/>
  <c r="B74" i="4"/>
  <c r="B76" i="4" s="1"/>
  <c r="U90" i="4"/>
  <c r="M61" i="4"/>
  <c r="M52" i="4" s="1"/>
  <c r="S52" i="4"/>
  <c r="S77" i="4"/>
  <c r="O81" i="4"/>
  <c r="Q32" i="4"/>
  <c r="S61" i="4"/>
  <c r="Q81" i="4"/>
  <c r="M90" i="4"/>
  <c r="O90" i="4"/>
  <c r="L81" i="4"/>
  <c r="Q48" i="4"/>
  <c r="W77" i="4"/>
  <c r="W68" i="4" s="1"/>
  <c r="U61" i="4"/>
  <c r="K32" i="4"/>
  <c r="G48" i="4"/>
  <c r="G39" i="4" s="1"/>
  <c r="L52" i="4"/>
  <c r="G61" i="4"/>
  <c r="W61" i="4"/>
  <c r="I65" i="4"/>
  <c r="H68" i="4"/>
  <c r="Y39" i="4"/>
  <c r="P39" i="4"/>
  <c r="I48" i="4"/>
  <c r="Y48" i="4"/>
  <c r="Q52" i="4"/>
  <c r="U81" i="4"/>
  <c r="U32" i="4"/>
  <c r="W48" i="4"/>
  <c r="K48" i="4"/>
  <c r="K39" i="4" s="1"/>
  <c r="L68" i="4"/>
  <c r="F81" i="4"/>
  <c r="V81" i="4"/>
  <c r="O61" i="4"/>
  <c r="M32" i="4"/>
  <c r="O48" i="4"/>
  <c r="O39" i="4" s="1"/>
  <c r="B45" i="4"/>
  <c r="B47" i="4" s="1"/>
  <c r="H39" i="4"/>
  <c r="T52" i="4"/>
  <c r="L39" i="4"/>
  <c r="F52" i="4"/>
  <c r="V52" i="4"/>
  <c r="S32" i="4"/>
  <c r="G32" i="4"/>
  <c r="S19" i="4"/>
  <c r="G19" i="4"/>
  <c r="G10" i="4" s="1"/>
  <c r="I32" i="4"/>
  <c r="I23" i="4" s="1"/>
  <c r="Y32" i="4"/>
  <c r="F10" i="4"/>
  <c r="O32" i="4"/>
  <c r="U19" i="4"/>
  <c r="U10" i="4" s="1"/>
  <c r="I7" i="4"/>
  <c r="B25" i="4" s="1"/>
  <c r="W32" i="4"/>
  <c r="V10" i="4"/>
  <c r="W23" i="4"/>
  <c r="W19" i="4"/>
  <c r="B16" i="4"/>
  <c r="B18" i="4" s="1"/>
  <c r="H10" i="4"/>
  <c r="Y19" i="4"/>
  <c r="Y10" i="4" s="1"/>
  <c r="Y23" i="4"/>
  <c r="K19" i="4"/>
  <c r="K10" i="4" s="1"/>
  <c r="L23" i="4"/>
  <c r="N23" i="4"/>
  <c r="Q23" i="4"/>
  <c r="R23" i="4"/>
  <c r="G23" i="4"/>
  <c r="M10" i="4"/>
  <c r="Q10" i="4"/>
  <c r="M19" i="4"/>
  <c r="S10" i="4"/>
  <c r="I19" i="4"/>
  <c r="T23" i="4"/>
  <c r="O19" i="4"/>
  <c r="U23" i="4"/>
  <c r="N10" i="4"/>
  <c r="Q19" i="4"/>
  <c r="J23" i="4"/>
  <c r="K23" i="4"/>
  <c r="D7" i="1"/>
  <c r="B7" i="1"/>
  <c r="B54" i="1"/>
  <c r="B45" i="1"/>
  <c r="B36" i="1"/>
  <c r="B27" i="1"/>
  <c r="B18" i="1"/>
  <c r="B54" i="4" l="1"/>
  <c r="B68" i="4"/>
  <c r="B39" i="4"/>
  <c r="B10" i="4"/>
  <c r="T65" i="4"/>
  <c r="B85" i="4" s="1"/>
  <c r="T36" i="4"/>
  <c r="B56" i="4" s="1"/>
  <c r="T7" i="4"/>
  <c r="B27" i="4" s="1"/>
  <c r="C7" i="1"/>
  <c r="U56" i="1" l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D52" i="1"/>
  <c r="B52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D43" i="1"/>
  <c r="B43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D34" i="1"/>
  <c r="B34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D25" i="1"/>
  <c r="B25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D16" i="1"/>
  <c r="B16" i="1"/>
  <c r="C43" i="1" l="1"/>
  <c r="N49" i="1"/>
  <c r="I49" i="1" s="1"/>
  <c r="N40" i="1"/>
  <c r="I40" i="1" s="1"/>
  <c r="D46" i="1"/>
  <c r="C52" i="1"/>
  <c r="N22" i="1"/>
  <c r="I22" i="1" s="1"/>
  <c r="D55" i="1"/>
  <c r="C16" i="1"/>
  <c r="D28" i="1"/>
  <c r="N31" i="1"/>
  <c r="I31" i="1" s="1"/>
  <c r="C25" i="1"/>
  <c r="D37" i="1"/>
  <c r="C34" i="1"/>
  <c r="N13" i="1"/>
  <c r="I13" i="1" s="1"/>
  <c r="D19" i="1"/>
  <c r="G10" i="1" l="1"/>
  <c r="U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B9" i="1" l="1"/>
  <c r="D10" i="1" s="1"/>
  <c r="G11" i="1" l="1"/>
  <c r="U11" i="1" l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N4" i="1" l="1"/>
  <c r="I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9" authorId="0" shapeId="0" xr:uid="{42FA2C87-47DD-4A43-8778-54A4476EC4AB}">
      <text>
        <r>
          <rPr>
            <b/>
            <sz val="14"/>
            <color indexed="81"/>
            <rFont val="Audi Type"/>
            <family val="2"/>
          </rPr>
          <t>Driven production</t>
        </r>
      </text>
    </comment>
    <comment ref="X9" authorId="0" shapeId="0" xr:uid="{A5B00A4D-7C8B-4757-8289-1F152FF2EFD4}">
      <text>
        <r>
          <rPr>
            <b/>
            <sz val="14"/>
            <color indexed="81"/>
            <rFont val="Audi Type"/>
            <family val="2"/>
          </rPr>
          <t>Non-Driven production</t>
        </r>
      </text>
    </comment>
    <comment ref="H22" authorId="0" shapeId="0" xr:uid="{9BF00F52-84E0-4F96-9355-42386AC7E2EF}">
      <text>
        <r>
          <rPr>
            <b/>
            <sz val="14"/>
            <color indexed="81"/>
            <rFont val="Audi Type"/>
            <family val="2"/>
          </rPr>
          <t>Non-Driven production</t>
        </r>
      </text>
    </comment>
    <comment ref="R38" authorId="0" shapeId="0" xr:uid="{8F70DB3D-3C59-4C9C-B999-51C28DF4A30A}">
      <text>
        <r>
          <rPr>
            <b/>
            <sz val="14"/>
            <color indexed="81"/>
            <rFont val="Audi Type"/>
            <family val="2"/>
          </rPr>
          <t>Non-Driven production</t>
        </r>
      </text>
    </comment>
    <comment ref="S40" authorId="0" shapeId="0" xr:uid="{BAFFCFFA-5583-43DE-B906-AA8ADF1F8D02}">
      <text>
        <r>
          <rPr>
            <b/>
            <sz val="9"/>
            <color indexed="81"/>
            <rFont val="宋体"/>
            <family val="1"/>
            <charset val="134"/>
          </rPr>
          <t xml:space="preserve">作者:
</t>
        </r>
      </text>
    </comment>
    <comment ref="P51" authorId="0" shapeId="0" xr:uid="{19D70322-50B8-49F6-ACCE-C3D9B20BBBF9}">
      <text>
        <r>
          <rPr>
            <b/>
            <sz val="14"/>
            <color indexed="81"/>
            <rFont val="Audi Type"/>
            <family val="2"/>
          </rPr>
          <t>Driven Production</t>
        </r>
      </text>
    </comment>
  </commentList>
</comments>
</file>

<file path=xl/sharedStrings.xml><?xml version="1.0" encoding="utf-8"?>
<sst xmlns="http://schemas.openxmlformats.org/spreadsheetml/2006/main" count="1050" uniqueCount="121">
  <si>
    <t>Part number:</t>
  </si>
  <si>
    <t>Part name:</t>
  </si>
  <si>
    <t>Start time:</t>
  </si>
  <si>
    <t>Finish time:</t>
  </si>
  <si>
    <t>Process Name:</t>
  </si>
  <si>
    <t>Click 1</t>
  </si>
  <si>
    <t>Click 2</t>
  </si>
  <si>
    <t>Click 3</t>
  </si>
  <si>
    <t>Click 4</t>
  </si>
  <si>
    <t>Click 5</t>
  </si>
  <si>
    <t>Click 6</t>
  </si>
  <si>
    <t>Click 7</t>
  </si>
  <si>
    <t>Click 8</t>
  </si>
  <si>
    <t>Click 9</t>
  </si>
  <si>
    <t>Click 10</t>
  </si>
  <si>
    <t>Click 11</t>
  </si>
  <si>
    <t>Click 12</t>
  </si>
  <si>
    <t>Click 13</t>
  </si>
  <si>
    <t>Click 14</t>
  </si>
  <si>
    <t>Click 15</t>
  </si>
  <si>
    <t>Total Pieces</t>
  </si>
  <si>
    <t>Production time:</t>
  </si>
  <si>
    <t>Time points (Records)</t>
  </si>
  <si>
    <t>Stop time</t>
  </si>
  <si>
    <t>Start time</t>
  </si>
  <si>
    <t>Output</t>
  </si>
  <si>
    <t>Period 2</t>
    <phoneticPr fontId="9" type="noConversion"/>
  </si>
  <si>
    <t>Period 3</t>
  </si>
  <si>
    <t>Period 4</t>
  </si>
  <si>
    <t>Period 5</t>
  </si>
  <si>
    <t>Period 6</t>
  </si>
  <si>
    <t>Period 7</t>
  </si>
  <si>
    <t>Period 8</t>
  </si>
  <si>
    <t>Cycletime in this period is slower than Average.</t>
  </si>
  <si>
    <t>??:??.??</t>
    <phoneticPr fontId="9" type="noConversion"/>
  </si>
  <si>
    <t>Cycletime of this parts (Click ?) is slower than Average.</t>
    <phoneticPr fontId="9" type="noConversion"/>
  </si>
  <si>
    <t>Supplier:</t>
    <phoneticPr fontId="9" type="noConversion"/>
  </si>
  <si>
    <t>Pcs for each cycle
(Number of Cavities)</t>
    <phoneticPr fontId="9" type="noConversion"/>
  </si>
  <si>
    <t>OK</t>
    <phoneticPr fontId="9" type="noConversion"/>
  </si>
  <si>
    <t>N.OK</t>
    <phoneticPr fontId="9" type="noConversion"/>
  </si>
  <si>
    <t>Cycle time 
(Average of each cycle)</t>
    <phoneticPr fontId="9" type="noConversion"/>
  </si>
  <si>
    <t>Period 1</t>
  </si>
  <si>
    <t>Period 2</t>
  </si>
  <si>
    <t>Period ?</t>
  </si>
  <si>
    <t>Plannned C.T.</t>
    <phoneticPr fontId="9" type="noConversion"/>
  </si>
  <si>
    <t>Unplanned Interruptions</t>
    <phoneticPr fontId="9" type="noConversion"/>
  </si>
  <si>
    <t>Clicked (Records)</t>
    <phoneticPr fontId="9" type="noConversion"/>
  </si>
  <si>
    <t>Total Pieces
Including OK &amp; N.OK</t>
    <phoneticPr fontId="9" type="noConversion"/>
  </si>
  <si>
    <t>N.OK parts</t>
    <phoneticPr fontId="9" type="noConversion"/>
  </si>
  <si>
    <t>Record</t>
    <phoneticPr fontId="9" type="noConversion"/>
  </si>
  <si>
    <r>
      <t>Line Stop (</t>
    </r>
    <r>
      <rPr>
        <b/>
        <sz val="11"/>
        <color theme="1"/>
        <rFont val="Segoe UI Symbol"/>
        <family val="2"/>
      </rPr>
      <t>✔</t>
    </r>
    <r>
      <rPr>
        <b/>
        <sz val="11"/>
        <color theme="1"/>
        <rFont val="Audi Type"/>
        <family val="2"/>
      </rPr>
      <t>)</t>
    </r>
    <phoneticPr fontId="9" type="noConversion"/>
  </si>
  <si>
    <t>Period 9</t>
  </si>
  <si>
    <t>Period 10</t>
  </si>
  <si>
    <t>C.T in P1</t>
    <phoneticPr fontId="9" type="noConversion"/>
  </si>
  <si>
    <t>C.T in P2</t>
    <phoneticPr fontId="9" type="noConversion"/>
  </si>
  <si>
    <t>C.T in P3</t>
    <phoneticPr fontId="9" type="noConversion"/>
  </si>
  <si>
    <t>C.T in P4</t>
    <phoneticPr fontId="9" type="noConversion"/>
  </si>
  <si>
    <t>C.T in P5</t>
    <phoneticPr fontId="9" type="noConversion"/>
  </si>
  <si>
    <t>C.T in P6</t>
    <phoneticPr fontId="9" type="noConversion"/>
  </si>
  <si>
    <t>C.T in P7</t>
    <phoneticPr fontId="9" type="noConversion"/>
  </si>
  <si>
    <t>C.T in P8</t>
    <phoneticPr fontId="9" type="noConversion"/>
  </si>
  <si>
    <t>C.T in P9</t>
    <phoneticPr fontId="9" type="noConversion"/>
  </si>
  <si>
    <t>C.T in P10</t>
    <phoneticPr fontId="9" type="noConversion"/>
  </si>
  <si>
    <t>Period C.T.</t>
    <phoneticPr fontId="9" type="noConversion"/>
  </si>
  <si>
    <t>Output</t>
    <phoneticPr fontId="9" type="noConversion"/>
  </si>
  <si>
    <r>
      <t>Unplanned Line stop (</t>
    </r>
    <r>
      <rPr>
        <b/>
        <sz val="11"/>
        <color theme="1"/>
        <rFont val="Segoe UI Symbol"/>
        <family val="2"/>
      </rPr>
      <t>✔</t>
    </r>
    <r>
      <rPr>
        <b/>
        <sz val="11"/>
        <color theme="1"/>
        <rFont val="Audi Type"/>
        <family val="2"/>
      </rPr>
      <t>)
(Found during checking process)</t>
    </r>
    <phoneticPr fontId="9" type="noConversion"/>
  </si>
  <si>
    <t>Production tracking</t>
    <phoneticPr fontId="9" type="noConversion"/>
  </si>
  <si>
    <t>Cycle time 
(Input the result by C.T. Tracking)</t>
    <phoneticPr fontId="9" type="noConversion"/>
  </si>
  <si>
    <t>Time Record</t>
    <phoneticPr fontId="9" type="noConversion"/>
  </si>
  <si>
    <t>Period 3</t>
    <phoneticPr fontId="9" type="noConversion"/>
  </si>
  <si>
    <t>Period 4</t>
    <phoneticPr fontId="9" type="noConversion"/>
  </si>
  <si>
    <t>Period 5</t>
    <phoneticPr fontId="9" type="noConversion"/>
  </si>
  <si>
    <t>Period 6</t>
    <phoneticPr fontId="9" type="noConversion"/>
  </si>
  <si>
    <t>Period 7</t>
    <phoneticPr fontId="9" type="noConversion"/>
  </si>
  <si>
    <t>Period 8</t>
    <phoneticPr fontId="9" type="noConversion"/>
  </si>
  <si>
    <t>Period 9</t>
    <phoneticPr fontId="9" type="noConversion"/>
  </si>
  <si>
    <t>Period 10</t>
    <phoneticPr fontId="9" type="noConversion"/>
  </si>
  <si>
    <r>
      <t>Unplanned stop (</t>
    </r>
    <r>
      <rPr>
        <b/>
        <sz val="16"/>
        <color theme="1"/>
        <rFont val="Segoe UI Symbol"/>
        <family val="2"/>
      </rPr>
      <t>✔</t>
    </r>
    <r>
      <rPr>
        <b/>
        <sz val="16"/>
        <color theme="1"/>
        <rFont val="Audi Type"/>
        <family val="2"/>
      </rPr>
      <t>)</t>
    </r>
    <r>
      <rPr>
        <b/>
        <sz val="11"/>
        <color theme="1"/>
        <rFont val="Audi Type"/>
        <family val="2"/>
      </rPr>
      <t xml:space="preserve">
(Found during checking process)</t>
    </r>
    <phoneticPr fontId="9" type="noConversion"/>
  </si>
  <si>
    <t>C.T. Tracking</t>
    <phoneticPr fontId="9" type="noConversion"/>
  </si>
  <si>
    <t>Production Tracking</t>
    <phoneticPr fontId="9" type="noConversion"/>
  </si>
  <si>
    <t>Part Name:</t>
    <phoneticPr fontId="9" type="noConversion"/>
  </si>
  <si>
    <r>
      <t>Stopping (</t>
    </r>
    <r>
      <rPr>
        <b/>
        <sz val="16"/>
        <color theme="1"/>
        <rFont val="Segoe UI Symbol"/>
        <family val="2"/>
      </rPr>
      <t>✔</t>
    </r>
    <r>
      <rPr>
        <b/>
        <sz val="16"/>
        <color theme="1"/>
        <rFont val="Audi Type"/>
        <family val="2"/>
      </rPr>
      <t>)</t>
    </r>
    <phoneticPr fontId="9" type="noConversion"/>
  </si>
  <si>
    <t>N.OK (N)</t>
    <phoneticPr fontId="9" type="noConversion"/>
  </si>
  <si>
    <r>
      <t>Breaks (</t>
    </r>
    <r>
      <rPr>
        <b/>
        <sz val="11"/>
        <color theme="1"/>
        <rFont val="Segoe UI Symbol"/>
        <family val="2"/>
      </rPr>
      <t>✔</t>
    </r>
    <r>
      <rPr>
        <b/>
        <sz val="11"/>
        <color theme="1"/>
        <rFont val="Audi Type"/>
        <family val="2"/>
      </rPr>
      <t>)</t>
    </r>
    <phoneticPr fontId="9" type="noConversion"/>
  </si>
  <si>
    <t>Planned Interruptions 
(Setup time, etc)</t>
    <phoneticPr fontId="9" type="noConversion"/>
  </si>
  <si>
    <t>Breaks</t>
    <phoneticPr fontId="9" type="noConversion"/>
  </si>
  <si>
    <r>
      <t>Planned interruptions (</t>
    </r>
    <r>
      <rPr>
        <b/>
        <sz val="11"/>
        <color theme="1"/>
        <rFont val="Segoe UI Symbol"/>
        <family val="2"/>
      </rPr>
      <t>✔</t>
    </r>
    <r>
      <rPr>
        <b/>
        <sz val="11"/>
        <color theme="1"/>
        <rFont val="Audi Type"/>
        <family val="2"/>
      </rPr>
      <t>)
(Setup time, etc.)</t>
    </r>
    <phoneticPr fontId="9" type="noConversion"/>
  </si>
  <si>
    <t>*Unplanned interruptions
Theoretical (for reference)</t>
    <phoneticPr fontId="9" type="noConversion"/>
  </si>
  <si>
    <t>Unplanned interruptions</t>
    <phoneticPr fontId="9" type="noConversion"/>
  </si>
  <si>
    <r>
      <t>Setup time (</t>
    </r>
    <r>
      <rPr>
        <b/>
        <sz val="16"/>
        <color theme="1"/>
        <rFont val="Segoe UI Symbol"/>
        <family val="2"/>
      </rPr>
      <t>✔</t>
    </r>
    <r>
      <rPr>
        <b/>
        <sz val="16"/>
        <color theme="1"/>
        <rFont val="Audi Type"/>
        <family val="2"/>
      </rPr>
      <t>)</t>
    </r>
    <phoneticPr fontId="9" type="noConversion"/>
  </si>
  <si>
    <r>
      <t>Breaks (</t>
    </r>
    <r>
      <rPr>
        <b/>
        <sz val="16"/>
        <color theme="1"/>
        <rFont val="Segoe UI Symbol"/>
        <family val="2"/>
      </rPr>
      <t>✔</t>
    </r>
    <r>
      <rPr>
        <b/>
        <sz val="16"/>
        <color theme="1"/>
        <rFont val="Audi Type"/>
        <family val="2"/>
      </rPr>
      <t>)</t>
    </r>
    <phoneticPr fontId="9" type="noConversion"/>
  </si>
  <si>
    <t>Period 11</t>
    <phoneticPr fontId="9" type="noConversion"/>
  </si>
  <si>
    <t>Period 12</t>
    <phoneticPr fontId="9" type="noConversion"/>
  </si>
  <si>
    <t>Period 13</t>
    <phoneticPr fontId="9" type="noConversion"/>
  </si>
  <si>
    <t>Period 14</t>
    <phoneticPr fontId="9" type="noConversion"/>
  </si>
  <si>
    <t>Period 15</t>
    <phoneticPr fontId="9" type="noConversion"/>
  </si>
  <si>
    <t>Period 16</t>
    <phoneticPr fontId="9" type="noConversion"/>
  </si>
  <si>
    <t>Period 17</t>
    <phoneticPr fontId="9" type="noConversion"/>
  </si>
  <si>
    <t>Period 18</t>
    <phoneticPr fontId="9" type="noConversion"/>
  </si>
  <si>
    <t>Period 19</t>
    <phoneticPr fontId="9" type="noConversion"/>
  </si>
  <si>
    <t>Period 20</t>
    <phoneticPr fontId="9" type="noConversion"/>
  </si>
  <si>
    <t>C.T in P11</t>
    <phoneticPr fontId="9" type="noConversion"/>
  </si>
  <si>
    <t>C.T in P12</t>
    <phoneticPr fontId="9" type="noConversion"/>
  </si>
  <si>
    <t>C.T in P13</t>
    <phoneticPr fontId="9" type="noConversion"/>
  </si>
  <si>
    <t>C.T in P14</t>
    <phoneticPr fontId="9" type="noConversion"/>
  </si>
  <si>
    <t>C.T in P15</t>
    <phoneticPr fontId="9" type="noConversion"/>
  </si>
  <si>
    <t>C.T in P16</t>
    <phoneticPr fontId="9" type="noConversion"/>
  </si>
  <si>
    <t>C.T in P17</t>
    <phoneticPr fontId="9" type="noConversion"/>
  </si>
  <si>
    <t>C.T in P18</t>
    <phoneticPr fontId="9" type="noConversion"/>
  </si>
  <si>
    <t>C.T in P19</t>
    <phoneticPr fontId="9" type="noConversion"/>
  </si>
  <si>
    <t>C.T in P20</t>
    <phoneticPr fontId="9" type="noConversion"/>
  </si>
  <si>
    <t>Working shifts / week</t>
    <phoneticPr fontId="9" type="noConversion"/>
  </si>
  <si>
    <t>Shifts/week (Nominated)</t>
  </si>
  <si>
    <t>✔</t>
  </si>
  <si>
    <r>
      <t xml:space="preserve">Unplanned interruptions 
</t>
    </r>
    <r>
      <rPr>
        <b/>
        <sz val="11"/>
        <rFont val="Audi Type"/>
        <family val="2"/>
      </rPr>
      <t>in Each shift (Catched)</t>
    </r>
    <phoneticPr fontId="9" type="noConversion"/>
  </si>
  <si>
    <r>
      <t xml:space="preserve">Unplanned interruptions
Theoretical </t>
    </r>
    <r>
      <rPr>
        <b/>
        <sz val="11"/>
        <rFont val="Audi Type"/>
        <family val="2"/>
      </rPr>
      <t>in Each shift</t>
    </r>
    <r>
      <rPr>
        <sz val="11"/>
        <rFont val="Audi Type"/>
        <family val="2"/>
      </rPr>
      <t xml:space="preserve"> </t>
    </r>
    <r>
      <rPr>
        <b/>
        <sz val="11"/>
        <rFont val="Audi Type"/>
        <family val="2"/>
      </rPr>
      <t>(for reference)</t>
    </r>
    <phoneticPr fontId="9" type="noConversion"/>
  </si>
  <si>
    <t>Schaeffler</t>
    <phoneticPr fontId="9" type="noConversion"/>
  </si>
  <si>
    <t>Wheel bearing</t>
    <phoneticPr fontId="9" type="noConversion"/>
  </si>
  <si>
    <t>Whole process
2025/03/06</t>
    <phoneticPr fontId="9" type="noConversion"/>
  </si>
  <si>
    <t>85D407621 / 85D407621A</t>
    <phoneticPr fontId="9" type="noConversion"/>
  </si>
  <si>
    <t>Whole process
2025/6/13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</si>
</sst>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[$-F400]h:mm:ss\ AM/PM"/>
    <numFmt numFmtId="165" formatCode="h:mm;@"/>
    <numFmt numFmtId="166" formatCode="[$-409]h:mm\ AM/PM;@"/>
    <numFmt numFmtId="167" formatCode="00&quot;:&quot;00&quot;.&quot;00"/>
    <numFmt numFmtId="168" formatCode="h:mm:ss;@"/>
    <numFmt numFmtId="169" formatCode="00&quot;:&quot;00&quot;.&quot;00;@"/>
    <numFmt numFmtId="170" formatCode="#,##0.0\ &quot;min&quot;"/>
    <numFmt numFmtId="171" formatCode="#,##0_ "/>
    <numFmt numFmtId="172" formatCode="#,##0.0\ &quot;sec&quot;"/>
    <numFmt numFmtId="173" formatCode="#,##0.00\ &quot;min&quot;"/>
    <numFmt numFmtId="174" formatCode="#,##0.00\ &quot;sec&quot;"/>
    <numFmt numFmtId="175" formatCode="#,##0\ &quot;cavities&quot;"/>
    <numFmt numFmtId="176" formatCode="&quot;Process&quot;\ 0"/>
    <numFmt numFmtId="177" formatCode="#,##0&quot;pcs&quot;"/>
    <numFmt numFmtId="178" formatCode="#,##0_ ;[Red]\-#,##0\ "/>
    <numFmt numFmtId="179" formatCode="0.0"/>
    <numFmt numFmtId="180" formatCode="#,##0\ &quot;shifts&quot;"/>
  </numFmts>
  <fonts count="23">
    <font>
      <sz val="11"/>
      <color theme="1"/>
      <name val="Calibri"/>
      <family val="2"/>
      <scheme val="minor"/>
    </font>
    <font>
      <sz val="11"/>
      <color theme="1"/>
      <name val="Audi Type"/>
      <family val="2"/>
    </font>
    <font>
      <b/>
      <sz val="11"/>
      <color theme="1"/>
      <name val="Audi Type"/>
      <family val="2"/>
    </font>
    <font>
      <sz val="10"/>
      <color theme="1"/>
      <name val="Audi Type"/>
      <family val="2"/>
    </font>
    <font>
      <b/>
      <sz val="14"/>
      <color theme="1"/>
      <name val="Audi Type"/>
      <family val="2"/>
    </font>
    <font>
      <b/>
      <sz val="20"/>
      <color theme="1"/>
      <name val="Audi Type"/>
      <family val="2"/>
    </font>
    <font>
      <b/>
      <sz val="10"/>
      <color theme="1"/>
      <name val="Audi Type"/>
      <family val="2"/>
    </font>
    <font>
      <sz val="8"/>
      <color rgb="FF0D131B"/>
      <name val="HarmonyOS_Sans_SC_Medium"/>
    </font>
    <font>
      <b/>
      <sz val="11"/>
      <name val="Audi Type"/>
      <family val="2"/>
    </font>
    <font>
      <sz val="9"/>
      <name val="Calibri"/>
      <family val="3"/>
      <charset val="134"/>
      <scheme val="minor"/>
    </font>
    <font>
      <b/>
      <sz val="18"/>
      <color theme="1"/>
      <name val="Audi Type"/>
      <family val="2"/>
    </font>
    <font>
      <sz val="14"/>
      <color theme="1"/>
      <name val="Audi Type"/>
      <family val="2"/>
    </font>
    <font>
      <b/>
      <sz val="16"/>
      <color theme="1"/>
      <name val="Audi Type"/>
      <family val="2"/>
    </font>
    <font>
      <sz val="16"/>
      <color theme="1"/>
      <name val="Audi Type"/>
      <family val="2"/>
    </font>
    <font>
      <sz val="11"/>
      <name val="Audi Type"/>
      <family val="2"/>
    </font>
    <font>
      <sz val="10"/>
      <name val="Audi Type"/>
      <family val="2"/>
    </font>
    <font>
      <b/>
      <sz val="10"/>
      <name val="Audi Type"/>
      <family val="2"/>
    </font>
    <font>
      <b/>
      <sz val="11"/>
      <color theme="1"/>
      <name val="Segoe UI Symbol"/>
      <family val="2"/>
    </font>
    <font>
      <b/>
      <sz val="11"/>
      <color rgb="FFFF0000"/>
      <name val="Audi Type"/>
      <family val="2"/>
    </font>
    <font>
      <b/>
      <sz val="16"/>
      <color theme="1"/>
      <name val="Segoe UI Symbol"/>
      <family val="2"/>
    </font>
    <font>
      <b/>
      <sz val="12"/>
      <color theme="1"/>
      <name val="Audi Type"/>
      <family val="2"/>
    </font>
    <font>
      <b/>
      <sz val="9"/>
      <color indexed="81"/>
      <name val="宋体"/>
      <family val="1"/>
      <charset val="134"/>
    </font>
    <font>
      <b/>
      <sz val="14"/>
      <color indexed="81"/>
      <name val="Audi Type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21" fontId="3" fillId="0" borderId="6" applyBorder="0">
      <alignment horizontal="center" vertical="center"/>
    </xf>
  </cellStyleXfs>
  <cellXfs count="214">
    <xf numFmtId="0" fontId="0" fillId="0" borderId="0" xfId="0"/>
    <xf numFmtId="164" fontId="7" fillId="0" borderId="0" xfId="0" applyNumberFormat="1" applyFont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10" fillId="0" borderId="0" xfId="0" applyFont="1" applyAlignment="1" applyProtection="1">
      <alignment horizontal="center" vertical="center"/>
    </xf>
    <xf numFmtId="0" fontId="12" fillId="0" borderId="0" xfId="0" applyFont="1" applyAlignment="1" applyProtection="1">
      <alignment vertical="center" wrapText="1"/>
    </xf>
    <xf numFmtId="0" fontId="12" fillId="0" borderId="12" xfId="0" applyFont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/>
    </xf>
    <xf numFmtId="0" fontId="12" fillId="0" borderId="11" xfId="0" applyFont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horizontal="left" vertical="center" wrapText="1"/>
    </xf>
    <xf numFmtId="164" fontId="7" fillId="0" borderId="0" xfId="0" applyNumberFormat="1" applyFont="1" applyBorder="1" applyAlignment="1" applyProtection="1">
      <alignment vertical="center"/>
    </xf>
    <xf numFmtId="0" fontId="1" fillId="0" borderId="33" xfId="0" applyFont="1" applyBorder="1" applyAlignment="1" applyProtection="1">
      <alignment horizontal="left" vertical="center"/>
    </xf>
    <xf numFmtId="0" fontId="13" fillId="0" borderId="33" xfId="0" applyFont="1" applyFill="1" applyBorder="1" applyAlignment="1" applyProtection="1">
      <alignment vertical="center" wrapText="1"/>
    </xf>
    <xf numFmtId="0" fontId="13" fillId="0" borderId="29" xfId="0" applyFont="1" applyFill="1" applyBorder="1" applyAlignment="1" applyProtection="1">
      <alignment vertical="center" wrapText="1"/>
    </xf>
    <xf numFmtId="0" fontId="10" fillId="0" borderId="0" xfId="0" applyFont="1" applyAlignment="1" applyProtection="1">
      <alignment horizontal="right" vertical="center"/>
    </xf>
    <xf numFmtId="0" fontId="10" fillId="0" borderId="0" xfId="0" applyFont="1" applyBorder="1" applyAlignment="1" applyProtection="1">
      <alignment horizontal="right" vertical="center"/>
    </xf>
    <xf numFmtId="165" fontId="1" fillId="0" borderId="12" xfId="0" applyNumberFormat="1" applyFont="1" applyFill="1" applyBorder="1" applyAlignment="1" applyProtection="1">
      <alignment horizontal="center" vertical="center"/>
    </xf>
    <xf numFmtId="165" fontId="1" fillId="0" borderId="13" xfId="0" applyNumberFormat="1" applyFont="1" applyFill="1" applyBorder="1" applyAlignment="1" applyProtection="1">
      <alignment horizontal="center" vertical="center"/>
    </xf>
    <xf numFmtId="164" fontId="12" fillId="0" borderId="12" xfId="0" applyNumberFormat="1" applyFont="1" applyFill="1" applyBorder="1" applyAlignment="1" applyProtection="1">
      <alignment horizontal="center" vertical="center"/>
    </xf>
    <xf numFmtId="164" fontId="12" fillId="0" borderId="13" xfId="0" applyNumberFormat="1" applyFont="1" applyFill="1" applyBorder="1" applyAlignment="1" applyProtection="1">
      <alignment horizontal="center" vertical="center"/>
    </xf>
    <xf numFmtId="3" fontId="8" fillId="0" borderId="14" xfId="0" applyNumberFormat="1" applyFont="1" applyFill="1" applyBorder="1" applyAlignment="1" applyProtection="1">
      <alignment vertical="center"/>
    </xf>
    <xf numFmtId="3" fontId="8" fillId="0" borderId="16" xfId="0" applyNumberFormat="1" applyFont="1" applyFill="1" applyBorder="1" applyAlignment="1" applyProtection="1">
      <alignment vertical="center"/>
    </xf>
    <xf numFmtId="0" fontId="12" fillId="0" borderId="10" xfId="0" applyFont="1" applyBorder="1" applyAlignment="1" applyProtection="1">
      <alignment horizontal="center" vertical="center"/>
    </xf>
    <xf numFmtId="164" fontId="13" fillId="0" borderId="1" xfId="0" applyNumberFormat="1" applyFont="1" applyBorder="1" applyAlignment="1" applyProtection="1">
      <alignment horizontal="left" vertical="center"/>
    </xf>
    <xf numFmtId="164" fontId="13" fillId="0" borderId="13" xfId="0" applyNumberFormat="1" applyFont="1" applyBorder="1" applyAlignment="1" applyProtection="1">
      <alignment horizontal="left" vertical="center"/>
    </xf>
    <xf numFmtId="164" fontId="13" fillId="0" borderId="15" xfId="0" applyNumberFormat="1" applyFont="1" applyBorder="1" applyAlignment="1" applyProtection="1">
      <alignment horizontal="left" vertical="center"/>
    </xf>
    <xf numFmtId="164" fontId="13" fillId="0" borderId="16" xfId="0" applyNumberFormat="1" applyFont="1" applyBorder="1" applyAlignment="1" applyProtection="1">
      <alignment horizontal="left" vertical="center"/>
    </xf>
    <xf numFmtId="0" fontId="1" fillId="0" borderId="30" xfId="0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0" fillId="0" borderId="0" xfId="0" applyFont="1" applyBorder="1" applyAlignment="1" applyProtection="1">
      <alignment vertical="center"/>
      <protection hidden="1"/>
    </xf>
    <xf numFmtId="176" fontId="4" fillId="0" borderId="0" xfId="0" applyNumberFormat="1" applyFont="1" applyAlignment="1" applyProtection="1">
      <alignment horizontal="left" vertical="center"/>
      <protection hidden="1"/>
    </xf>
    <xf numFmtId="0" fontId="1" fillId="0" borderId="0" xfId="0" applyFont="1" applyBorder="1" applyAlignment="1" applyProtection="1">
      <alignment horizontal="left" vertical="center"/>
      <protection hidden="1"/>
    </xf>
    <xf numFmtId="166" fontId="1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1" fontId="2" fillId="0" borderId="17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right" vertical="center"/>
      <protection hidden="1"/>
    </xf>
    <xf numFmtId="169" fontId="3" fillId="2" borderId="9" xfId="0" applyNumberFormat="1" applyFont="1" applyFill="1" applyBorder="1" applyAlignment="1" applyProtection="1">
      <alignment horizontal="center" vertical="center"/>
      <protection locked="0" hidden="1"/>
    </xf>
    <xf numFmtId="169" fontId="3" fillId="2" borderId="10" xfId="0" applyNumberFormat="1" applyFont="1" applyFill="1" applyBorder="1" applyAlignment="1" applyProtection="1">
      <alignment horizontal="center" vertical="center"/>
      <protection locked="0" hidden="1"/>
    </xf>
    <xf numFmtId="169" fontId="3" fillId="2" borderId="11" xfId="0" applyNumberFormat="1" applyFont="1" applyFill="1" applyBorder="1" applyAlignment="1" applyProtection="1">
      <alignment horizontal="center" vertical="center"/>
      <protection locked="0" hidden="1"/>
    </xf>
    <xf numFmtId="1" fontId="8" fillId="0" borderId="22" xfId="0" applyNumberFormat="1" applyFont="1" applyBorder="1" applyAlignment="1" applyProtection="1">
      <alignment horizontal="center" vertical="center"/>
      <protection hidden="1"/>
    </xf>
    <xf numFmtId="1" fontId="2" fillId="0" borderId="28" xfId="0" applyNumberFormat="1" applyFont="1" applyBorder="1" applyAlignment="1" applyProtection="1">
      <alignment horizontal="center" vertical="center"/>
      <protection hidden="1"/>
    </xf>
    <xf numFmtId="164" fontId="3" fillId="2" borderId="12" xfId="0" applyNumberFormat="1" applyFont="1" applyFill="1" applyBorder="1" applyAlignment="1" applyProtection="1">
      <alignment horizontal="center" vertical="center"/>
      <protection locked="0" hidden="1"/>
    </xf>
    <xf numFmtId="164" fontId="3" fillId="2" borderId="1" xfId="0" applyNumberFormat="1" applyFont="1" applyFill="1" applyBorder="1" applyAlignment="1" applyProtection="1">
      <alignment horizontal="center" vertical="center"/>
      <protection locked="0" hidden="1"/>
    </xf>
    <xf numFmtId="164" fontId="3" fillId="2" borderId="13" xfId="0" applyNumberFormat="1" applyFont="1" applyFill="1" applyBorder="1" applyAlignment="1" applyProtection="1">
      <alignment horizontal="center" vertical="center"/>
      <protection locked="0" hidden="1"/>
    </xf>
    <xf numFmtId="174" fontId="2" fillId="0" borderId="2" xfId="0" applyNumberFormat="1" applyFont="1" applyBorder="1" applyAlignment="1" applyProtection="1">
      <alignment horizontal="center" vertical="center"/>
      <protection hidden="1"/>
    </xf>
    <xf numFmtId="174" fontId="2" fillId="2" borderId="18" xfId="0" applyNumberFormat="1" applyFont="1" applyFill="1" applyBorder="1" applyAlignment="1" applyProtection="1">
      <alignment horizontal="center" vertical="center"/>
      <protection locked="0" hidden="1"/>
    </xf>
    <xf numFmtId="167" fontId="14" fillId="0" borderId="0" xfId="0" applyNumberFormat="1" applyFont="1" applyAlignment="1" applyProtection="1">
      <alignment horizontal="center" vertical="center"/>
      <protection hidden="1"/>
    </xf>
    <xf numFmtId="167" fontId="15" fillId="0" borderId="0" xfId="0" applyNumberFormat="1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vertical="center"/>
      <protection hidden="1"/>
    </xf>
    <xf numFmtId="171" fontId="14" fillId="0" borderId="0" xfId="0" applyNumberFormat="1" applyFont="1" applyAlignment="1" applyProtection="1">
      <alignment horizontal="center" vertical="center"/>
      <protection hidden="1"/>
    </xf>
    <xf numFmtId="167" fontId="1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80" fontId="1" fillId="2" borderId="43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</xf>
    <xf numFmtId="0" fontId="10" fillId="0" borderId="0" xfId="0" applyFont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11" fillId="0" borderId="0" xfId="0" applyFont="1" applyAlignment="1" applyProtection="1">
      <alignment horizontal="left" vertical="center" wrapText="1"/>
    </xf>
    <xf numFmtId="165" fontId="2" fillId="0" borderId="0" xfId="0" applyNumberFormat="1" applyFont="1" applyFill="1" applyBorder="1" applyAlignment="1" applyProtection="1">
      <alignment horizontal="center" vertical="center"/>
    </xf>
    <xf numFmtId="165" fontId="2" fillId="0" borderId="0" xfId="0" applyNumberFormat="1" applyFont="1" applyBorder="1" applyAlignment="1" applyProtection="1">
      <alignment horizontal="center" vertical="center"/>
    </xf>
    <xf numFmtId="170" fontId="2" fillId="0" borderId="0" xfId="0" applyNumberFormat="1" applyFont="1" applyBorder="1" applyAlignment="1" applyProtection="1">
      <alignment vertical="center"/>
    </xf>
    <xf numFmtId="170" fontId="8" fillId="0" borderId="0" xfId="0" applyNumberFormat="1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176" fontId="4" fillId="0" borderId="0" xfId="0" applyNumberFormat="1" applyFont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/>
    </xf>
    <xf numFmtId="0" fontId="11" fillId="2" borderId="0" xfId="0" applyFont="1" applyFill="1" applyAlignment="1" applyProtection="1">
      <alignment horizontal="left" vertical="center" wrapText="1"/>
      <protection locked="0"/>
    </xf>
    <xf numFmtId="165" fontId="2" fillId="0" borderId="14" xfId="0" applyNumberFormat="1" applyFont="1" applyFill="1" applyBorder="1" applyAlignment="1" applyProtection="1">
      <alignment horizontal="center" vertical="center"/>
    </xf>
    <xf numFmtId="165" fontId="2" fillId="0" borderId="16" xfId="0" applyNumberFormat="1" applyFont="1" applyBorder="1" applyAlignment="1" applyProtection="1">
      <alignment horizontal="center" vertical="center"/>
    </xf>
    <xf numFmtId="168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Border="1" applyAlignment="1" applyProtection="1">
      <alignment horizontal="right" vertical="center"/>
    </xf>
    <xf numFmtId="3" fontId="8" fillId="0" borderId="14" xfId="0" applyNumberFormat="1" applyFont="1" applyFill="1" applyBorder="1" applyAlignment="1" applyProtection="1">
      <alignment horizontal="center" vertical="center"/>
    </xf>
    <xf numFmtId="172" fontId="1" fillId="0" borderId="16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/>
    </xf>
    <xf numFmtId="165" fontId="1" fillId="2" borderId="14" xfId="0" applyNumberFormat="1" applyFont="1" applyFill="1" applyBorder="1" applyAlignment="1" applyProtection="1">
      <alignment horizontal="center" vertical="center"/>
      <protection locked="0"/>
    </xf>
    <xf numFmtId="165" fontId="1" fillId="2" borderId="16" xfId="0" applyNumberFormat="1" applyFont="1" applyFill="1" applyBorder="1" applyAlignment="1" applyProtection="1">
      <alignment horizontal="center" vertical="center"/>
      <protection locked="0"/>
    </xf>
    <xf numFmtId="165" fontId="1" fillId="3" borderId="14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right" vertical="center" wrapText="1"/>
    </xf>
    <xf numFmtId="0" fontId="2" fillId="0" borderId="38" xfId="0" applyFont="1" applyBorder="1" applyAlignment="1" applyProtection="1">
      <alignment horizontal="center" vertical="center"/>
    </xf>
    <xf numFmtId="0" fontId="2" fillId="0" borderId="39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3" fontId="8" fillId="2" borderId="12" xfId="0" applyNumberFormat="1" applyFont="1" applyFill="1" applyBorder="1" applyAlignment="1" applyProtection="1">
      <alignment horizontal="center" vertical="center"/>
      <protection locked="0"/>
    </xf>
    <xf numFmtId="3" fontId="18" fillId="2" borderId="26" xfId="0" applyNumberFormat="1" applyFont="1" applyFill="1" applyBorder="1" applyAlignment="1" applyProtection="1">
      <alignment horizontal="center" vertical="center"/>
      <protection locked="0"/>
    </xf>
    <xf numFmtId="178" fontId="2" fillId="0" borderId="14" xfId="0" applyNumberFormat="1" applyFont="1" applyFill="1" applyBorder="1" applyAlignment="1" applyProtection="1">
      <alignment horizontal="center" vertical="center"/>
    </xf>
    <xf numFmtId="178" fontId="1" fillId="0" borderId="16" xfId="0" applyNumberFormat="1" applyFont="1" applyBorder="1" applyAlignment="1" applyProtection="1">
      <alignment horizontal="center" vertical="center"/>
    </xf>
    <xf numFmtId="168" fontId="1" fillId="0" borderId="0" xfId="0" applyNumberFormat="1" applyFont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168" fontId="1" fillId="0" borderId="0" xfId="0" applyNumberFormat="1" applyFont="1" applyFill="1" applyBorder="1" applyAlignment="1" applyProtection="1">
      <alignment horizontal="center" vertical="center"/>
    </xf>
    <xf numFmtId="3" fontId="14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172" fontId="1" fillId="0" borderId="0" xfId="0" applyNumberFormat="1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left" vertical="center"/>
    </xf>
    <xf numFmtId="168" fontId="14" fillId="0" borderId="0" xfId="0" applyNumberFormat="1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vertical="center"/>
    </xf>
    <xf numFmtId="0" fontId="2" fillId="0" borderId="42" xfId="0" applyFont="1" applyFill="1" applyBorder="1" applyAlignment="1" applyProtection="1">
      <alignment horizontal="center" vertical="center" wrapText="1"/>
    </xf>
    <xf numFmtId="0" fontId="2" fillId="4" borderId="27" xfId="0" applyFont="1" applyFill="1" applyBorder="1" applyAlignment="1" applyProtection="1">
      <alignment horizontal="center" vertical="center"/>
    </xf>
    <xf numFmtId="165" fontId="1" fillId="0" borderId="25" xfId="0" applyNumberFormat="1" applyFont="1" applyFill="1" applyBorder="1" applyAlignment="1" applyProtection="1">
      <alignment horizontal="center" vertical="center"/>
    </xf>
    <xf numFmtId="165" fontId="1" fillId="0" borderId="26" xfId="0" applyNumberFormat="1" applyFont="1" applyFill="1" applyBorder="1" applyAlignment="1" applyProtection="1">
      <alignment horizontal="center" vertical="center"/>
    </xf>
    <xf numFmtId="164" fontId="1" fillId="0" borderId="25" xfId="0" applyNumberFormat="1" applyFont="1" applyFill="1" applyBorder="1" applyAlignment="1" applyProtection="1">
      <alignment horizontal="center" vertical="center"/>
    </xf>
    <xf numFmtId="164" fontId="1" fillId="0" borderId="26" xfId="0" applyNumberFormat="1" applyFont="1" applyFill="1" applyBorder="1" applyAlignment="1" applyProtection="1">
      <alignment horizontal="center" vertical="center"/>
    </xf>
    <xf numFmtId="0" fontId="12" fillId="0" borderId="25" xfId="0" applyFont="1" applyBorder="1" applyAlignment="1" applyProtection="1">
      <alignment horizontal="center" vertical="center"/>
    </xf>
    <xf numFmtId="0" fontId="12" fillId="0" borderId="26" xfId="0" applyFont="1" applyBorder="1" applyAlignment="1" applyProtection="1">
      <alignment horizontal="center" vertical="center"/>
    </xf>
    <xf numFmtId="0" fontId="12" fillId="0" borderId="20" xfId="0" applyFont="1" applyBorder="1" applyAlignment="1" applyProtection="1">
      <alignment horizontal="center" vertical="center" wrapText="1"/>
    </xf>
    <xf numFmtId="0" fontId="12" fillId="0" borderId="34" xfId="0" applyFont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 wrapText="1"/>
    </xf>
    <xf numFmtId="0" fontId="12" fillId="0" borderId="36" xfId="0" applyFont="1" applyBorder="1" applyAlignment="1" applyProtection="1">
      <alignment horizontal="center" vertical="center" wrapText="1"/>
    </xf>
    <xf numFmtId="0" fontId="12" fillId="0" borderId="9" xfId="0" applyFont="1" applyBorder="1" applyAlignment="1" applyProtection="1">
      <alignment horizontal="center" vertical="center"/>
    </xf>
    <xf numFmtId="0" fontId="12" fillId="0" borderId="11" xfId="0" applyFont="1" applyBorder="1" applyAlignment="1" applyProtection="1">
      <alignment horizontal="center" vertical="center"/>
    </xf>
    <xf numFmtId="0" fontId="12" fillId="0" borderId="25" xfId="0" applyFont="1" applyBorder="1" applyAlignment="1" applyProtection="1">
      <alignment horizontal="center" vertical="center" wrapText="1"/>
    </xf>
    <xf numFmtId="0" fontId="12" fillId="0" borderId="29" xfId="0" applyFont="1" applyBorder="1" applyAlignment="1" applyProtection="1">
      <alignment horizontal="center" vertical="center" wrapText="1"/>
    </xf>
    <xf numFmtId="0" fontId="12" fillId="0" borderId="24" xfId="0" applyFont="1" applyBorder="1" applyAlignment="1" applyProtection="1">
      <alignment horizontal="left" vertical="center"/>
    </xf>
    <xf numFmtId="0" fontId="5" fillId="2" borderId="24" xfId="0" applyFont="1" applyFill="1" applyBorder="1" applyAlignment="1" applyProtection="1">
      <alignment horizontal="left" vertical="center"/>
    </xf>
    <xf numFmtId="0" fontId="5" fillId="2" borderId="24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left" vertical="center"/>
      <protection locked="0"/>
    </xf>
    <xf numFmtId="0" fontId="10" fillId="0" borderId="30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30" xfId="0" applyFont="1" applyFill="1" applyBorder="1" applyAlignment="1" applyProtection="1">
      <alignment horizontal="left" vertical="center" shrinkToFit="1"/>
      <protection locked="0"/>
    </xf>
    <xf numFmtId="0" fontId="10" fillId="0" borderId="33" xfId="0" applyFont="1" applyFill="1" applyBorder="1" applyAlignment="1" applyProtection="1">
      <alignment horizontal="left" vertical="center" shrinkToFit="1"/>
      <protection locked="0"/>
    </xf>
    <xf numFmtId="0" fontId="10" fillId="0" borderId="29" xfId="0" applyFont="1" applyFill="1" applyBorder="1" applyAlignment="1" applyProtection="1">
      <alignment horizontal="left" vertical="center" shrinkToFit="1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 hidden="1"/>
    </xf>
    <xf numFmtId="0" fontId="12" fillId="2" borderId="5" xfId="0" applyFont="1" applyFill="1" applyBorder="1" applyAlignment="1" applyProtection="1">
      <alignment horizontal="center" vertical="center"/>
      <protection locked="0" hidden="1"/>
    </xf>
    <xf numFmtId="0" fontId="12" fillId="2" borderId="4" xfId="0" applyFont="1" applyFill="1" applyBorder="1" applyAlignment="1" applyProtection="1">
      <alignment horizontal="center" vertical="center"/>
      <protection locked="0" hidden="1"/>
    </xf>
    <xf numFmtId="0" fontId="11" fillId="2" borderId="19" xfId="0" applyFont="1" applyFill="1" applyBorder="1" applyAlignment="1" applyProtection="1">
      <alignment horizontal="left" vertical="center" wrapText="1"/>
      <protection locked="0" hidden="1"/>
    </xf>
    <xf numFmtId="169" fontId="3" fillId="4" borderId="30" xfId="0" applyNumberFormat="1" applyFont="1" applyFill="1" applyBorder="1" applyAlignment="1" applyProtection="1">
      <alignment horizontal="center" vertical="center"/>
      <protection hidden="1"/>
    </xf>
    <xf numFmtId="169" fontId="3" fillId="4" borderId="29" xfId="0" applyNumberFormat="1" applyFont="1" applyFill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175" fontId="6" fillId="2" borderId="3" xfId="0" applyNumberFormat="1" applyFont="1" applyFill="1" applyBorder="1" applyAlignment="1" applyProtection="1">
      <alignment horizontal="center" vertical="center"/>
      <protection locked="0" hidden="1"/>
    </xf>
    <xf numFmtId="175" fontId="6" fillId="2" borderId="4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73" fontId="6" fillId="0" borderId="6" xfId="0" applyNumberFormat="1" applyFont="1" applyFill="1" applyBorder="1" applyAlignment="1" applyProtection="1">
      <alignment horizontal="center" vertical="center"/>
      <protection hidden="1"/>
    </xf>
    <xf numFmtId="173" fontId="6" fillId="0" borderId="4" xfId="0" applyNumberFormat="1" applyFont="1" applyFill="1" applyBorder="1" applyAlignment="1" applyProtection="1">
      <alignment horizontal="center" vertical="center"/>
      <protection hidden="1"/>
    </xf>
    <xf numFmtId="0" fontId="12" fillId="2" borderId="3" xfId="0" applyFont="1" applyFill="1" applyBorder="1" applyAlignment="1" applyProtection="1">
      <alignment horizontal="left" vertical="center" shrinkToFit="1"/>
      <protection locked="0" hidden="1"/>
    </xf>
    <xf numFmtId="0" fontId="12" fillId="2" borderId="5" xfId="0" applyFont="1" applyFill="1" applyBorder="1" applyAlignment="1" applyProtection="1">
      <alignment horizontal="left" vertical="center" shrinkToFit="1"/>
      <protection locked="0" hidden="1"/>
    </xf>
    <xf numFmtId="0" fontId="12" fillId="2" borderId="4" xfId="0" applyFont="1" applyFill="1" applyBorder="1" applyAlignment="1" applyProtection="1">
      <alignment horizontal="left" vertical="center" shrinkToFit="1"/>
      <protection locked="0" hidden="1"/>
    </xf>
    <xf numFmtId="173" fontId="6" fillId="0" borderId="3" xfId="0" applyNumberFormat="1" applyFont="1" applyBorder="1" applyAlignment="1" applyProtection="1">
      <alignment horizontal="center" vertical="center"/>
      <protection hidden="1"/>
    </xf>
    <xf numFmtId="173" fontId="6" fillId="0" borderId="4" xfId="0" applyNumberFormat="1" applyFont="1" applyBorder="1" applyAlignment="1" applyProtection="1">
      <alignment horizontal="center" vertical="center"/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164" fontId="3" fillId="2" borderId="12" xfId="0" applyNumberFormat="1" applyFont="1" applyFill="1" applyBorder="1" applyAlignment="1" applyProtection="1">
      <alignment horizontal="center" vertical="center"/>
      <protection locked="0" hidden="1"/>
    </xf>
    <xf numFmtId="164" fontId="3" fillId="2" borderId="14" xfId="0" applyNumberFormat="1" applyFont="1" applyFill="1" applyBorder="1" applyAlignment="1" applyProtection="1">
      <alignment horizontal="center" vertical="center"/>
      <protection locked="0" hidden="1"/>
    </xf>
    <xf numFmtId="164" fontId="3" fillId="2" borderId="1" xfId="0" applyNumberFormat="1" applyFont="1" applyFill="1" applyBorder="1" applyAlignment="1" applyProtection="1">
      <alignment horizontal="center" vertical="center"/>
      <protection locked="0" hidden="1"/>
    </xf>
    <xf numFmtId="164" fontId="3" fillId="2" borderId="15" xfId="0" applyNumberFormat="1" applyFont="1" applyFill="1" applyBorder="1" applyAlignment="1" applyProtection="1">
      <alignment horizontal="center" vertical="center"/>
      <protection locked="0"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2" fillId="0" borderId="21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right" vertical="center"/>
      <protection hidden="1"/>
    </xf>
    <xf numFmtId="164" fontId="3" fillId="2" borderId="13" xfId="0" applyNumberFormat="1" applyFont="1" applyFill="1" applyBorder="1" applyAlignment="1" applyProtection="1">
      <alignment horizontal="center" vertical="center"/>
      <protection locked="0" hidden="1"/>
    </xf>
    <xf numFmtId="164" fontId="3" fillId="2" borderId="16" xfId="0" applyNumberFormat="1" applyFont="1" applyFill="1" applyBorder="1" applyAlignment="1" applyProtection="1">
      <alignment horizontal="center" vertical="center"/>
      <protection locked="0" hidden="1"/>
    </xf>
    <xf numFmtId="174" fontId="2" fillId="0" borderId="31" xfId="0" applyNumberFormat="1" applyFont="1" applyBorder="1" applyAlignment="1" applyProtection="1">
      <alignment horizontal="center" vertical="center"/>
      <protection hidden="1"/>
    </xf>
    <xf numFmtId="174" fontId="2" fillId="0" borderId="32" xfId="0" applyNumberFormat="1" applyFont="1" applyBorder="1" applyAlignment="1" applyProtection="1">
      <alignment horizontal="center" vertical="center"/>
      <protection hidden="1"/>
    </xf>
    <xf numFmtId="3" fontId="8" fillId="3" borderId="22" xfId="0" applyNumberFormat="1" applyFont="1" applyFill="1" applyBorder="1" applyAlignment="1" applyProtection="1">
      <alignment horizontal="center" vertical="center"/>
    </xf>
    <xf numFmtId="3" fontId="8" fillId="3" borderId="23" xfId="0" applyNumberFormat="1" applyFont="1" applyFill="1" applyBorder="1" applyAlignment="1" applyProtection="1">
      <alignment horizontal="center" vertical="center"/>
    </xf>
    <xf numFmtId="168" fontId="14" fillId="0" borderId="0" xfId="0" applyNumberFormat="1" applyFont="1" applyFill="1" applyBorder="1" applyAlignment="1" applyProtection="1">
      <alignment horizontal="center" vertical="center"/>
    </xf>
    <xf numFmtId="0" fontId="2" fillId="0" borderId="24" xfId="0" applyFont="1" applyBorder="1" applyAlignment="1" applyProtection="1">
      <alignment horizontal="right" vertical="center"/>
    </xf>
    <xf numFmtId="164" fontId="3" fillId="2" borderId="25" xfId="0" applyNumberFormat="1" applyFont="1" applyFill="1" applyBorder="1" applyAlignment="1" applyProtection="1">
      <alignment horizontal="center" vertical="center"/>
      <protection locked="0"/>
    </xf>
    <xf numFmtId="164" fontId="3" fillId="2" borderId="26" xfId="0" applyNumberFormat="1" applyFont="1" applyFill="1" applyBorder="1" applyAlignment="1" applyProtection="1">
      <alignment horizontal="center" vertical="center"/>
      <protection locked="0"/>
    </xf>
    <xf numFmtId="164" fontId="3" fillId="2" borderId="22" xfId="0" applyNumberFormat="1" applyFont="1" applyFill="1" applyBorder="1" applyAlignment="1" applyProtection="1">
      <alignment horizontal="center" vertical="center"/>
      <protection locked="0"/>
    </xf>
    <xf numFmtId="164" fontId="3" fillId="2" borderId="23" xfId="0" applyNumberFormat="1" applyFont="1" applyFill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164" fontId="3" fillId="2" borderId="20" xfId="0" applyNumberFormat="1" applyFont="1" applyFill="1" applyBorder="1" applyAlignment="1" applyProtection="1">
      <alignment horizontal="center" vertical="center"/>
      <protection locked="0"/>
    </xf>
    <xf numFmtId="164" fontId="3" fillId="2" borderId="21" xfId="0" applyNumberFormat="1" applyFont="1" applyFill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</xf>
    <xf numFmtId="0" fontId="2" fillId="0" borderId="21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 wrapText="1"/>
    </xf>
    <xf numFmtId="0" fontId="2" fillId="0" borderId="11" xfId="0" applyFont="1" applyBorder="1" applyAlignment="1" applyProtection="1">
      <alignment horizontal="center" vertical="center" wrapText="1"/>
    </xf>
    <xf numFmtId="174" fontId="2" fillId="2" borderId="31" xfId="0" applyNumberFormat="1" applyFont="1" applyFill="1" applyBorder="1" applyAlignment="1" applyProtection="1">
      <alignment horizontal="center" vertical="center"/>
      <protection locked="0"/>
    </xf>
    <xf numFmtId="174" fontId="2" fillId="2" borderId="32" xfId="0" applyNumberFormat="1" applyFont="1" applyFill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 wrapText="1"/>
    </xf>
    <xf numFmtId="0" fontId="2" fillId="0" borderId="34" xfId="0" applyFont="1" applyBorder="1" applyAlignment="1" applyProtection="1">
      <alignment horizontal="center" vertical="center" wrapText="1"/>
    </xf>
    <xf numFmtId="0" fontId="2" fillId="0" borderId="35" xfId="0" applyFont="1" applyBorder="1" applyAlignment="1" applyProtection="1">
      <alignment horizontal="center" vertical="center" wrapText="1"/>
    </xf>
    <xf numFmtId="0" fontId="2" fillId="0" borderId="21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170" fontId="2" fillId="0" borderId="14" xfId="0" applyNumberFormat="1" applyFont="1" applyBorder="1" applyAlignment="1" applyProtection="1">
      <alignment horizontal="center" vertical="center"/>
    </xf>
    <xf numFmtId="170" fontId="2" fillId="0" borderId="16" xfId="0" applyNumberFormat="1" applyFont="1" applyBorder="1" applyAlignment="1" applyProtection="1">
      <alignment horizontal="center" vertical="center"/>
    </xf>
    <xf numFmtId="170" fontId="8" fillId="0" borderId="14" xfId="0" applyNumberFormat="1" applyFont="1" applyBorder="1" applyAlignment="1" applyProtection="1">
      <alignment horizontal="center" vertical="center"/>
    </xf>
    <xf numFmtId="170" fontId="8" fillId="0" borderId="16" xfId="0" applyNumberFormat="1" applyFont="1" applyBorder="1" applyAlignment="1" applyProtection="1">
      <alignment horizontal="center" vertical="center"/>
    </xf>
    <xf numFmtId="170" fontId="8" fillId="0" borderId="22" xfId="0" applyNumberFormat="1" applyFont="1" applyBorder="1" applyAlignment="1" applyProtection="1">
      <alignment horizontal="center" vertical="center"/>
    </xf>
    <xf numFmtId="170" fontId="8" fillId="0" borderId="36" xfId="0" applyNumberFormat="1" applyFont="1" applyBorder="1" applyAlignment="1" applyProtection="1">
      <alignment horizontal="center" vertical="center"/>
    </xf>
    <xf numFmtId="170" fontId="8" fillId="0" borderId="37" xfId="0" applyNumberFormat="1" applyFont="1" applyBorder="1" applyAlignment="1" applyProtection="1">
      <alignment horizontal="center" vertical="center"/>
    </xf>
    <xf numFmtId="170" fontId="8" fillId="0" borderId="23" xfId="0" applyNumberFormat="1" applyFont="1" applyBorder="1" applyAlignment="1" applyProtection="1">
      <alignment horizontal="center" vertical="center"/>
    </xf>
    <xf numFmtId="175" fontId="1" fillId="2" borderId="22" xfId="0" applyNumberFormat="1" applyFont="1" applyFill="1" applyBorder="1" applyAlignment="1" applyProtection="1">
      <alignment horizontal="center" vertical="center"/>
      <protection locked="0"/>
    </xf>
    <xf numFmtId="175" fontId="1" fillId="2" borderId="23" xfId="0" applyNumberFormat="1" applyFont="1" applyFill="1" applyBorder="1" applyAlignment="1" applyProtection="1">
      <alignment horizontal="center" vertical="center"/>
      <protection locked="0"/>
    </xf>
    <xf numFmtId="177" fontId="2" fillId="0" borderId="25" xfId="0" applyNumberFormat="1" applyFont="1" applyFill="1" applyBorder="1" applyAlignment="1" applyProtection="1">
      <alignment horizontal="center" vertical="center"/>
    </xf>
    <xf numFmtId="177" fontId="2" fillId="0" borderId="26" xfId="0" applyNumberFormat="1" applyFont="1" applyFill="1" applyBorder="1" applyAlignment="1" applyProtection="1">
      <alignment horizontal="center" vertical="center"/>
    </xf>
    <xf numFmtId="172" fontId="2" fillId="0" borderId="14" xfId="0" applyNumberFormat="1" applyFont="1" applyBorder="1" applyAlignment="1" applyProtection="1">
      <alignment horizontal="center" vertical="center"/>
    </xf>
    <xf numFmtId="172" fontId="2" fillId="0" borderId="16" xfId="0" applyNumberFormat="1" applyFont="1" applyBorder="1" applyAlignment="1" applyProtection="1">
      <alignment horizontal="center" vertical="center"/>
    </xf>
    <xf numFmtId="0" fontId="10" fillId="0" borderId="0" xfId="0" applyFont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left" vertical="center" shrinkToFit="1"/>
      <protection locked="0"/>
    </xf>
    <xf numFmtId="0" fontId="12" fillId="2" borderId="5" xfId="0" applyFont="1" applyFill="1" applyBorder="1" applyAlignment="1" applyProtection="1">
      <alignment horizontal="left" vertical="center" shrinkToFit="1"/>
      <protection locked="0"/>
    </xf>
    <xf numFmtId="0" fontId="12" fillId="2" borderId="4" xfId="0" applyFont="1" applyFill="1" applyBorder="1" applyAlignment="1" applyProtection="1">
      <alignment horizontal="left" vertical="center" shrinkToFit="1"/>
      <protection locked="0"/>
    </xf>
    <xf numFmtId="0" fontId="10" fillId="0" borderId="24" xfId="0" applyFont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12" fillId="2" borderId="5" xfId="0" applyFont="1" applyFill="1" applyBorder="1" applyAlignment="1" applyProtection="1">
      <alignment horizontal="center" vertical="center"/>
      <protection locked="0"/>
    </xf>
    <xf numFmtId="0" fontId="12" fillId="2" borderId="4" xfId="0" applyFont="1" applyFill="1" applyBorder="1" applyAlignment="1" applyProtection="1">
      <alignment horizontal="center" vertical="center"/>
      <protection locked="0"/>
    </xf>
    <xf numFmtId="179" fontId="8" fillId="0" borderId="22" xfId="0" applyNumberFormat="1" applyFont="1" applyFill="1" applyBorder="1" applyAlignment="1" applyProtection="1">
      <alignment horizontal="center" vertical="center" wrapText="1"/>
    </xf>
    <xf numFmtId="179" fontId="8" fillId="0" borderId="23" xfId="0" applyNumberFormat="1" applyFont="1" applyFill="1" applyBorder="1" applyAlignment="1" applyProtection="1">
      <alignment horizontal="center" vertical="center" wrapText="1"/>
    </xf>
    <xf numFmtId="0" fontId="14" fillId="0" borderId="20" xfId="0" applyFont="1" applyFill="1" applyBorder="1" applyAlignment="1" applyProtection="1">
      <alignment horizontal="center" vertical="center" wrapText="1"/>
    </xf>
    <xf numFmtId="0" fontId="14" fillId="0" borderId="21" xfId="0" applyFont="1" applyFill="1" applyBorder="1" applyAlignment="1" applyProtection="1">
      <alignment horizontal="center" vertical="center" wrapText="1"/>
    </xf>
    <xf numFmtId="0" fontId="14" fillId="0" borderId="40" xfId="0" applyFont="1" applyFill="1" applyBorder="1" applyAlignment="1" applyProtection="1">
      <alignment horizontal="center" vertical="center" wrapText="1"/>
    </xf>
    <xf numFmtId="0" fontId="14" fillId="0" borderId="41" xfId="0" applyFont="1" applyFill="1" applyBorder="1" applyAlignment="1" applyProtection="1">
      <alignment horizontal="center" vertical="center" wrapText="1"/>
    </xf>
  </cellXfs>
  <cellStyles count="2">
    <cellStyle name="常规" xfId="0" builtinId="0"/>
    <cellStyle name="样式 1" xfId="1" xr:uid="{B54DC778-6B0C-49AD-B1D7-2193F522175A}"/>
  </cellStyles>
  <dxfs count="20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strike/>
      </font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strike/>
      </font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strike/>
      </font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strike/>
      </font>
    </dxf>
    <dxf>
      <fill>
        <patternFill>
          <bgColor theme="5" tint="0.79998168889431442"/>
        </patternFill>
      </fill>
    </dxf>
    <dxf>
      <font>
        <strike/>
      </font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strike/>
      </font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  <dxf>
      <fill>
        <patternFill>
          <bgColor theme="4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colors>
    <mruColors>
      <color rgb="FFF4E3D8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9422-D6B6-44E5-92E2-5F426C484D8A}">
  <sheetPr>
    <pageSetUpPr fitToPage="1"/>
  </sheetPr>
  <dimension ref="A1:V92"/>
  <sheetViews>
    <sheetView showZeros="0" topLeftCell="B1" zoomScale="55" zoomScaleNormal="55" zoomScaleSheetLayoutView="40" zoomScalePageLayoutView="25" workbookViewId="0">
      <selection activeCell="M21" sqref="M21:N21"/>
    </sheetView>
  </sheetViews>
  <sheetFormatPr defaultColWidth="8.7265625" defaultRowHeight="14"/>
  <cols>
    <col min="1" max="1" width="4.453125" style="7" hidden="1" customWidth="1"/>
    <col min="2" max="2" width="33.26953125" style="7" customWidth="1"/>
    <col min="3" max="4" width="28" style="7" customWidth="1"/>
    <col min="5" max="22" width="14.08984375" style="7" customWidth="1"/>
    <col min="23" max="23" width="3.453125" style="7" customWidth="1"/>
    <col min="24" max="16384" width="8.7265625" style="7"/>
  </cols>
  <sheetData>
    <row r="1" spans="2:22" ht="18.5" customHeight="1"/>
    <row r="2" spans="2:22" s="8" customFormat="1" ht="43" customHeight="1">
      <c r="B2" s="3" t="s">
        <v>36</v>
      </c>
      <c r="C2" s="124"/>
      <c r="D2" s="124"/>
      <c r="F2" s="15" t="s">
        <v>0</v>
      </c>
      <c r="G2" s="125"/>
      <c r="H2" s="126"/>
      <c r="I2" s="126"/>
      <c r="J2" s="126"/>
      <c r="K2" s="127"/>
      <c r="M2" s="16" t="s">
        <v>80</v>
      </c>
      <c r="N2" s="128"/>
      <c r="O2" s="129"/>
      <c r="P2" s="129"/>
      <c r="Q2" s="129"/>
      <c r="R2" s="129"/>
      <c r="S2" s="130"/>
    </row>
    <row r="3" spans="2:22" ht="40" customHeight="1">
      <c r="M3" s="2"/>
      <c r="N3" s="2"/>
      <c r="O3" s="11"/>
      <c r="P3" s="11"/>
      <c r="Q3" s="2"/>
    </row>
    <row r="4" spans="2:22" ht="44" customHeight="1">
      <c r="C4" s="8" t="s">
        <v>4</v>
      </c>
      <c r="D4" s="28"/>
      <c r="E4" s="12"/>
      <c r="F4" s="13"/>
      <c r="G4" s="14"/>
      <c r="H4" s="10"/>
    </row>
    <row r="5" spans="2:22" ht="14.5" customHeight="1" thickBot="1">
      <c r="O5" s="1"/>
      <c r="P5" s="1"/>
    </row>
    <row r="6" spans="2:22" ht="30.5" customHeight="1">
      <c r="B6" s="123" t="s">
        <v>79</v>
      </c>
      <c r="C6" s="117" t="s">
        <v>41</v>
      </c>
      <c r="D6" s="118"/>
      <c r="E6" s="117" t="s">
        <v>26</v>
      </c>
      <c r="F6" s="118"/>
      <c r="G6" s="117" t="s">
        <v>69</v>
      </c>
      <c r="H6" s="118"/>
      <c r="I6" s="117" t="s">
        <v>70</v>
      </c>
      <c r="J6" s="118"/>
      <c r="K6" s="117" t="s">
        <v>71</v>
      </c>
      <c r="L6" s="118"/>
      <c r="M6" s="117" t="s">
        <v>72</v>
      </c>
      <c r="N6" s="118"/>
      <c r="O6" s="117" t="s">
        <v>73</v>
      </c>
      <c r="P6" s="118"/>
      <c r="Q6" s="117" t="s">
        <v>74</v>
      </c>
      <c r="R6" s="118"/>
      <c r="S6" s="117" t="s">
        <v>75</v>
      </c>
      <c r="T6" s="118"/>
      <c r="U6" s="117" t="s">
        <v>76</v>
      </c>
      <c r="V6" s="118"/>
    </row>
    <row r="7" spans="2:22" ht="36" customHeight="1">
      <c r="B7" s="123"/>
      <c r="C7" s="5" t="s">
        <v>24</v>
      </c>
      <c r="D7" s="6" t="s">
        <v>23</v>
      </c>
      <c r="E7" s="111" t="s">
        <v>23</v>
      </c>
      <c r="F7" s="112"/>
      <c r="G7" s="111" t="s">
        <v>23</v>
      </c>
      <c r="H7" s="112"/>
      <c r="I7" s="111" t="s">
        <v>23</v>
      </c>
      <c r="J7" s="112"/>
      <c r="K7" s="111" t="s">
        <v>23</v>
      </c>
      <c r="L7" s="112"/>
      <c r="M7" s="111" t="s">
        <v>23</v>
      </c>
      <c r="N7" s="112"/>
      <c r="O7" s="111" t="s">
        <v>23</v>
      </c>
      <c r="P7" s="112"/>
      <c r="Q7" s="111" t="s">
        <v>23</v>
      </c>
      <c r="R7" s="112"/>
      <c r="S7" s="111" t="s">
        <v>23</v>
      </c>
      <c r="T7" s="112"/>
      <c r="U7" s="111" t="s">
        <v>23</v>
      </c>
      <c r="V7" s="112"/>
    </row>
    <row r="8" spans="2:22" ht="43" customHeight="1">
      <c r="B8" s="4" t="s">
        <v>68</v>
      </c>
      <c r="C8" s="17"/>
      <c r="D8" s="18"/>
      <c r="E8" s="107"/>
      <c r="F8" s="108"/>
      <c r="G8" s="107"/>
      <c r="H8" s="108"/>
      <c r="I8" s="107"/>
      <c r="J8" s="108"/>
      <c r="K8" s="107"/>
      <c r="L8" s="108"/>
      <c r="M8" s="107"/>
      <c r="N8" s="108"/>
      <c r="O8" s="107"/>
      <c r="P8" s="108"/>
      <c r="Q8" s="107"/>
      <c r="R8" s="108"/>
      <c r="S8" s="107"/>
      <c r="T8" s="108"/>
      <c r="U8" s="107"/>
      <c r="V8" s="108"/>
    </row>
    <row r="9" spans="2:22" ht="43" customHeight="1">
      <c r="B9" s="4" t="s">
        <v>90</v>
      </c>
      <c r="C9" s="107"/>
      <c r="D9" s="108"/>
      <c r="E9" s="107"/>
      <c r="F9" s="108"/>
      <c r="G9" s="107"/>
      <c r="H9" s="108"/>
      <c r="I9" s="107"/>
      <c r="J9" s="108"/>
      <c r="K9" s="107"/>
      <c r="L9" s="108"/>
      <c r="M9" s="107"/>
      <c r="N9" s="108"/>
      <c r="O9" s="107"/>
      <c r="P9" s="108"/>
      <c r="Q9" s="107"/>
      <c r="R9" s="108"/>
      <c r="S9" s="107"/>
      <c r="T9" s="108"/>
      <c r="U9" s="107"/>
      <c r="V9" s="108"/>
    </row>
    <row r="10" spans="2:22" ht="43" customHeight="1">
      <c r="B10" s="4" t="s">
        <v>89</v>
      </c>
      <c r="C10" s="107"/>
      <c r="D10" s="108"/>
      <c r="E10" s="107"/>
      <c r="F10" s="108"/>
      <c r="G10" s="107"/>
      <c r="H10" s="108"/>
      <c r="I10" s="107"/>
      <c r="J10" s="108"/>
      <c r="K10" s="107"/>
      <c r="L10" s="108"/>
      <c r="M10" s="107"/>
      <c r="N10" s="108"/>
      <c r="O10" s="107"/>
      <c r="P10" s="108"/>
      <c r="Q10" s="107"/>
      <c r="R10" s="108"/>
      <c r="S10" s="107"/>
      <c r="T10" s="108"/>
      <c r="U10" s="107"/>
      <c r="V10" s="108"/>
    </row>
    <row r="11" spans="2:22" ht="43" customHeight="1">
      <c r="B11" s="4" t="s">
        <v>77</v>
      </c>
      <c r="C11" s="109"/>
      <c r="D11" s="110"/>
      <c r="E11" s="109"/>
      <c r="F11" s="110"/>
      <c r="G11" s="109"/>
      <c r="H11" s="110"/>
      <c r="I11" s="109"/>
      <c r="J11" s="110"/>
      <c r="K11" s="109"/>
      <c r="L11" s="110"/>
      <c r="M11" s="109"/>
      <c r="N11" s="110"/>
      <c r="O11" s="109"/>
      <c r="P11" s="110"/>
      <c r="Q11" s="109"/>
      <c r="R11" s="110"/>
      <c r="S11" s="109"/>
      <c r="T11" s="110"/>
      <c r="U11" s="109"/>
      <c r="V11" s="110"/>
    </row>
    <row r="12" spans="2:22" ht="43" customHeight="1">
      <c r="B12" s="121" t="s">
        <v>25</v>
      </c>
      <c r="C12" s="19" t="s">
        <v>38</v>
      </c>
      <c r="D12" s="20" t="s">
        <v>39</v>
      </c>
      <c r="E12" s="19" t="s">
        <v>38</v>
      </c>
      <c r="F12" s="20" t="s">
        <v>39</v>
      </c>
      <c r="G12" s="19" t="s">
        <v>38</v>
      </c>
      <c r="H12" s="20" t="s">
        <v>39</v>
      </c>
      <c r="I12" s="19" t="s">
        <v>38</v>
      </c>
      <c r="J12" s="20" t="s">
        <v>39</v>
      </c>
      <c r="K12" s="19" t="s">
        <v>38</v>
      </c>
      <c r="L12" s="20" t="s">
        <v>39</v>
      </c>
      <c r="M12" s="19" t="s">
        <v>38</v>
      </c>
      <c r="N12" s="20" t="s">
        <v>39</v>
      </c>
      <c r="O12" s="19" t="s">
        <v>38</v>
      </c>
      <c r="P12" s="20" t="s">
        <v>39</v>
      </c>
      <c r="Q12" s="19" t="s">
        <v>38</v>
      </c>
      <c r="R12" s="20" t="s">
        <v>39</v>
      </c>
      <c r="S12" s="19" t="s">
        <v>38</v>
      </c>
      <c r="T12" s="20" t="s">
        <v>39</v>
      </c>
      <c r="U12" s="19" t="s">
        <v>38</v>
      </c>
      <c r="V12" s="20" t="s">
        <v>39</v>
      </c>
    </row>
    <row r="13" spans="2:22" ht="43" customHeight="1" thickBot="1">
      <c r="B13" s="121"/>
      <c r="C13" s="21"/>
      <c r="D13" s="22"/>
      <c r="E13" s="21"/>
      <c r="F13" s="22"/>
      <c r="G13" s="21"/>
      <c r="H13" s="22"/>
      <c r="I13" s="21"/>
      <c r="J13" s="22"/>
      <c r="K13" s="21"/>
      <c r="L13" s="22"/>
      <c r="M13" s="21"/>
      <c r="N13" s="22"/>
      <c r="O13" s="21"/>
      <c r="P13" s="22"/>
      <c r="Q13" s="21"/>
      <c r="R13" s="22"/>
      <c r="S13" s="21"/>
      <c r="T13" s="22"/>
      <c r="U13" s="21"/>
      <c r="V13" s="22"/>
    </row>
    <row r="14" spans="2:22" ht="14.5" customHeight="1" thickBot="1">
      <c r="O14" s="1"/>
      <c r="P14" s="1"/>
    </row>
    <row r="15" spans="2:22" ht="38" customHeight="1">
      <c r="B15" s="122" t="s">
        <v>78</v>
      </c>
      <c r="C15" s="113" t="s">
        <v>49</v>
      </c>
      <c r="D15" s="114"/>
      <c r="E15" s="23" t="s">
        <v>5</v>
      </c>
      <c r="F15" s="23" t="s">
        <v>6</v>
      </c>
      <c r="G15" s="23" t="s">
        <v>7</v>
      </c>
      <c r="H15" s="23" t="s">
        <v>8</v>
      </c>
      <c r="I15" s="23" t="s">
        <v>9</v>
      </c>
      <c r="J15" s="23" t="s">
        <v>10</v>
      </c>
      <c r="K15" s="23" t="s">
        <v>11</v>
      </c>
      <c r="L15" s="23" t="s">
        <v>12</v>
      </c>
      <c r="M15" s="23" t="s">
        <v>13</v>
      </c>
      <c r="N15" s="23" t="s">
        <v>14</v>
      </c>
      <c r="O15" s="23" t="s">
        <v>15</v>
      </c>
      <c r="P15" s="23" t="s">
        <v>16</v>
      </c>
      <c r="Q15" s="23" t="s">
        <v>17</v>
      </c>
      <c r="R15" s="23" t="s">
        <v>18</v>
      </c>
      <c r="S15" s="9" t="s">
        <v>19</v>
      </c>
    </row>
    <row r="16" spans="2:22" ht="41" customHeight="1">
      <c r="B16" s="122"/>
      <c r="C16" s="119" t="s">
        <v>82</v>
      </c>
      <c r="D16" s="120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/>
    </row>
    <row r="17" spans="2:22" ht="46" customHeight="1" thickBot="1">
      <c r="B17" s="122"/>
      <c r="C17" s="115" t="s">
        <v>81</v>
      </c>
      <c r="D17" s="11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</row>
    <row r="18" spans="2:22" ht="40" customHeight="1">
      <c r="M18" s="2"/>
      <c r="N18" s="2"/>
      <c r="O18" s="11"/>
      <c r="P18" s="11"/>
      <c r="Q18" s="2"/>
    </row>
    <row r="19" spans="2:22" ht="44" customHeight="1">
      <c r="C19" s="8" t="s">
        <v>4</v>
      </c>
      <c r="D19" s="28"/>
      <c r="E19" s="12"/>
      <c r="F19" s="13"/>
      <c r="G19" s="14"/>
      <c r="H19" s="10"/>
    </row>
    <row r="20" spans="2:22" ht="14.5" customHeight="1" thickBot="1">
      <c r="O20" s="1"/>
      <c r="P20" s="1"/>
    </row>
    <row r="21" spans="2:22" ht="30.5" customHeight="1">
      <c r="B21" s="123" t="s">
        <v>79</v>
      </c>
      <c r="C21" s="117" t="s">
        <v>41</v>
      </c>
      <c r="D21" s="118"/>
      <c r="E21" s="117" t="s">
        <v>26</v>
      </c>
      <c r="F21" s="118"/>
      <c r="G21" s="117" t="s">
        <v>69</v>
      </c>
      <c r="H21" s="118"/>
      <c r="I21" s="117" t="s">
        <v>70</v>
      </c>
      <c r="J21" s="118"/>
      <c r="K21" s="117" t="s">
        <v>71</v>
      </c>
      <c r="L21" s="118"/>
      <c r="M21" s="117" t="s">
        <v>72</v>
      </c>
      <c r="N21" s="118"/>
      <c r="O21" s="117" t="s">
        <v>73</v>
      </c>
      <c r="P21" s="118"/>
      <c r="Q21" s="117" t="s">
        <v>74</v>
      </c>
      <c r="R21" s="118"/>
      <c r="S21" s="117" t="s">
        <v>75</v>
      </c>
      <c r="T21" s="118"/>
      <c r="U21" s="117" t="s">
        <v>76</v>
      </c>
      <c r="V21" s="118"/>
    </row>
    <row r="22" spans="2:22" ht="36" customHeight="1">
      <c r="B22" s="123"/>
      <c r="C22" s="5" t="s">
        <v>24</v>
      </c>
      <c r="D22" s="6" t="s">
        <v>23</v>
      </c>
      <c r="E22" s="111" t="s">
        <v>23</v>
      </c>
      <c r="F22" s="112"/>
      <c r="G22" s="111" t="s">
        <v>23</v>
      </c>
      <c r="H22" s="112"/>
      <c r="I22" s="111" t="s">
        <v>23</v>
      </c>
      <c r="J22" s="112"/>
      <c r="K22" s="111" t="s">
        <v>23</v>
      </c>
      <c r="L22" s="112"/>
      <c r="M22" s="111" t="s">
        <v>23</v>
      </c>
      <c r="N22" s="112"/>
      <c r="O22" s="111" t="s">
        <v>23</v>
      </c>
      <c r="P22" s="112"/>
      <c r="Q22" s="111" t="s">
        <v>23</v>
      </c>
      <c r="R22" s="112"/>
      <c r="S22" s="111" t="s">
        <v>23</v>
      </c>
      <c r="T22" s="112"/>
      <c r="U22" s="111" t="s">
        <v>23</v>
      </c>
      <c r="V22" s="112"/>
    </row>
    <row r="23" spans="2:22" ht="43" customHeight="1">
      <c r="B23" s="4" t="s">
        <v>68</v>
      </c>
      <c r="C23" s="17"/>
      <c r="D23" s="18"/>
      <c r="E23" s="107"/>
      <c r="F23" s="108"/>
      <c r="G23" s="107"/>
      <c r="H23" s="108"/>
      <c r="I23" s="107"/>
      <c r="J23" s="108"/>
      <c r="K23" s="107"/>
      <c r="L23" s="108"/>
      <c r="M23" s="107"/>
      <c r="N23" s="108"/>
      <c r="O23" s="107"/>
      <c r="P23" s="108"/>
      <c r="Q23" s="107"/>
      <c r="R23" s="108"/>
      <c r="S23" s="107"/>
      <c r="T23" s="108"/>
      <c r="U23" s="107"/>
      <c r="V23" s="108"/>
    </row>
    <row r="24" spans="2:22" ht="43" customHeight="1">
      <c r="B24" s="4" t="s">
        <v>90</v>
      </c>
      <c r="C24" s="107"/>
      <c r="D24" s="108"/>
      <c r="E24" s="107"/>
      <c r="F24" s="108"/>
      <c r="G24" s="107"/>
      <c r="H24" s="108"/>
      <c r="I24" s="107"/>
      <c r="J24" s="108"/>
      <c r="K24" s="107"/>
      <c r="L24" s="108"/>
      <c r="M24" s="107"/>
      <c r="N24" s="108"/>
      <c r="O24" s="107"/>
      <c r="P24" s="108"/>
      <c r="Q24" s="107"/>
      <c r="R24" s="108"/>
      <c r="S24" s="107"/>
      <c r="T24" s="108"/>
      <c r="U24" s="107"/>
      <c r="V24" s="108"/>
    </row>
    <row r="25" spans="2:22" ht="43" customHeight="1">
      <c r="B25" s="4" t="s">
        <v>89</v>
      </c>
      <c r="C25" s="107"/>
      <c r="D25" s="108"/>
      <c r="E25" s="107"/>
      <c r="F25" s="108"/>
      <c r="G25" s="107"/>
      <c r="H25" s="108"/>
      <c r="I25" s="107"/>
      <c r="J25" s="108"/>
      <c r="K25" s="107"/>
      <c r="L25" s="108"/>
      <c r="M25" s="107"/>
      <c r="N25" s="108"/>
      <c r="O25" s="107"/>
      <c r="P25" s="108"/>
      <c r="Q25" s="107"/>
      <c r="R25" s="108"/>
      <c r="S25" s="107"/>
      <c r="T25" s="108"/>
      <c r="U25" s="107"/>
      <c r="V25" s="108"/>
    </row>
    <row r="26" spans="2:22" ht="43" customHeight="1">
      <c r="B26" s="4" t="s">
        <v>77</v>
      </c>
      <c r="C26" s="109"/>
      <c r="D26" s="110"/>
      <c r="E26" s="109"/>
      <c r="F26" s="110"/>
      <c r="G26" s="109"/>
      <c r="H26" s="110"/>
      <c r="I26" s="109"/>
      <c r="J26" s="110"/>
      <c r="K26" s="109"/>
      <c r="L26" s="110"/>
      <c r="M26" s="109"/>
      <c r="N26" s="110"/>
      <c r="O26" s="109"/>
      <c r="P26" s="110"/>
      <c r="Q26" s="109"/>
      <c r="R26" s="110"/>
      <c r="S26" s="109"/>
      <c r="T26" s="110"/>
      <c r="U26" s="109"/>
      <c r="V26" s="110"/>
    </row>
    <row r="27" spans="2:22" ht="43" customHeight="1">
      <c r="B27" s="121" t="s">
        <v>25</v>
      </c>
      <c r="C27" s="19" t="s">
        <v>38</v>
      </c>
      <c r="D27" s="20" t="s">
        <v>39</v>
      </c>
      <c r="E27" s="19" t="s">
        <v>38</v>
      </c>
      <c r="F27" s="20" t="s">
        <v>39</v>
      </c>
      <c r="G27" s="19" t="s">
        <v>38</v>
      </c>
      <c r="H27" s="20" t="s">
        <v>39</v>
      </c>
      <c r="I27" s="19" t="s">
        <v>38</v>
      </c>
      <c r="J27" s="20" t="s">
        <v>39</v>
      </c>
      <c r="K27" s="19" t="s">
        <v>38</v>
      </c>
      <c r="L27" s="20" t="s">
        <v>39</v>
      </c>
      <c r="M27" s="19" t="s">
        <v>38</v>
      </c>
      <c r="N27" s="20" t="s">
        <v>39</v>
      </c>
      <c r="O27" s="19" t="s">
        <v>38</v>
      </c>
      <c r="P27" s="20" t="s">
        <v>39</v>
      </c>
      <c r="Q27" s="19" t="s">
        <v>38</v>
      </c>
      <c r="R27" s="20" t="s">
        <v>39</v>
      </c>
      <c r="S27" s="19" t="s">
        <v>38</v>
      </c>
      <c r="T27" s="20" t="s">
        <v>39</v>
      </c>
      <c r="U27" s="19" t="s">
        <v>38</v>
      </c>
      <c r="V27" s="20" t="s">
        <v>39</v>
      </c>
    </row>
    <row r="28" spans="2:22" ht="43" customHeight="1" thickBot="1">
      <c r="B28" s="121"/>
      <c r="C28" s="21"/>
      <c r="D28" s="22"/>
      <c r="E28" s="21"/>
      <c r="F28" s="22"/>
      <c r="G28" s="21"/>
      <c r="H28" s="22"/>
      <c r="I28" s="21"/>
      <c r="J28" s="22"/>
      <c r="K28" s="21"/>
      <c r="L28" s="22"/>
      <c r="M28" s="21"/>
      <c r="N28" s="22"/>
      <c r="O28" s="21"/>
      <c r="P28" s="22"/>
      <c r="Q28" s="21"/>
      <c r="R28" s="22"/>
      <c r="S28" s="21"/>
      <c r="T28" s="22"/>
      <c r="U28" s="21"/>
      <c r="V28" s="22"/>
    </row>
    <row r="29" spans="2:22" ht="14.5" customHeight="1" thickBot="1">
      <c r="O29" s="1"/>
      <c r="P29" s="1"/>
    </row>
    <row r="30" spans="2:22" ht="38" customHeight="1">
      <c r="B30" s="122" t="s">
        <v>78</v>
      </c>
      <c r="C30" s="113" t="s">
        <v>49</v>
      </c>
      <c r="D30" s="114"/>
      <c r="E30" s="23" t="s">
        <v>5</v>
      </c>
      <c r="F30" s="23" t="s">
        <v>6</v>
      </c>
      <c r="G30" s="23" t="s">
        <v>7</v>
      </c>
      <c r="H30" s="23" t="s">
        <v>8</v>
      </c>
      <c r="I30" s="23" t="s">
        <v>9</v>
      </c>
      <c r="J30" s="23" t="s">
        <v>10</v>
      </c>
      <c r="K30" s="23" t="s">
        <v>11</v>
      </c>
      <c r="L30" s="23" t="s">
        <v>12</v>
      </c>
      <c r="M30" s="23" t="s">
        <v>13</v>
      </c>
      <c r="N30" s="23" t="s">
        <v>14</v>
      </c>
      <c r="O30" s="23" t="s">
        <v>15</v>
      </c>
      <c r="P30" s="23" t="s">
        <v>16</v>
      </c>
      <c r="Q30" s="23" t="s">
        <v>17</v>
      </c>
      <c r="R30" s="23" t="s">
        <v>18</v>
      </c>
      <c r="S30" s="9" t="s">
        <v>19</v>
      </c>
    </row>
    <row r="31" spans="2:22" ht="41" customHeight="1">
      <c r="B31" s="122"/>
      <c r="C31" s="119" t="s">
        <v>82</v>
      </c>
      <c r="D31" s="120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5"/>
    </row>
    <row r="32" spans="2:22" ht="46" customHeight="1" thickBot="1">
      <c r="B32" s="122"/>
      <c r="C32" s="115" t="s">
        <v>81</v>
      </c>
      <c r="D32" s="11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7"/>
    </row>
    <row r="33" spans="2:22" ht="40" customHeight="1">
      <c r="M33" s="2"/>
      <c r="N33" s="2"/>
      <c r="O33" s="11"/>
      <c r="P33" s="11"/>
      <c r="Q33" s="2"/>
    </row>
    <row r="34" spans="2:22" ht="44" customHeight="1">
      <c r="C34" s="8" t="s">
        <v>4</v>
      </c>
      <c r="D34" s="28"/>
      <c r="E34" s="12"/>
      <c r="F34" s="13"/>
      <c r="G34" s="14"/>
      <c r="H34" s="10"/>
    </row>
    <row r="35" spans="2:22" ht="14.5" customHeight="1" thickBot="1">
      <c r="O35" s="1"/>
      <c r="P35" s="1"/>
    </row>
    <row r="36" spans="2:22" ht="30.5" customHeight="1">
      <c r="B36" s="123" t="s">
        <v>79</v>
      </c>
      <c r="C36" s="117" t="s">
        <v>41</v>
      </c>
      <c r="D36" s="118"/>
      <c r="E36" s="117" t="s">
        <v>26</v>
      </c>
      <c r="F36" s="118"/>
      <c r="G36" s="117" t="s">
        <v>69</v>
      </c>
      <c r="H36" s="118"/>
      <c r="I36" s="117" t="s">
        <v>70</v>
      </c>
      <c r="J36" s="118"/>
      <c r="K36" s="117" t="s">
        <v>71</v>
      </c>
      <c r="L36" s="118"/>
      <c r="M36" s="117" t="s">
        <v>72</v>
      </c>
      <c r="N36" s="118"/>
      <c r="O36" s="117" t="s">
        <v>73</v>
      </c>
      <c r="P36" s="118"/>
      <c r="Q36" s="117" t="s">
        <v>74</v>
      </c>
      <c r="R36" s="118"/>
      <c r="S36" s="117" t="s">
        <v>75</v>
      </c>
      <c r="T36" s="118"/>
      <c r="U36" s="117" t="s">
        <v>76</v>
      </c>
      <c r="V36" s="118"/>
    </row>
    <row r="37" spans="2:22" ht="36" customHeight="1">
      <c r="B37" s="123"/>
      <c r="C37" s="5" t="s">
        <v>24</v>
      </c>
      <c r="D37" s="6" t="s">
        <v>23</v>
      </c>
      <c r="E37" s="111" t="s">
        <v>23</v>
      </c>
      <c r="F37" s="112"/>
      <c r="G37" s="111" t="s">
        <v>23</v>
      </c>
      <c r="H37" s="112"/>
      <c r="I37" s="111" t="s">
        <v>23</v>
      </c>
      <c r="J37" s="112"/>
      <c r="K37" s="111" t="s">
        <v>23</v>
      </c>
      <c r="L37" s="112"/>
      <c r="M37" s="111" t="s">
        <v>23</v>
      </c>
      <c r="N37" s="112"/>
      <c r="O37" s="111" t="s">
        <v>23</v>
      </c>
      <c r="P37" s="112"/>
      <c r="Q37" s="111" t="s">
        <v>23</v>
      </c>
      <c r="R37" s="112"/>
      <c r="S37" s="111" t="s">
        <v>23</v>
      </c>
      <c r="T37" s="112"/>
      <c r="U37" s="111" t="s">
        <v>23</v>
      </c>
      <c r="V37" s="112"/>
    </row>
    <row r="38" spans="2:22" ht="43" customHeight="1">
      <c r="B38" s="4" t="s">
        <v>68</v>
      </c>
      <c r="C38" s="17"/>
      <c r="D38" s="18"/>
      <c r="E38" s="107"/>
      <c r="F38" s="108"/>
      <c r="G38" s="107"/>
      <c r="H38" s="108"/>
      <c r="I38" s="107"/>
      <c r="J38" s="108"/>
      <c r="K38" s="107"/>
      <c r="L38" s="108"/>
      <c r="M38" s="107"/>
      <c r="N38" s="108"/>
      <c r="O38" s="107"/>
      <c r="P38" s="108"/>
      <c r="Q38" s="107"/>
      <c r="R38" s="108"/>
      <c r="S38" s="107"/>
      <c r="T38" s="108"/>
      <c r="U38" s="107"/>
      <c r="V38" s="108"/>
    </row>
    <row r="39" spans="2:22" ht="43" customHeight="1">
      <c r="B39" s="4" t="s">
        <v>90</v>
      </c>
      <c r="C39" s="107"/>
      <c r="D39" s="108"/>
      <c r="E39" s="107"/>
      <c r="F39" s="108"/>
      <c r="G39" s="107"/>
      <c r="H39" s="108"/>
      <c r="I39" s="107"/>
      <c r="J39" s="108"/>
      <c r="K39" s="107"/>
      <c r="L39" s="108"/>
      <c r="M39" s="107"/>
      <c r="N39" s="108"/>
      <c r="O39" s="107"/>
      <c r="P39" s="108"/>
      <c r="Q39" s="107"/>
      <c r="R39" s="108"/>
      <c r="S39" s="107"/>
      <c r="T39" s="108"/>
      <c r="U39" s="107"/>
      <c r="V39" s="108"/>
    </row>
    <row r="40" spans="2:22" ht="43" customHeight="1">
      <c r="B40" s="4" t="s">
        <v>89</v>
      </c>
      <c r="C40" s="107"/>
      <c r="D40" s="108"/>
      <c r="E40" s="107"/>
      <c r="F40" s="108"/>
      <c r="G40" s="107"/>
      <c r="H40" s="108"/>
      <c r="I40" s="107"/>
      <c r="J40" s="108"/>
      <c r="K40" s="107"/>
      <c r="L40" s="108"/>
      <c r="M40" s="107"/>
      <c r="N40" s="108"/>
      <c r="O40" s="107"/>
      <c r="P40" s="108"/>
      <c r="Q40" s="107"/>
      <c r="R40" s="108"/>
      <c r="S40" s="107"/>
      <c r="T40" s="108"/>
      <c r="U40" s="107"/>
      <c r="V40" s="108"/>
    </row>
    <row r="41" spans="2:22" ht="43" customHeight="1">
      <c r="B41" s="4" t="s">
        <v>77</v>
      </c>
      <c r="C41" s="109"/>
      <c r="D41" s="110"/>
      <c r="E41" s="109"/>
      <c r="F41" s="110"/>
      <c r="G41" s="109"/>
      <c r="H41" s="110"/>
      <c r="I41" s="109"/>
      <c r="J41" s="110"/>
      <c r="K41" s="109"/>
      <c r="L41" s="110"/>
      <c r="M41" s="109"/>
      <c r="N41" s="110"/>
      <c r="O41" s="109"/>
      <c r="P41" s="110"/>
      <c r="Q41" s="109"/>
      <c r="R41" s="110"/>
      <c r="S41" s="109"/>
      <c r="T41" s="110"/>
      <c r="U41" s="109"/>
      <c r="V41" s="110"/>
    </row>
    <row r="42" spans="2:22" ht="43" customHeight="1">
      <c r="B42" s="121" t="s">
        <v>25</v>
      </c>
      <c r="C42" s="19" t="s">
        <v>38</v>
      </c>
      <c r="D42" s="20" t="s">
        <v>39</v>
      </c>
      <c r="E42" s="19" t="s">
        <v>38</v>
      </c>
      <c r="F42" s="20" t="s">
        <v>39</v>
      </c>
      <c r="G42" s="19" t="s">
        <v>38</v>
      </c>
      <c r="H42" s="20" t="s">
        <v>39</v>
      </c>
      <c r="I42" s="19" t="s">
        <v>38</v>
      </c>
      <c r="J42" s="20" t="s">
        <v>39</v>
      </c>
      <c r="K42" s="19" t="s">
        <v>38</v>
      </c>
      <c r="L42" s="20" t="s">
        <v>39</v>
      </c>
      <c r="M42" s="19" t="s">
        <v>38</v>
      </c>
      <c r="N42" s="20" t="s">
        <v>39</v>
      </c>
      <c r="O42" s="19" t="s">
        <v>38</v>
      </c>
      <c r="P42" s="20" t="s">
        <v>39</v>
      </c>
      <c r="Q42" s="19" t="s">
        <v>38</v>
      </c>
      <c r="R42" s="20" t="s">
        <v>39</v>
      </c>
      <c r="S42" s="19" t="s">
        <v>38</v>
      </c>
      <c r="T42" s="20" t="s">
        <v>39</v>
      </c>
      <c r="U42" s="19" t="s">
        <v>38</v>
      </c>
      <c r="V42" s="20" t="s">
        <v>39</v>
      </c>
    </row>
    <row r="43" spans="2:22" ht="43" customHeight="1" thickBot="1">
      <c r="B43" s="121"/>
      <c r="C43" s="21"/>
      <c r="D43" s="22"/>
      <c r="E43" s="21"/>
      <c r="F43" s="22"/>
      <c r="G43" s="21"/>
      <c r="H43" s="22"/>
      <c r="I43" s="21"/>
      <c r="J43" s="22"/>
      <c r="K43" s="21"/>
      <c r="L43" s="22"/>
      <c r="M43" s="21"/>
      <c r="N43" s="22"/>
      <c r="O43" s="21"/>
      <c r="P43" s="22"/>
      <c r="Q43" s="21"/>
      <c r="R43" s="22"/>
      <c r="S43" s="21"/>
      <c r="T43" s="22"/>
      <c r="U43" s="21"/>
      <c r="V43" s="22"/>
    </row>
    <row r="44" spans="2:22" ht="14.5" customHeight="1" thickBot="1">
      <c r="O44" s="1"/>
      <c r="P44" s="1"/>
    </row>
    <row r="45" spans="2:22" ht="38" customHeight="1">
      <c r="B45" s="122" t="s">
        <v>78</v>
      </c>
      <c r="C45" s="113" t="s">
        <v>49</v>
      </c>
      <c r="D45" s="114"/>
      <c r="E45" s="23" t="s">
        <v>5</v>
      </c>
      <c r="F45" s="23" t="s">
        <v>6</v>
      </c>
      <c r="G45" s="23" t="s">
        <v>7</v>
      </c>
      <c r="H45" s="23" t="s">
        <v>8</v>
      </c>
      <c r="I45" s="23" t="s">
        <v>9</v>
      </c>
      <c r="J45" s="23" t="s">
        <v>10</v>
      </c>
      <c r="K45" s="23" t="s">
        <v>11</v>
      </c>
      <c r="L45" s="23" t="s">
        <v>12</v>
      </c>
      <c r="M45" s="23" t="s">
        <v>13</v>
      </c>
      <c r="N45" s="23" t="s">
        <v>14</v>
      </c>
      <c r="O45" s="23" t="s">
        <v>15</v>
      </c>
      <c r="P45" s="23" t="s">
        <v>16</v>
      </c>
      <c r="Q45" s="23" t="s">
        <v>17</v>
      </c>
      <c r="R45" s="23" t="s">
        <v>18</v>
      </c>
      <c r="S45" s="9" t="s">
        <v>19</v>
      </c>
    </row>
    <row r="46" spans="2:22" ht="41" customHeight="1">
      <c r="B46" s="122"/>
      <c r="C46" s="119" t="s">
        <v>82</v>
      </c>
      <c r="D46" s="120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5"/>
    </row>
    <row r="47" spans="2:22" ht="46" customHeight="1" thickBot="1">
      <c r="B47" s="122"/>
      <c r="C47" s="115" t="s">
        <v>81</v>
      </c>
      <c r="D47" s="11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7"/>
    </row>
    <row r="48" spans="2:22" ht="40" customHeight="1">
      <c r="M48" s="2"/>
      <c r="N48" s="2"/>
      <c r="O48" s="11"/>
      <c r="P48" s="11"/>
      <c r="Q48" s="2"/>
    </row>
    <row r="49" spans="2:22" ht="44" customHeight="1">
      <c r="C49" s="8" t="s">
        <v>4</v>
      </c>
      <c r="D49" s="28"/>
      <c r="E49" s="12"/>
      <c r="F49" s="13"/>
      <c r="G49" s="14"/>
      <c r="H49" s="10"/>
    </row>
    <row r="50" spans="2:22" ht="14.5" customHeight="1" thickBot="1">
      <c r="O50" s="1"/>
      <c r="P50" s="1"/>
    </row>
    <row r="51" spans="2:22" ht="30.5" customHeight="1">
      <c r="B51" s="123" t="s">
        <v>79</v>
      </c>
      <c r="C51" s="117" t="s">
        <v>41</v>
      </c>
      <c r="D51" s="118"/>
      <c r="E51" s="117" t="s">
        <v>26</v>
      </c>
      <c r="F51" s="118"/>
      <c r="G51" s="117" t="s">
        <v>69</v>
      </c>
      <c r="H51" s="118"/>
      <c r="I51" s="117" t="s">
        <v>70</v>
      </c>
      <c r="J51" s="118"/>
      <c r="K51" s="117" t="s">
        <v>71</v>
      </c>
      <c r="L51" s="118"/>
      <c r="M51" s="117" t="s">
        <v>72</v>
      </c>
      <c r="N51" s="118"/>
      <c r="O51" s="117" t="s">
        <v>73</v>
      </c>
      <c r="P51" s="118"/>
      <c r="Q51" s="117" t="s">
        <v>74</v>
      </c>
      <c r="R51" s="118"/>
      <c r="S51" s="117" t="s">
        <v>75</v>
      </c>
      <c r="T51" s="118"/>
      <c r="U51" s="117" t="s">
        <v>76</v>
      </c>
      <c r="V51" s="118"/>
    </row>
    <row r="52" spans="2:22" ht="36" customHeight="1">
      <c r="B52" s="123"/>
      <c r="C52" s="5" t="s">
        <v>24</v>
      </c>
      <c r="D52" s="6" t="s">
        <v>23</v>
      </c>
      <c r="E52" s="111" t="s">
        <v>23</v>
      </c>
      <c r="F52" s="112"/>
      <c r="G52" s="111" t="s">
        <v>23</v>
      </c>
      <c r="H52" s="112"/>
      <c r="I52" s="111" t="s">
        <v>23</v>
      </c>
      <c r="J52" s="112"/>
      <c r="K52" s="111" t="s">
        <v>23</v>
      </c>
      <c r="L52" s="112"/>
      <c r="M52" s="111" t="s">
        <v>23</v>
      </c>
      <c r="N52" s="112"/>
      <c r="O52" s="111" t="s">
        <v>23</v>
      </c>
      <c r="P52" s="112"/>
      <c r="Q52" s="111" t="s">
        <v>23</v>
      </c>
      <c r="R52" s="112"/>
      <c r="S52" s="111" t="s">
        <v>23</v>
      </c>
      <c r="T52" s="112"/>
      <c r="U52" s="111" t="s">
        <v>23</v>
      </c>
      <c r="V52" s="112"/>
    </row>
    <row r="53" spans="2:22" ht="43" customHeight="1">
      <c r="B53" s="4" t="s">
        <v>68</v>
      </c>
      <c r="C53" s="17"/>
      <c r="D53" s="18"/>
      <c r="E53" s="107"/>
      <c r="F53" s="108"/>
      <c r="G53" s="107"/>
      <c r="H53" s="108"/>
      <c r="I53" s="107"/>
      <c r="J53" s="108"/>
      <c r="K53" s="107"/>
      <c r="L53" s="108"/>
      <c r="M53" s="107"/>
      <c r="N53" s="108"/>
      <c r="O53" s="107"/>
      <c r="P53" s="108"/>
      <c r="Q53" s="107"/>
      <c r="R53" s="108"/>
      <c r="S53" s="107"/>
      <c r="T53" s="108"/>
      <c r="U53" s="107"/>
      <c r="V53" s="108"/>
    </row>
    <row r="54" spans="2:22" ht="43" customHeight="1">
      <c r="B54" s="4" t="s">
        <v>90</v>
      </c>
      <c r="C54" s="107"/>
      <c r="D54" s="108"/>
      <c r="E54" s="107"/>
      <c r="F54" s="108"/>
      <c r="G54" s="107"/>
      <c r="H54" s="108"/>
      <c r="I54" s="107"/>
      <c r="J54" s="108"/>
      <c r="K54" s="107"/>
      <c r="L54" s="108"/>
      <c r="M54" s="107"/>
      <c r="N54" s="108"/>
      <c r="O54" s="107"/>
      <c r="P54" s="108"/>
      <c r="Q54" s="107"/>
      <c r="R54" s="108"/>
      <c r="S54" s="107"/>
      <c r="T54" s="108"/>
      <c r="U54" s="107"/>
      <c r="V54" s="108"/>
    </row>
    <row r="55" spans="2:22" ht="43" customHeight="1">
      <c r="B55" s="4" t="s">
        <v>89</v>
      </c>
      <c r="C55" s="107"/>
      <c r="D55" s="108"/>
      <c r="E55" s="107"/>
      <c r="F55" s="108"/>
      <c r="G55" s="107"/>
      <c r="H55" s="108"/>
      <c r="I55" s="107"/>
      <c r="J55" s="108"/>
      <c r="K55" s="107"/>
      <c r="L55" s="108"/>
      <c r="M55" s="107"/>
      <c r="N55" s="108"/>
      <c r="O55" s="107"/>
      <c r="P55" s="108"/>
      <c r="Q55" s="107"/>
      <c r="R55" s="108"/>
      <c r="S55" s="107"/>
      <c r="T55" s="108"/>
      <c r="U55" s="107"/>
      <c r="V55" s="108"/>
    </row>
    <row r="56" spans="2:22" ht="43" customHeight="1">
      <c r="B56" s="4" t="s">
        <v>77</v>
      </c>
      <c r="C56" s="109"/>
      <c r="D56" s="110"/>
      <c r="E56" s="109"/>
      <c r="F56" s="110"/>
      <c r="G56" s="109"/>
      <c r="H56" s="110"/>
      <c r="I56" s="109"/>
      <c r="J56" s="110"/>
      <c r="K56" s="109"/>
      <c r="L56" s="110"/>
      <c r="M56" s="109"/>
      <c r="N56" s="110"/>
      <c r="O56" s="109"/>
      <c r="P56" s="110"/>
      <c r="Q56" s="109"/>
      <c r="R56" s="110"/>
      <c r="S56" s="109"/>
      <c r="T56" s="110"/>
      <c r="U56" s="109"/>
      <c r="V56" s="110"/>
    </row>
    <row r="57" spans="2:22" ht="43" customHeight="1">
      <c r="B57" s="121" t="s">
        <v>25</v>
      </c>
      <c r="C57" s="19" t="s">
        <v>38</v>
      </c>
      <c r="D57" s="20" t="s">
        <v>39</v>
      </c>
      <c r="E57" s="19" t="s">
        <v>38</v>
      </c>
      <c r="F57" s="20" t="s">
        <v>39</v>
      </c>
      <c r="G57" s="19" t="s">
        <v>38</v>
      </c>
      <c r="H57" s="20" t="s">
        <v>39</v>
      </c>
      <c r="I57" s="19" t="s">
        <v>38</v>
      </c>
      <c r="J57" s="20" t="s">
        <v>39</v>
      </c>
      <c r="K57" s="19" t="s">
        <v>38</v>
      </c>
      <c r="L57" s="20" t="s">
        <v>39</v>
      </c>
      <c r="M57" s="19" t="s">
        <v>38</v>
      </c>
      <c r="N57" s="20" t="s">
        <v>39</v>
      </c>
      <c r="O57" s="19" t="s">
        <v>38</v>
      </c>
      <c r="P57" s="20" t="s">
        <v>39</v>
      </c>
      <c r="Q57" s="19" t="s">
        <v>38</v>
      </c>
      <c r="R57" s="20" t="s">
        <v>39</v>
      </c>
      <c r="S57" s="19" t="s">
        <v>38</v>
      </c>
      <c r="T57" s="20" t="s">
        <v>39</v>
      </c>
      <c r="U57" s="19" t="s">
        <v>38</v>
      </c>
      <c r="V57" s="20" t="s">
        <v>39</v>
      </c>
    </row>
    <row r="58" spans="2:22" ht="43" customHeight="1" thickBot="1">
      <c r="B58" s="121"/>
      <c r="C58" s="21"/>
      <c r="D58" s="22"/>
      <c r="E58" s="21"/>
      <c r="F58" s="22"/>
      <c r="G58" s="21"/>
      <c r="H58" s="22"/>
      <c r="I58" s="21"/>
      <c r="J58" s="22"/>
      <c r="K58" s="21"/>
      <c r="L58" s="22"/>
      <c r="M58" s="21"/>
      <c r="N58" s="22"/>
      <c r="O58" s="21"/>
      <c r="P58" s="22"/>
      <c r="Q58" s="21"/>
      <c r="R58" s="22"/>
      <c r="S58" s="21"/>
      <c r="T58" s="22"/>
      <c r="U58" s="21"/>
      <c r="V58" s="22"/>
    </row>
    <row r="59" spans="2:22" ht="14.5" customHeight="1" thickBot="1">
      <c r="O59" s="1"/>
      <c r="P59" s="1"/>
    </row>
    <row r="60" spans="2:22" ht="38" customHeight="1">
      <c r="B60" s="122" t="s">
        <v>78</v>
      </c>
      <c r="C60" s="113" t="s">
        <v>49</v>
      </c>
      <c r="D60" s="114"/>
      <c r="E60" s="23" t="s">
        <v>5</v>
      </c>
      <c r="F60" s="23" t="s">
        <v>6</v>
      </c>
      <c r="G60" s="23" t="s">
        <v>7</v>
      </c>
      <c r="H60" s="23" t="s">
        <v>8</v>
      </c>
      <c r="I60" s="23" t="s">
        <v>9</v>
      </c>
      <c r="J60" s="23" t="s">
        <v>10</v>
      </c>
      <c r="K60" s="23" t="s">
        <v>11</v>
      </c>
      <c r="L60" s="23" t="s">
        <v>12</v>
      </c>
      <c r="M60" s="23" t="s">
        <v>13</v>
      </c>
      <c r="N60" s="23" t="s">
        <v>14</v>
      </c>
      <c r="O60" s="23" t="s">
        <v>15</v>
      </c>
      <c r="P60" s="23" t="s">
        <v>16</v>
      </c>
      <c r="Q60" s="23" t="s">
        <v>17</v>
      </c>
      <c r="R60" s="23" t="s">
        <v>18</v>
      </c>
      <c r="S60" s="9" t="s">
        <v>19</v>
      </c>
    </row>
    <row r="61" spans="2:22" ht="41" customHeight="1">
      <c r="B61" s="122"/>
      <c r="C61" s="119" t="s">
        <v>82</v>
      </c>
      <c r="D61" s="120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5"/>
    </row>
    <row r="62" spans="2:22" ht="46" customHeight="1" thickBot="1">
      <c r="B62" s="122"/>
      <c r="C62" s="115" t="s">
        <v>81</v>
      </c>
      <c r="D62" s="11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7"/>
    </row>
    <row r="63" spans="2:22" ht="40" customHeight="1">
      <c r="M63" s="2"/>
      <c r="N63" s="2"/>
      <c r="O63" s="11"/>
      <c r="P63" s="11"/>
      <c r="Q63" s="2"/>
    </row>
    <row r="64" spans="2:22" ht="44" customHeight="1">
      <c r="C64" s="8" t="s">
        <v>4</v>
      </c>
      <c r="D64" s="28"/>
      <c r="E64" s="12"/>
      <c r="F64" s="13"/>
      <c r="G64" s="14"/>
      <c r="H64" s="10"/>
    </row>
    <row r="65" spans="2:22" ht="14.5" customHeight="1" thickBot="1">
      <c r="O65" s="1"/>
      <c r="P65" s="1"/>
    </row>
    <row r="66" spans="2:22" ht="30.5" customHeight="1">
      <c r="B66" s="123" t="s">
        <v>79</v>
      </c>
      <c r="C66" s="117" t="s">
        <v>41</v>
      </c>
      <c r="D66" s="118"/>
      <c r="E66" s="117" t="s">
        <v>26</v>
      </c>
      <c r="F66" s="118"/>
      <c r="G66" s="117" t="s">
        <v>69</v>
      </c>
      <c r="H66" s="118"/>
      <c r="I66" s="117" t="s">
        <v>70</v>
      </c>
      <c r="J66" s="118"/>
      <c r="K66" s="117" t="s">
        <v>71</v>
      </c>
      <c r="L66" s="118"/>
      <c r="M66" s="117" t="s">
        <v>72</v>
      </c>
      <c r="N66" s="118"/>
      <c r="O66" s="117" t="s">
        <v>73</v>
      </c>
      <c r="P66" s="118"/>
      <c r="Q66" s="117" t="s">
        <v>74</v>
      </c>
      <c r="R66" s="118"/>
      <c r="S66" s="117" t="s">
        <v>75</v>
      </c>
      <c r="T66" s="118"/>
      <c r="U66" s="117" t="s">
        <v>76</v>
      </c>
      <c r="V66" s="118"/>
    </row>
    <row r="67" spans="2:22" ht="36" customHeight="1">
      <c r="B67" s="123"/>
      <c r="C67" s="5" t="s">
        <v>24</v>
      </c>
      <c r="D67" s="6" t="s">
        <v>23</v>
      </c>
      <c r="E67" s="111" t="s">
        <v>23</v>
      </c>
      <c r="F67" s="112"/>
      <c r="G67" s="111" t="s">
        <v>23</v>
      </c>
      <c r="H67" s="112"/>
      <c r="I67" s="111" t="s">
        <v>23</v>
      </c>
      <c r="J67" s="112"/>
      <c r="K67" s="111" t="s">
        <v>23</v>
      </c>
      <c r="L67" s="112"/>
      <c r="M67" s="111" t="s">
        <v>23</v>
      </c>
      <c r="N67" s="112"/>
      <c r="O67" s="111" t="s">
        <v>23</v>
      </c>
      <c r="P67" s="112"/>
      <c r="Q67" s="111" t="s">
        <v>23</v>
      </c>
      <c r="R67" s="112"/>
      <c r="S67" s="111" t="s">
        <v>23</v>
      </c>
      <c r="T67" s="112"/>
      <c r="U67" s="111" t="s">
        <v>23</v>
      </c>
      <c r="V67" s="112"/>
    </row>
    <row r="68" spans="2:22" ht="43" customHeight="1">
      <c r="B68" s="4" t="s">
        <v>68</v>
      </c>
      <c r="C68" s="17"/>
      <c r="D68" s="18"/>
      <c r="E68" s="107"/>
      <c r="F68" s="108"/>
      <c r="G68" s="107"/>
      <c r="H68" s="108"/>
      <c r="I68" s="107"/>
      <c r="J68" s="108"/>
      <c r="K68" s="107"/>
      <c r="L68" s="108"/>
      <c r="M68" s="107"/>
      <c r="N68" s="108"/>
      <c r="O68" s="107"/>
      <c r="P68" s="108"/>
      <c r="Q68" s="107"/>
      <c r="R68" s="108"/>
      <c r="S68" s="107"/>
      <c r="T68" s="108"/>
      <c r="U68" s="107"/>
      <c r="V68" s="108"/>
    </row>
    <row r="69" spans="2:22" ht="43" customHeight="1">
      <c r="B69" s="4" t="s">
        <v>90</v>
      </c>
      <c r="C69" s="107"/>
      <c r="D69" s="108"/>
      <c r="E69" s="107"/>
      <c r="F69" s="108"/>
      <c r="G69" s="107"/>
      <c r="H69" s="108"/>
      <c r="I69" s="107"/>
      <c r="J69" s="108"/>
      <c r="K69" s="107"/>
      <c r="L69" s="108"/>
      <c r="M69" s="107"/>
      <c r="N69" s="108"/>
      <c r="O69" s="107"/>
      <c r="P69" s="108"/>
      <c r="Q69" s="107"/>
      <c r="R69" s="108"/>
      <c r="S69" s="107"/>
      <c r="T69" s="108"/>
      <c r="U69" s="107"/>
      <c r="V69" s="108"/>
    </row>
    <row r="70" spans="2:22" ht="43" customHeight="1">
      <c r="B70" s="4" t="s">
        <v>89</v>
      </c>
      <c r="C70" s="107"/>
      <c r="D70" s="108"/>
      <c r="E70" s="107"/>
      <c r="F70" s="108"/>
      <c r="G70" s="107"/>
      <c r="H70" s="108"/>
      <c r="I70" s="107"/>
      <c r="J70" s="108"/>
      <c r="K70" s="107"/>
      <c r="L70" s="108"/>
      <c r="M70" s="107"/>
      <c r="N70" s="108"/>
      <c r="O70" s="107"/>
      <c r="P70" s="108"/>
      <c r="Q70" s="107"/>
      <c r="R70" s="108"/>
      <c r="S70" s="107"/>
      <c r="T70" s="108"/>
      <c r="U70" s="107"/>
      <c r="V70" s="108"/>
    </row>
    <row r="71" spans="2:22" ht="43" customHeight="1">
      <c r="B71" s="4" t="s">
        <v>77</v>
      </c>
      <c r="C71" s="109"/>
      <c r="D71" s="110"/>
      <c r="E71" s="109"/>
      <c r="F71" s="110"/>
      <c r="G71" s="109"/>
      <c r="H71" s="110"/>
      <c r="I71" s="109"/>
      <c r="J71" s="110"/>
      <c r="K71" s="109"/>
      <c r="L71" s="110"/>
      <c r="M71" s="109"/>
      <c r="N71" s="110"/>
      <c r="O71" s="109"/>
      <c r="P71" s="110"/>
      <c r="Q71" s="109"/>
      <c r="R71" s="110"/>
      <c r="S71" s="109"/>
      <c r="T71" s="110"/>
      <c r="U71" s="109"/>
      <c r="V71" s="110"/>
    </row>
    <row r="72" spans="2:22" ht="43" customHeight="1">
      <c r="B72" s="121" t="s">
        <v>25</v>
      </c>
      <c r="C72" s="19" t="s">
        <v>38</v>
      </c>
      <c r="D72" s="20" t="s">
        <v>39</v>
      </c>
      <c r="E72" s="19" t="s">
        <v>38</v>
      </c>
      <c r="F72" s="20" t="s">
        <v>39</v>
      </c>
      <c r="G72" s="19" t="s">
        <v>38</v>
      </c>
      <c r="H72" s="20" t="s">
        <v>39</v>
      </c>
      <c r="I72" s="19" t="s">
        <v>38</v>
      </c>
      <c r="J72" s="20" t="s">
        <v>39</v>
      </c>
      <c r="K72" s="19" t="s">
        <v>38</v>
      </c>
      <c r="L72" s="20" t="s">
        <v>39</v>
      </c>
      <c r="M72" s="19" t="s">
        <v>38</v>
      </c>
      <c r="N72" s="20" t="s">
        <v>39</v>
      </c>
      <c r="O72" s="19" t="s">
        <v>38</v>
      </c>
      <c r="P72" s="20" t="s">
        <v>39</v>
      </c>
      <c r="Q72" s="19" t="s">
        <v>38</v>
      </c>
      <c r="R72" s="20" t="s">
        <v>39</v>
      </c>
      <c r="S72" s="19" t="s">
        <v>38</v>
      </c>
      <c r="T72" s="20" t="s">
        <v>39</v>
      </c>
      <c r="U72" s="19" t="s">
        <v>38</v>
      </c>
      <c r="V72" s="20" t="s">
        <v>39</v>
      </c>
    </row>
    <row r="73" spans="2:22" ht="43" customHeight="1" thickBot="1">
      <c r="B73" s="121"/>
      <c r="C73" s="21"/>
      <c r="D73" s="22"/>
      <c r="E73" s="21"/>
      <c r="F73" s="22"/>
      <c r="G73" s="21"/>
      <c r="H73" s="22"/>
      <c r="I73" s="21"/>
      <c r="J73" s="22"/>
      <c r="K73" s="21"/>
      <c r="L73" s="22"/>
      <c r="M73" s="21"/>
      <c r="N73" s="22"/>
      <c r="O73" s="21"/>
      <c r="P73" s="22"/>
      <c r="Q73" s="21"/>
      <c r="R73" s="22"/>
      <c r="S73" s="21"/>
      <c r="T73" s="22"/>
      <c r="U73" s="21"/>
      <c r="V73" s="22"/>
    </row>
    <row r="74" spans="2:22" ht="14.5" customHeight="1" thickBot="1">
      <c r="O74" s="1"/>
      <c r="P74" s="1"/>
    </row>
    <row r="75" spans="2:22" ht="38" customHeight="1">
      <c r="B75" s="122" t="s">
        <v>78</v>
      </c>
      <c r="C75" s="113" t="s">
        <v>49</v>
      </c>
      <c r="D75" s="114"/>
      <c r="E75" s="23" t="s">
        <v>5</v>
      </c>
      <c r="F75" s="23" t="s">
        <v>6</v>
      </c>
      <c r="G75" s="23" t="s">
        <v>7</v>
      </c>
      <c r="H75" s="23" t="s">
        <v>8</v>
      </c>
      <c r="I75" s="23" t="s">
        <v>9</v>
      </c>
      <c r="J75" s="23" t="s">
        <v>10</v>
      </c>
      <c r="K75" s="23" t="s">
        <v>11</v>
      </c>
      <c r="L75" s="23" t="s">
        <v>12</v>
      </c>
      <c r="M75" s="23" t="s">
        <v>13</v>
      </c>
      <c r="N75" s="23" t="s">
        <v>14</v>
      </c>
      <c r="O75" s="23" t="s">
        <v>15</v>
      </c>
      <c r="P75" s="23" t="s">
        <v>16</v>
      </c>
      <c r="Q75" s="23" t="s">
        <v>17</v>
      </c>
      <c r="R75" s="23" t="s">
        <v>18</v>
      </c>
      <c r="S75" s="9" t="s">
        <v>19</v>
      </c>
    </row>
    <row r="76" spans="2:22" ht="41" customHeight="1">
      <c r="B76" s="122"/>
      <c r="C76" s="119" t="s">
        <v>82</v>
      </c>
      <c r="D76" s="120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5"/>
    </row>
    <row r="77" spans="2:22" ht="46" customHeight="1" thickBot="1">
      <c r="B77" s="122"/>
      <c r="C77" s="115" t="s">
        <v>81</v>
      </c>
      <c r="D77" s="11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7"/>
    </row>
    <row r="78" spans="2:22" ht="40" customHeight="1">
      <c r="M78" s="2"/>
      <c r="N78" s="2"/>
      <c r="O78" s="11"/>
      <c r="P78" s="11"/>
      <c r="Q78" s="2"/>
    </row>
    <row r="79" spans="2:22" ht="44" customHeight="1">
      <c r="C79" s="8" t="s">
        <v>4</v>
      </c>
      <c r="D79" s="28"/>
      <c r="E79" s="12"/>
      <c r="F79" s="13"/>
      <c r="G79" s="14"/>
      <c r="H79" s="10"/>
    </row>
    <row r="80" spans="2:22" ht="14.5" customHeight="1" thickBot="1">
      <c r="O80" s="1"/>
      <c r="P80" s="1"/>
    </row>
    <row r="81" spans="2:22" ht="30.5" customHeight="1">
      <c r="B81" s="123" t="s">
        <v>79</v>
      </c>
      <c r="C81" s="117" t="s">
        <v>41</v>
      </c>
      <c r="D81" s="118"/>
      <c r="E81" s="117" t="s">
        <v>26</v>
      </c>
      <c r="F81" s="118"/>
      <c r="G81" s="117" t="s">
        <v>69</v>
      </c>
      <c r="H81" s="118"/>
      <c r="I81" s="117" t="s">
        <v>70</v>
      </c>
      <c r="J81" s="118"/>
      <c r="K81" s="117" t="s">
        <v>71</v>
      </c>
      <c r="L81" s="118"/>
      <c r="M81" s="117" t="s">
        <v>72</v>
      </c>
      <c r="N81" s="118"/>
      <c r="O81" s="117" t="s">
        <v>73</v>
      </c>
      <c r="P81" s="118"/>
      <c r="Q81" s="117" t="s">
        <v>74</v>
      </c>
      <c r="R81" s="118"/>
      <c r="S81" s="117" t="s">
        <v>75</v>
      </c>
      <c r="T81" s="118"/>
      <c r="U81" s="117" t="s">
        <v>76</v>
      </c>
      <c r="V81" s="118"/>
    </row>
    <row r="82" spans="2:22" ht="36" customHeight="1">
      <c r="B82" s="123"/>
      <c r="C82" s="5" t="s">
        <v>24</v>
      </c>
      <c r="D82" s="6" t="s">
        <v>23</v>
      </c>
      <c r="E82" s="111" t="s">
        <v>23</v>
      </c>
      <c r="F82" s="112"/>
      <c r="G82" s="111" t="s">
        <v>23</v>
      </c>
      <c r="H82" s="112"/>
      <c r="I82" s="111" t="s">
        <v>23</v>
      </c>
      <c r="J82" s="112"/>
      <c r="K82" s="111" t="s">
        <v>23</v>
      </c>
      <c r="L82" s="112"/>
      <c r="M82" s="111" t="s">
        <v>23</v>
      </c>
      <c r="N82" s="112"/>
      <c r="O82" s="111" t="s">
        <v>23</v>
      </c>
      <c r="P82" s="112"/>
      <c r="Q82" s="111" t="s">
        <v>23</v>
      </c>
      <c r="R82" s="112"/>
      <c r="S82" s="111" t="s">
        <v>23</v>
      </c>
      <c r="T82" s="112"/>
      <c r="U82" s="111" t="s">
        <v>23</v>
      </c>
      <c r="V82" s="112"/>
    </row>
    <row r="83" spans="2:22" ht="43" customHeight="1">
      <c r="B83" s="4" t="s">
        <v>68</v>
      </c>
      <c r="C83" s="17"/>
      <c r="D83" s="18"/>
      <c r="E83" s="107"/>
      <c r="F83" s="108"/>
      <c r="G83" s="107"/>
      <c r="H83" s="108"/>
      <c r="I83" s="107"/>
      <c r="J83" s="108"/>
      <c r="K83" s="107"/>
      <c r="L83" s="108"/>
      <c r="M83" s="107"/>
      <c r="N83" s="108"/>
      <c r="O83" s="107"/>
      <c r="P83" s="108"/>
      <c r="Q83" s="107"/>
      <c r="R83" s="108"/>
      <c r="S83" s="107"/>
      <c r="T83" s="108"/>
      <c r="U83" s="107"/>
      <c r="V83" s="108"/>
    </row>
    <row r="84" spans="2:22" ht="43" customHeight="1">
      <c r="B84" s="4" t="s">
        <v>90</v>
      </c>
      <c r="C84" s="107"/>
      <c r="D84" s="108"/>
      <c r="E84" s="107"/>
      <c r="F84" s="108"/>
      <c r="G84" s="107"/>
      <c r="H84" s="108"/>
      <c r="I84" s="107"/>
      <c r="J84" s="108"/>
      <c r="K84" s="107"/>
      <c r="L84" s="108"/>
      <c r="M84" s="107"/>
      <c r="N84" s="108"/>
      <c r="O84" s="107"/>
      <c r="P84" s="108"/>
      <c r="Q84" s="107"/>
      <c r="R84" s="108"/>
      <c r="S84" s="107"/>
      <c r="T84" s="108"/>
      <c r="U84" s="107"/>
      <c r="V84" s="108"/>
    </row>
    <row r="85" spans="2:22" ht="43" customHeight="1">
      <c r="B85" s="4" t="s">
        <v>89</v>
      </c>
      <c r="C85" s="107"/>
      <c r="D85" s="108"/>
      <c r="E85" s="107"/>
      <c r="F85" s="108"/>
      <c r="G85" s="107"/>
      <c r="H85" s="108"/>
      <c r="I85" s="107"/>
      <c r="J85" s="108"/>
      <c r="K85" s="107"/>
      <c r="L85" s="108"/>
      <c r="M85" s="107"/>
      <c r="N85" s="108"/>
      <c r="O85" s="107"/>
      <c r="P85" s="108"/>
      <c r="Q85" s="107"/>
      <c r="R85" s="108"/>
      <c r="S85" s="107"/>
      <c r="T85" s="108"/>
      <c r="U85" s="107"/>
      <c r="V85" s="108"/>
    </row>
    <row r="86" spans="2:22" ht="43" customHeight="1">
      <c r="B86" s="4" t="s">
        <v>77</v>
      </c>
      <c r="C86" s="109"/>
      <c r="D86" s="110"/>
      <c r="E86" s="109"/>
      <c r="F86" s="110"/>
      <c r="G86" s="109"/>
      <c r="H86" s="110"/>
      <c r="I86" s="109"/>
      <c r="J86" s="110"/>
      <c r="K86" s="109"/>
      <c r="L86" s="110"/>
      <c r="M86" s="109"/>
      <c r="N86" s="110"/>
      <c r="O86" s="109"/>
      <c r="P86" s="110"/>
      <c r="Q86" s="109"/>
      <c r="R86" s="110"/>
      <c r="S86" s="109"/>
      <c r="T86" s="110"/>
      <c r="U86" s="109"/>
      <c r="V86" s="110"/>
    </row>
    <row r="87" spans="2:22" ht="43" customHeight="1">
      <c r="B87" s="121" t="s">
        <v>25</v>
      </c>
      <c r="C87" s="19" t="s">
        <v>38</v>
      </c>
      <c r="D87" s="20" t="s">
        <v>39</v>
      </c>
      <c r="E87" s="19" t="s">
        <v>38</v>
      </c>
      <c r="F87" s="20" t="s">
        <v>39</v>
      </c>
      <c r="G87" s="19" t="s">
        <v>38</v>
      </c>
      <c r="H87" s="20" t="s">
        <v>39</v>
      </c>
      <c r="I87" s="19" t="s">
        <v>38</v>
      </c>
      <c r="J87" s="20" t="s">
        <v>39</v>
      </c>
      <c r="K87" s="19" t="s">
        <v>38</v>
      </c>
      <c r="L87" s="20" t="s">
        <v>39</v>
      </c>
      <c r="M87" s="19" t="s">
        <v>38</v>
      </c>
      <c r="N87" s="20" t="s">
        <v>39</v>
      </c>
      <c r="O87" s="19" t="s">
        <v>38</v>
      </c>
      <c r="P87" s="20" t="s">
        <v>39</v>
      </c>
      <c r="Q87" s="19" t="s">
        <v>38</v>
      </c>
      <c r="R87" s="20" t="s">
        <v>39</v>
      </c>
      <c r="S87" s="19" t="s">
        <v>38</v>
      </c>
      <c r="T87" s="20" t="s">
        <v>39</v>
      </c>
      <c r="U87" s="19" t="s">
        <v>38</v>
      </c>
      <c r="V87" s="20" t="s">
        <v>39</v>
      </c>
    </row>
    <row r="88" spans="2:22" ht="43" customHeight="1" thickBot="1">
      <c r="B88" s="121"/>
      <c r="C88" s="21"/>
      <c r="D88" s="22"/>
      <c r="E88" s="21"/>
      <c r="F88" s="22"/>
      <c r="G88" s="21"/>
      <c r="H88" s="22"/>
      <c r="I88" s="21"/>
      <c r="J88" s="22"/>
      <c r="K88" s="21"/>
      <c r="L88" s="22"/>
      <c r="M88" s="21"/>
      <c r="N88" s="22"/>
      <c r="O88" s="21"/>
      <c r="P88" s="22"/>
      <c r="Q88" s="21"/>
      <c r="R88" s="22"/>
      <c r="S88" s="21"/>
      <c r="T88" s="22"/>
      <c r="U88" s="21"/>
      <c r="V88" s="22"/>
    </row>
    <row r="89" spans="2:22" ht="14.5" customHeight="1" thickBot="1">
      <c r="O89" s="1"/>
      <c r="P89" s="1"/>
    </row>
    <row r="90" spans="2:22" ht="38" customHeight="1">
      <c r="B90" s="122" t="s">
        <v>78</v>
      </c>
      <c r="C90" s="113" t="s">
        <v>49</v>
      </c>
      <c r="D90" s="114"/>
      <c r="E90" s="23" t="s">
        <v>5</v>
      </c>
      <c r="F90" s="23" t="s">
        <v>6</v>
      </c>
      <c r="G90" s="23" t="s">
        <v>7</v>
      </c>
      <c r="H90" s="23" t="s">
        <v>8</v>
      </c>
      <c r="I90" s="23" t="s">
        <v>9</v>
      </c>
      <c r="J90" s="23" t="s">
        <v>10</v>
      </c>
      <c r="K90" s="23" t="s">
        <v>11</v>
      </c>
      <c r="L90" s="23" t="s">
        <v>12</v>
      </c>
      <c r="M90" s="23" t="s">
        <v>13</v>
      </c>
      <c r="N90" s="23" t="s">
        <v>14</v>
      </c>
      <c r="O90" s="23" t="s">
        <v>15</v>
      </c>
      <c r="P90" s="23" t="s">
        <v>16</v>
      </c>
      <c r="Q90" s="23" t="s">
        <v>17</v>
      </c>
      <c r="R90" s="23" t="s">
        <v>18</v>
      </c>
      <c r="S90" s="9" t="s">
        <v>19</v>
      </c>
    </row>
    <row r="91" spans="2:22" ht="41" customHeight="1">
      <c r="B91" s="122"/>
      <c r="C91" s="119" t="s">
        <v>82</v>
      </c>
      <c r="D91" s="120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5"/>
    </row>
    <row r="92" spans="2:22" ht="46" customHeight="1" thickBot="1">
      <c r="B92" s="122"/>
      <c r="C92" s="115" t="s">
        <v>81</v>
      </c>
      <c r="D92" s="11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7"/>
    </row>
  </sheetData>
  <sheetProtection sheet="1" objects="1" scenarios="1"/>
  <mergeCells count="387">
    <mergeCell ref="N2:S2"/>
    <mergeCell ref="B87:B88"/>
    <mergeCell ref="B90:B92"/>
    <mergeCell ref="C90:D90"/>
    <mergeCell ref="C91:D91"/>
    <mergeCell ref="C92:D92"/>
    <mergeCell ref="M86:N86"/>
    <mergeCell ref="O86:P86"/>
    <mergeCell ref="Q86:R86"/>
    <mergeCell ref="S86:T86"/>
    <mergeCell ref="M83:N83"/>
    <mergeCell ref="O81:P81"/>
    <mergeCell ref="Q81:R81"/>
    <mergeCell ref="S81:T81"/>
    <mergeCell ref="B75:B77"/>
    <mergeCell ref="C75:D75"/>
    <mergeCell ref="C76:D76"/>
    <mergeCell ref="C77:D77"/>
    <mergeCell ref="B81:B82"/>
    <mergeCell ref="C81:D81"/>
    <mergeCell ref="O71:P71"/>
    <mergeCell ref="Q71:R71"/>
    <mergeCell ref="S71:T71"/>
    <mergeCell ref="K68:L68"/>
    <mergeCell ref="U86:V86"/>
    <mergeCell ref="C86:D86"/>
    <mergeCell ref="E86:F86"/>
    <mergeCell ref="G86:H86"/>
    <mergeCell ref="I86:J86"/>
    <mergeCell ref="K86:L86"/>
    <mergeCell ref="O83:P83"/>
    <mergeCell ref="Q83:R83"/>
    <mergeCell ref="S83:T83"/>
    <mergeCell ref="U83:V83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E83:F83"/>
    <mergeCell ref="G83:H83"/>
    <mergeCell ref="I83:J83"/>
    <mergeCell ref="K83:L83"/>
    <mergeCell ref="U69:V69"/>
    <mergeCell ref="E68:F68"/>
    <mergeCell ref="G68:H68"/>
    <mergeCell ref="I68:J68"/>
    <mergeCell ref="U81:V81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E81:F81"/>
    <mergeCell ref="G81:H81"/>
    <mergeCell ref="I81:J81"/>
    <mergeCell ref="K81:L81"/>
    <mergeCell ref="M81:N81"/>
    <mergeCell ref="U68:V68"/>
    <mergeCell ref="U70:V70"/>
    <mergeCell ref="B72:B73"/>
    <mergeCell ref="E71:F71"/>
    <mergeCell ref="G71:H71"/>
    <mergeCell ref="I71:J71"/>
    <mergeCell ref="K71:L71"/>
    <mergeCell ref="M71:N71"/>
    <mergeCell ref="O68:P68"/>
    <mergeCell ref="Q68:R68"/>
    <mergeCell ref="S68:T68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M68:N68"/>
    <mergeCell ref="S66:T66"/>
    <mergeCell ref="U66:V66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I66:J66"/>
    <mergeCell ref="K66:L66"/>
    <mergeCell ref="M66:N66"/>
    <mergeCell ref="O66:P66"/>
    <mergeCell ref="Q66:R66"/>
    <mergeCell ref="O56:P56"/>
    <mergeCell ref="Q56:R56"/>
    <mergeCell ref="S56:T56"/>
    <mergeCell ref="U56:V56"/>
    <mergeCell ref="B57:B58"/>
    <mergeCell ref="E56:F56"/>
    <mergeCell ref="G56:H56"/>
    <mergeCell ref="I56:J56"/>
    <mergeCell ref="K56:L56"/>
    <mergeCell ref="M56:N56"/>
    <mergeCell ref="E53:F53"/>
    <mergeCell ref="G53:H53"/>
    <mergeCell ref="I53:J53"/>
    <mergeCell ref="K53:L53"/>
    <mergeCell ref="M53:N53"/>
    <mergeCell ref="B60:B62"/>
    <mergeCell ref="C61:D61"/>
    <mergeCell ref="B66:B67"/>
    <mergeCell ref="C66:D66"/>
    <mergeCell ref="G66:H66"/>
    <mergeCell ref="O53:P53"/>
    <mergeCell ref="Q53:R53"/>
    <mergeCell ref="S53:T53"/>
    <mergeCell ref="U53:V53"/>
    <mergeCell ref="G54:H54"/>
    <mergeCell ref="I54:J54"/>
    <mergeCell ref="K54:L54"/>
    <mergeCell ref="M54:N54"/>
    <mergeCell ref="O54:P54"/>
    <mergeCell ref="Q54:R54"/>
    <mergeCell ref="S54:T54"/>
    <mergeCell ref="U54:V54"/>
    <mergeCell ref="S51:T51"/>
    <mergeCell ref="U51:V51"/>
    <mergeCell ref="E52:F52"/>
    <mergeCell ref="G52:H52"/>
    <mergeCell ref="I52:J52"/>
    <mergeCell ref="K52:L52"/>
    <mergeCell ref="M52:N52"/>
    <mergeCell ref="O52:P52"/>
    <mergeCell ref="Q52:R52"/>
    <mergeCell ref="I51:J51"/>
    <mergeCell ref="K51:L51"/>
    <mergeCell ref="M51:N51"/>
    <mergeCell ref="O51:P51"/>
    <mergeCell ref="Q51:R51"/>
    <mergeCell ref="O41:P41"/>
    <mergeCell ref="Q41:R41"/>
    <mergeCell ref="S41:T41"/>
    <mergeCell ref="U41:V41"/>
    <mergeCell ref="B42:B43"/>
    <mergeCell ref="C41:D41"/>
    <mergeCell ref="G41:H41"/>
    <mergeCell ref="I41:J41"/>
    <mergeCell ref="K41:L41"/>
    <mergeCell ref="M41:N41"/>
    <mergeCell ref="E38:F38"/>
    <mergeCell ref="G38:H38"/>
    <mergeCell ref="I38:J38"/>
    <mergeCell ref="K38:L38"/>
    <mergeCell ref="M38:N38"/>
    <mergeCell ref="B45:B47"/>
    <mergeCell ref="C46:D46"/>
    <mergeCell ref="B51:B52"/>
    <mergeCell ref="E51:F51"/>
    <mergeCell ref="G51:H51"/>
    <mergeCell ref="O38:P38"/>
    <mergeCell ref="Q38:R38"/>
    <mergeCell ref="S38:T38"/>
    <mergeCell ref="U38:V38"/>
    <mergeCell ref="G39:H39"/>
    <mergeCell ref="I39:J39"/>
    <mergeCell ref="K39:L39"/>
    <mergeCell ref="M39:N39"/>
    <mergeCell ref="O39:P39"/>
    <mergeCell ref="Q39:R39"/>
    <mergeCell ref="S39:T39"/>
    <mergeCell ref="U39:V39"/>
    <mergeCell ref="K37:L37"/>
    <mergeCell ref="M37:N37"/>
    <mergeCell ref="O37:P37"/>
    <mergeCell ref="Q37:R37"/>
    <mergeCell ref="S37:T37"/>
    <mergeCell ref="U37:V37"/>
    <mergeCell ref="G36:H36"/>
    <mergeCell ref="I36:J36"/>
    <mergeCell ref="K36:L36"/>
    <mergeCell ref="M36:N36"/>
    <mergeCell ref="O36:P36"/>
    <mergeCell ref="S24:T24"/>
    <mergeCell ref="U22:V22"/>
    <mergeCell ref="M21:N21"/>
    <mergeCell ref="B30:B32"/>
    <mergeCell ref="C31:D31"/>
    <mergeCell ref="C32:D32"/>
    <mergeCell ref="B36:B37"/>
    <mergeCell ref="E36:F36"/>
    <mergeCell ref="O26:P26"/>
    <mergeCell ref="Q26:R26"/>
    <mergeCell ref="S26:T26"/>
    <mergeCell ref="U26:V26"/>
    <mergeCell ref="B27:B28"/>
    <mergeCell ref="E26:F26"/>
    <mergeCell ref="G26:H26"/>
    <mergeCell ref="I26:J26"/>
    <mergeCell ref="K26:L26"/>
    <mergeCell ref="M26:N26"/>
    <mergeCell ref="Q36:R36"/>
    <mergeCell ref="S36:T36"/>
    <mergeCell ref="U36:V36"/>
    <mergeCell ref="E37:F37"/>
    <mergeCell ref="G37:H37"/>
    <mergeCell ref="I37:J37"/>
    <mergeCell ref="K23:L23"/>
    <mergeCell ref="M23:N23"/>
    <mergeCell ref="O23:P23"/>
    <mergeCell ref="G24:H24"/>
    <mergeCell ref="I24:J24"/>
    <mergeCell ref="K24:L24"/>
    <mergeCell ref="M24:N24"/>
    <mergeCell ref="O24:P24"/>
    <mergeCell ref="Q24:R24"/>
    <mergeCell ref="B21:B22"/>
    <mergeCell ref="E21:F21"/>
    <mergeCell ref="G21:H21"/>
    <mergeCell ref="I21:J21"/>
    <mergeCell ref="K21:L21"/>
    <mergeCell ref="E22:F22"/>
    <mergeCell ref="G22:H22"/>
    <mergeCell ref="I22:J22"/>
    <mergeCell ref="K22:L22"/>
    <mergeCell ref="B12:B13"/>
    <mergeCell ref="B15:B17"/>
    <mergeCell ref="B6:B7"/>
    <mergeCell ref="C2:D2"/>
    <mergeCell ref="O9:P9"/>
    <mergeCell ref="Q9:R9"/>
    <mergeCell ref="S9:T9"/>
    <mergeCell ref="U9:V9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E9:F9"/>
    <mergeCell ref="G9:H9"/>
    <mergeCell ref="I9:J9"/>
    <mergeCell ref="K9:L9"/>
    <mergeCell ref="M9:N9"/>
    <mergeCell ref="O7:P7"/>
    <mergeCell ref="G2:K2"/>
    <mergeCell ref="U7:V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E7:F7"/>
    <mergeCell ref="G7:H7"/>
    <mergeCell ref="I7:J7"/>
    <mergeCell ref="K7:L7"/>
    <mergeCell ref="M7:N7"/>
    <mergeCell ref="C6:D6"/>
    <mergeCell ref="C11:D11"/>
    <mergeCell ref="C9:D9"/>
    <mergeCell ref="Q7:R7"/>
    <mergeCell ref="S7:T7"/>
    <mergeCell ref="C16:D16"/>
    <mergeCell ref="E6:F6"/>
    <mergeCell ref="M22:N22"/>
    <mergeCell ref="O22:P22"/>
    <mergeCell ref="Q22:R22"/>
    <mergeCell ref="S22:T22"/>
    <mergeCell ref="O21:P21"/>
    <mergeCell ref="Q21:R21"/>
    <mergeCell ref="S21:T21"/>
    <mergeCell ref="G6:H6"/>
    <mergeCell ref="I6:J6"/>
    <mergeCell ref="K6:L6"/>
    <mergeCell ref="M6:N6"/>
    <mergeCell ref="O6:P6"/>
    <mergeCell ref="Q6:R6"/>
    <mergeCell ref="S6:T6"/>
    <mergeCell ref="U6:V6"/>
    <mergeCell ref="C71:D71"/>
    <mergeCell ref="C62:D62"/>
    <mergeCell ref="C51:D51"/>
    <mergeCell ref="C56:D56"/>
    <mergeCell ref="E66:F66"/>
    <mergeCell ref="C60:D60"/>
    <mergeCell ref="C21:D21"/>
    <mergeCell ref="E23:F23"/>
    <mergeCell ref="E41:F41"/>
    <mergeCell ref="C26:D26"/>
    <mergeCell ref="C30:D30"/>
    <mergeCell ref="C36:D36"/>
    <mergeCell ref="C45:D45"/>
    <mergeCell ref="C47:D47"/>
    <mergeCell ref="C39:D39"/>
    <mergeCell ref="E39:F39"/>
    <mergeCell ref="U10:V10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C15:D15"/>
    <mergeCell ref="C17:D17"/>
    <mergeCell ref="C24:D24"/>
    <mergeCell ref="E24:F24"/>
    <mergeCell ref="U21:V21"/>
    <mergeCell ref="Q23:R23"/>
    <mergeCell ref="S23:T23"/>
    <mergeCell ref="U23:V23"/>
    <mergeCell ref="U24:V24"/>
    <mergeCell ref="G23:H23"/>
    <mergeCell ref="I23:J23"/>
    <mergeCell ref="U40:V40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C54:D54"/>
    <mergeCell ref="E54:F54"/>
    <mergeCell ref="S52:T52"/>
    <mergeCell ref="U52:V52"/>
    <mergeCell ref="U85:V85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1:V71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</mergeCells>
  <phoneticPr fontId="9" type="noConversion"/>
  <conditionalFormatting sqref="C13 E13 G13 I13 K13 M13 O13 Q13 S13 U13">
    <cfRule type="cellIs" dxfId="204" priority="91" operator="equal">
      <formula>"✔"</formula>
    </cfRule>
  </conditionalFormatting>
  <conditionalFormatting sqref="C28 E28 G28 I28 K28 M28 O28 Q28 S28 U28">
    <cfRule type="cellIs" dxfId="203" priority="6" operator="equal">
      <formula>"✔"</formula>
    </cfRule>
  </conditionalFormatting>
  <conditionalFormatting sqref="C43 E43 G43 I43 K43 M43 O43 Q43 S43 U43">
    <cfRule type="cellIs" dxfId="202" priority="5" operator="equal">
      <formula>"✔"</formula>
    </cfRule>
  </conditionalFormatting>
  <conditionalFormatting sqref="C58 E58 G58 I58 K58 M58 O58 Q58 S58 U58">
    <cfRule type="cellIs" dxfId="201" priority="4" operator="equal">
      <formula>"✔"</formula>
    </cfRule>
  </conditionalFormatting>
  <conditionalFormatting sqref="C73 E73 G73 I73 K73 M73 O73 Q73 S73 U73">
    <cfRule type="cellIs" dxfId="200" priority="3" operator="equal">
      <formula>"✔"</formula>
    </cfRule>
  </conditionalFormatting>
  <conditionalFormatting sqref="C88 E88 G88 I88 K88 M88 O88 Q88 S88 U88">
    <cfRule type="cellIs" dxfId="199" priority="2" operator="equal">
      <formula>"✔"</formula>
    </cfRule>
  </conditionalFormatting>
  <dataValidations count="1">
    <dataValidation showInputMessage="1" showErrorMessage="1" sqref="C11:C12 E11:V11 E12 G12 I12 K12 M12 O12 Q12 S12 U12 E16:S16 C26:C27 E26:V26 E27 G27 I27 K27 M27 O27 Q27 S27 U27 E31:S31 C41:C42 E41:V41 E42 G42 I42 K42 M42 O42 Q42 S42 U42 E46:S46 C56:C57 E56:V56 E57 G57 I57 K57 M57 O57 Q57 S57 U57 E61:S61 C71:C72 E71:V71 E72 G72 I72 K72 M72 O72 Q72 S72 U72 E76:S76 C86:C87 E86:V86 E87 G87 I87 K87 M87 O87 Q87 S87 U87 E91:S91" xr:uid="{C0952A4B-DE57-4E5F-88AA-3D9AA6C8E868}"/>
  </dataValidations>
  <printOptions horizontalCentered="1"/>
  <pageMargins left="0.43307086614173229" right="0.78740157480314965" top="0.55118110236220474" bottom="0.74803149606299213" header="0.27559055118110237" footer="0.31496062992125984"/>
  <pageSetup paperSize="9" scale="24" orientation="portrait" verticalDpi="0" r:id="rId1"/>
  <headerFooter>
    <oddHeader>&amp;L&amp;"Audi Type Extended,常规"&amp;24    Audi China  C/OP-5  &amp;R&amp;G</oddHeader>
    <oddFooter>&amp;L_x000D_&amp;1#&amp;"Calibri"&amp;10&amp;K000000 Internal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58"/>
  <sheetViews>
    <sheetView showZeros="0" topLeftCell="A2" zoomScaleNormal="100" zoomScaleSheetLayoutView="25" zoomScalePageLayoutView="25" workbookViewId="0">
      <selection activeCell="G6" sqref="G6"/>
    </sheetView>
  </sheetViews>
  <sheetFormatPr defaultColWidth="8.7265625" defaultRowHeight="14"/>
  <cols>
    <col min="1" max="1" width="1.90625" style="29" customWidth="1"/>
    <col min="2" max="4" width="22.26953125" style="29" customWidth="1"/>
    <col min="5" max="5" width="9.1796875" style="29" customWidth="1"/>
    <col min="6" max="6" width="23.90625" style="29" customWidth="1"/>
    <col min="7" max="21" width="15.54296875" style="29" customWidth="1"/>
    <col min="22" max="22" width="1.81640625" style="29" customWidth="1"/>
    <col min="23" max="16384" width="8.7265625" style="29"/>
  </cols>
  <sheetData>
    <row r="1" spans="2:21" ht="18.5" customHeight="1" thickBot="1"/>
    <row r="2" spans="2:21" s="31" customFormat="1" ht="49" customHeight="1" thickBot="1">
      <c r="B2" s="30" t="s">
        <v>36</v>
      </c>
      <c r="C2" s="131"/>
      <c r="D2" s="132"/>
      <c r="E2" s="133"/>
      <c r="F2" s="29"/>
      <c r="G2" s="150" t="s">
        <v>0</v>
      </c>
      <c r="H2" s="150"/>
      <c r="I2" s="145"/>
      <c r="J2" s="146"/>
      <c r="K2" s="146"/>
      <c r="L2" s="146"/>
      <c r="M2" s="147"/>
      <c r="P2" s="32" t="s">
        <v>1</v>
      </c>
      <c r="Q2" s="32"/>
      <c r="R2" s="145"/>
      <c r="S2" s="146"/>
      <c r="T2" s="146"/>
      <c r="U2" s="147"/>
    </row>
    <row r="3" spans="2:21" ht="35.5" customHeight="1" thickBot="1"/>
    <row r="4" spans="2:21" ht="30.5" customHeight="1" thickBot="1">
      <c r="B4" s="33">
        <v>1</v>
      </c>
      <c r="C4" s="33"/>
      <c r="E4" s="34"/>
      <c r="F4" s="34"/>
      <c r="G4" s="141" t="s">
        <v>21</v>
      </c>
      <c r="H4" s="142"/>
      <c r="I4" s="143">
        <f>SUM(G10:U10)/100/60+N4</f>
        <v>0</v>
      </c>
      <c r="J4" s="144"/>
      <c r="K4" s="35"/>
      <c r="L4" s="137" t="s">
        <v>45</v>
      </c>
      <c r="M4" s="138"/>
      <c r="N4" s="148">
        <f>(SUM(G11:U11)-SUM(G10:U10))/100/60</f>
        <v>0</v>
      </c>
      <c r="O4" s="149"/>
      <c r="R4" s="137" t="s">
        <v>37</v>
      </c>
      <c r="S4" s="138"/>
      <c r="T4" s="139"/>
      <c r="U4" s="140"/>
    </row>
    <row r="5" spans="2:21" ht="43" customHeight="1" thickBot="1">
      <c r="B5" s="36" t="s">
        <v>4</v>
      </c>
      <c r="C5" s="134"/>
      <c r="D5" s="134"/>
      <c r="F5" s="37"/>
      <c r="G5" s="38" t="s">
        <v>5</v>
      </c>
      <c r="H5" s="38" t="s">
        <v>6</v>
      </c>
      <c r="I5" s="38" t="s">
        <v>7</v>
      </c>
      <c r="J5" s="38" t="s">
        <v>8</v>
      </c>
      <c r="K5" s="38" t="s">
        <v>9</v>
      </c>
      <c r="L5" s="38" t="s">
        <v>10</v>
      </c>
      <c r="M5" s="38" t="s">
        <v>11</v>
      </c>
      <c r="N5" s="38" t="s">
        <v>12</v>
      </c>
      <c r="O5" s="38" t="s">
        <v>13</v>
      </c>
      <c r="P5" s="38" t="s">
        <v>14</v>
      </c>
      <c r="Q5" s="38" t="s">
        <v>15</v>
      </c>
      <c r="R5" s="38" t="s">
        <v>16</v>
      </c>
      <c r="S5" s="38" t="s">
        <v>17</v>
      </c>
      <c r="T5" s="38" t="s">
        <v>18</v>
      </c>
      <c r="U5" s="38" t="s">
        <v>19</v>
      </c>
    </row>
    <row r="6" spans="2:21" ht="53.5" customHeight="1">
      <c r="B6" s="39" t="s">
        <v>47</v>
      </c>
      <c r="C6" s="40" t="s">
        <v>38</v>
      </c>
      <c r="D6" s="40" t="s">
        <v>39</v>
      </c>
      <c r="F6" s="41" t="s">
        <v>46</v>
      </c>
      <c r="G6" s="42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4"/>
    </row>
    <row r="7" spans="2:21" ht="53.5" customHeight="1" thickBot="1">
      <c r="B7" s="45">
        <f>((COUNTA(G6:U6)-COUNTA(G8:U8)))*IF(T4=0,1,T4)</f>
        <v>0</v>
      </c>
      <c r="C7" s="46">
        <f>B7-D7</f>
        <v>0</v>
      </c>
      <c r="D7" s="46">
        <f>(COUNTA(G7:U7))*IF(T4=0,1,T4)</f>
        <v>0</v>
      </c>
      <c r="F7" s="41" t="s">
        <v>48</v>
      </c>
      <c r="G7" s="47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9"/>
    </row>
    <row r="8" spans="2:21" ht="35.5" customHeight="1">
      <c r="B8" s="155" t="s">
        <v>40</v>
      </c>
      <c r="C8" s="156"/>
      <c r="D8" s="50" t="s">
        <v>44</v>
      </c>
      <c r="F8" s="157" t="s">
        <v>50</v>
      </c>
      <c r="G8" s="151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8"/>
    </row>
    <row r="9" spans="2:21" ht="35.5" customHeight="1" thickBot="1">
      <c r="B9" s="160" t="str">
        <f>IF(B7=0,"",SUM(G10:U10)/B7/(100/IF($T4=0,1,T4)))</f>
        <v/>
      </c>
      <c r="C9" s="161"/>
      <c r="D9" s="51"/>
      <c r="F9" s="157"/>
      <c r="G9" s="152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9"/>
    </row>
    <row r="10" spans="2:21" s="54" customFormat="1" ht="32.5" hidden="1" customHeight="1">
      <c r="B10" s="52"/>
      <c r="C10" s="52"/>
      <c r="D10" s="53" t="e">
        <f>IF(B9&gt;=60,INT(B9/60)*100+(B9-INT(B9/60)*60),B9)*100</f>
        <v>#VALUE!</v>
      </c>
      <c r="F10" s="55"/>
      <c r="G10" s="56">
        <f t="shared" ref="G10:U10" si="0">IF(ISBLANK(G8),IF(G6&gt;10000,INT(G6/10000)*6000+((G6-INT(G6/10000)*10000)),G6),0)</f>
        <v>0</v>
      </c>
      <c r="H10" s="56">
        <f t="shared" si="0"/>
        <v>0</v>
      </c>
      <c r="I10" s="56">
        <f t="shared" si="0"/>
        <v>0</v>
      </c>
      <c r="J10" s="56">
        <f t="shared" si="0"/>
        <v>0</v>
      </c>
      <c r="K10" s="56">
        <f t="shared" si="0"/>
        <v>0</v>
      </c>
      <c r="L10" s="56">
        <f t="shared" si="0"/>
        <v>0</v>
      </c>
      <c r="M10" s="56">
        <f t="shared" si="0"/>
        <v>0</v>
      </c>
      <c r="N10" s="56">
        <f t="shared" si="0"/>
        <v>0</v>
      </c>
      <c r="O10" s="56">
        <f t="shared" si="0"/>
        <v>0</v>
      </c>
      <c r="P10" s="56">
        <f t="shared" si="0"/>
        <v>0</v>
      </c>
      <c r="Q10" s="56">
        <f t="shared" si="0"/>
        <v>0</v>
      </c>
      <c r="R10" s="56">
        <f t="shared" si="0"/>
        <v>0</v>
      </c>
      <c r="S10" s="56">
        <f t="shared" si="0"/>
        <v>0</v>
      </c>
      <c r="T10" s="56">
        <f t="shared" si="0"/>
        <v>0</v>
      </c>
      <c r="U10" s="56">
        <f t="shared" si="0"/>
        <v>0</v>
      </c>
    </row>
    <row r="11" spans="2:21" s="54" customFormat="1" ht="32.5" hidden="1" customHeight="1">
      <c r="B11" s="57"/>
      <c r="C11" s="57"/>
      <c r="D11" s="57"/>
      <c r="F11" s="55"/>
      <c r="G11" s="56">
        <f t="shared" ref="G11:U11" si="1">IF(G6&gt;10000,INT(G6/10000)*6000+((G6-INT(G6/10000)*10000)),G6)</f>
        <v>0</v>
      </c>
      <c r="H11" s="56">
        <f t="shared" si="1"/>
        <v>0</v>
      </c>
      <c r="I11" s="56">
        <f t="shared" si="1"/>
        <v>0</v>
      </c>
      <c r="J11" s="56">
        <f t="shared" si="1"/>
        <v>0</v>
      </c>
      <c r="K11" s="56">
        <f t="shared" si="1"/>
        <v>0</v>
      </c>
      <c r="L11" s="56">
        <f t="shared" si="1"/>
        <v>0</v>
      </c>
      <c r="M11" s="56">
        <f t="shared" si="1"/>
        <v>0</v>
      </c>
      <c r="N11" s="56">
        <f t="shared" si="1"/>
        <v>0</v>
      </c>
      <c r="O11" s="56">
        <f t="shared" si="1"/>
        <v>0</v>
      </c>
      <c r="P11" s="56">
        <f t="shared" si="1"/>
        <v>0</v>
      </c>
      <c r="Q11" s="56">
        <f t="shared" si="1"/>
        <v>0</v>
      </c>
      <c r="R11" s="56">
        <f t="shared" si="1"/>
        <v>0</v>
      </c>
      <c r="S11" s="56">
        <f t="shared" si="1"/>
        <v>0</v>
      </c>
      <c r="T11" s="56">
        <f t="shared" si="1"/>
        <v>0</v>
      </c>
      <c r="U11" s="56">
        <f t="shared" si="1"/>
        <v>0</v>
      </c>
    </row>
    <row r="12" spans="2:21" ht="35.5" customHeight="1" thickBot="1"/>
    <row r="13" spans="2:21" ht="30.5" customHeight="1" thickBot="1">
      <c r="B13" s="33">
        <v>2</v>
      </c>
      <c r="C13" s="33"/>
      <c r="E13" s="34"/>
      <c r="F13" s="34"/>
      <c r="G13" s="141" t="s">
        <v>21</v>
      </c>
      <c r="H13" s="142"/>
      <c r="I13" s="143">
        <f>SUM(G19:U19)/100/60+N13</f>
        <v>0</v>
      </c>
      <c r="J13" s="144"/>
      <c r="K13" s="35"/>
      <c r="L13" s="137" t="s">
        <v>45</v>
      </c>
      <c r="M13" s="138"/>
      <c r="N13" s="148">
        <f>(SUM(G20:U20)-SUM(G19:U19))/100/60</f>
        <v>0</v>
      </c>
      <c r="O13" s="149"/>
      <c r="R13" s="137" t="s">
        <v>37</v>
      </c>
      <c r="S13" s="138"/>
      <c r="T13" s="139"/>
      <c r="U13" s="140"/>
    </row>
    <row r="14" spans="2:21" ht="43" customHeight="1" thickBot="1">
      <c r="B14" s="36" t="s">
        <v>4</v>
      </c>
      <c r="C14" s="134"/>
      <c r="D14" s="134"/>
      <c r="F14" s="37"/>
      <c r="G14" s="38" t="s">
        <v>5</v>
      </c>
      <c r="H14" s="38" t="s">
        <v>6</v>
      </c>
      <c r="I14" s="38" t="s">
        <v>7</v>
      </c>
      <c r="J14" s="38" t="s">
        <v>8</v>
      </c>
      <c r="K14" s="38" t="s">
        <v>9</v>
      </c>
      <c r="L14" s="38" t="s">
        <v>10</v>
      </c>
      <c r="M14" s="38" t="s">
        <v>11</v>
      </c>
      <c r="N14" s="38" t="s">
        <v>12</v>
      </c>
      <c r="O14" s="38" t="s">
        <v>13</v>
      </c>
      <c r="P14" s="38" t="s">
        <v>14</v>
      </c>
      <c r="Q14" s="38" t="s">
        <v>15</v>
      </c>
      <c r="R14" s="38" t="s">
        <v>16</v>
      </c>
      <c r="S14" s="38" t="s">
        <v>17</v>
      </c>
      <c r="T14" s="38" t="s">
        <v>18</v>
      </c>
      <c r="U14" s="38" t="s">
        <v>19</v>
      </c>
    </row>
    <row r="15" spans="2:21" ht="53.5" customHeight="1">
      <c r="B15" s="39" t="s">
        <v>47</v>
      </c>
      <c r="C15" s="40" t="s">
        <v>38</v>
      </c>
      <c r="D15" s="40" t="s">
        <v>39</v>
      </c>
      <c r="F15" s="41" t="s">
        <v>46</v>
      </c>
      <c r="G15" s="42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4"/>
    </row>
    <row r="16" spans="2:21" ht="53.5" customHeight="1" thickBot="1">
      <c r="B16" s="45">
        <f>((COUNTA(G15:U15)-COUNTA(G17:U17)))*IF(T13=0,1,T13)</f>
        <v>0</v>
      </c>
      <c r="C16" s="46">
        <f>B16-D16</f>
        <v>0</v>
      </c>
      <c r="D16" s="46">
        <f>(COUNTA(G16:U16))*IF(T13=0,1,T13)</f>
        <v>0</v>
      </c>
      <c r="F16" s="41" t="s">
        <v>48</v>
      </c>
      <c r="G16" s="47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9"/>
    </row>
    <row r="17" spans="2:21" ht="35.5" customHeight="1">
      <c r="B17" s="155" t="s">
        <v>40</v>
      </c>
      <c r="C17" s="156"/>
      <c r="D17" s="50" t="s">
        <v>44</v>
      </c>
      <c r="F17" s="157" t="s">
        <v>50</v>
      </c>
      <c r="G17" s="151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8"/>
    </row>
    <row r="18" spans="2:21" ht="35.5" customHeight="1" thickBot="1">
      <c r="B18" s="160" t="str">
        <f>IF(B16=0,"",SUM(G19:U19)/B16/(100/IF($T13=0,1,T13)))</f>
        <v/>
      </c>
      <c r="C18" s="161"/>
      <c r="D18" s="51"/>
      <c r="F18" s="157"/>
      <c r="G18" s="152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9"/>
    </row>
    <row r="19" spans="2:21" s="54" customFormat="1" ht="32.5" hidden="1" customHeight="1">
      <c r="B19" s="52"/>
      <c r="C19" s="52"/>
      <c r="D19" s="53" t="e">
        <f>IF(B18&gt;=60,INT(B18/60)*100+(B18-INT(B18/60)*60),B18)*100</f>
        <v>#VALUE!</v>
      </c>
      <c r="F19" s="55"/>
      <c r="G19" s="56">
        <f t="shared" ref="G19:U19" si="2">IF(ISBLANK(G17),IF(G15&gt;10000,INT(G15/10000)*6000+((G15-INT(G15/10000)*10000)),G15),0)</f>
        <v>0</v>
      </c>
      <c r="H19" s="56">
        <f t="shared" si="2"/>
        <v>0</v>
      </c>
      <c r="I19" s="56">
        <f t="shared" si="2"/>
        <v>0</v>
      </c>
      <c r="J19" s="56">
        <f t="shared" si="2"/>
        <v>0</v>
      </c>
      <c r="K19" s="56">
        <f t="shared" si="2"/>
        <v>0</v>
      </c>
      <c r="L19" s="56">
        <f t="shared" si="2"/>
        <v>0</v>
      </c>
      <c r="M19" s="56">
        <f t="shared" si="2"/>
        <v>0</v>
      </c>
      <c r="N19" s="56">
        <f t="shared" si="2"/>
        <v>0</v>
      </c>
      <c r="O19" s="56">
        <f t="shared" si="2"/>
        <v>0</v>
      </c>
      <c r="P19" s="56">
        <f t="shared" si="2"/>
        <v>0</v>
      </c>
      <c r="Q19" s="56">
        <f t="shared" si="2"/>
        <v>0</v>
      </c>
      <c r="R19" s="56">
        <f t="shared" si="2"/>
        <v>0</v>
      </c>
      <c r="S19" s="56">
        <f t="shared" si="2"/>
        <v>0</v>
      </c>
      <c r="T19" s="56">
        <f t="shared" si="2"/>
        <v>0</v>
      </c>
      <c r="U19" s="56">
        <f t="shared" si="2"/>
        <v>0</v>
      </c>
    </row>
    <row r="20" spans="2:21" s="54" customFormat="1" ht="32.5" hidden="1" customHeight="1">
      <c r="B20" s="57"/>
      <c r="C20" s="57"/>
      <c r="D20" s="57"/>
      <c r="F20" s="55"/>
      <c r="G20" s="56">
        <f t="shared" ref="G20:U20" si="3">IF(G15&gt;10000,INT(G15/10000)*6000+((G15-INT(G15/10000)*10000)),G15)</f>
        <v>0</v>
      </c>
      <c r="H20" s="56">
        <f t="shared" si="3"/>
        <v>0</v>
      </c>
      <c r="I20" s="56">
        <f t="shared" si="3"/>
        <v>0</v>
      </c>
      <c r="J20" s="56">
        <f t="shared" si="3"/>
        <v>0</v>
      </c>
      <c r="K20" s="56">
        <f t="shared" si="3"/>
        <v>0</v>
      </c>
      <c r="L20" s="56">
        <f t="shared" si="3"/>
        <v>0</v>
      </c>
      <c r="M20" s="56">
        <f t="shared" si="3"/>
        <v>0</v>
      </c>
      <c r="N20" s="56">
        <f t="shared" si="3"/>
        <v>0</v>
      </c>
      <c r="O20" s="56">
        <f t="shared" si="3"/>
        <v>0</v>
      </c>
      <c r="P20" s="56">
        <f t="shared" si="3"/>
        <v>0</v>
      </c>
      <c r="Q20" s="56">
        <f t="shared" si="3"/>
        <v>0</v>
      </c>
      <c r="R20" s="56">
        <f t="shared" si="3"/>
        <v>0</v>
      </c>
      <c r="S20" s="56">
        <f t="shared" si="3"/>
        <v>0</v>
      </c>
      <c r="T20" s="56">
        <f t="shared" si="3"/>
        <v>0</v>
      </c>
      <c r="U20" s="56">
        <f t="shared" si="3"/>
        <v>0</v>
      </c>
    </row>
    <row r="21" spans="2:21" ht="35.5" customHeight="1" thickBot="1"/>
    <row r="22" spans="2:21" ht="30.5" customHeight="1" thickBot="1">
      <c r="B22" s="33">
        <v>3</v>
      </c>
      <c r="C22" s="33"/>
      <c r="E22" s="34"/>
      <c r="F22" s="34"/>
      <c r="G22" s="141" t="s">
        <v>21</v>
      </c>
      <c r="H22" s="142"/>
      <c r="I22" s="143">
        <f>SUM(G28:U28)/100/60+N22</f>
        <v>0</v>
      </c>
      <c r="J22" s="144"/>
      <c r="K22" s="35"/>
      <c r="L22" s="137" t="s">
        <v>45</v>
      </c>
      <c r="M22" s="138"/>
      <c r="N22" s="148">
        <f>(SUM(G29:U29)-SUM(G28:U28))/100/60</f>
        <v>0</v>
      </c>
      <c r="O22" s="149"/>
      <c r="R22" s="137" t="s">
        <v>37</v>
      </c>
      <c r="S22" s="138"/>
      <c r="T22" s="139"/>
      <c r="U22" s="140"/>
    </row>
    <row r="23" spans="2:21" ht="43" customHeight="1" thickBot="1">
      <c r="B23" s="36" t="s">
        <v>4</v>
      </c>
      <c r="C23" s="134"/>
      <c r="D23" s="134"/>
      <c r="F23" s="37"/>
      <c r="G23" s="38" t="s">
        <v>5</v>
      </c>
      <c r="H23" s="38" t="s">
        <v>6</v>
      </c>
      <c r="I23" s="38" t="s">
        <v>7</v>
      </c>
      <c r="J23" s="38" t="s">
        <v>8</v>
      </c>
      <c r="K23" s="38" t="s">
        <v>9</v>
      </c>
      <c r="L23" s="38" t="s">
        <v>10</v>
      </c>
      <c r="M23" s="38" t="s">
        <v>11</v>
      </c>
      <c r="N23" s="38" t="s">
        <v>12</v>
      </c>
      <c r="O23" s="38" t="s">
        <v>13</v>
      </c>
      <c r="P23" s="38" t="s">
        <v>14</v>
      </c>
      <c r="Q23" s="38" t="s">
        <v>15</v>
      </c>
      <c r="R23" s="38" t="s">
        <v>16</v>
      </c>
      <c r="S23" s="38" t="s">
        <v>17</v>
      </c>
      <c r="T23" s="38" t="s">
        <v>18</v>
      </c>
      <c r="U23" s="38" t="s">
        <v>19</v>
      </c>
    </row>
    <row r="24" spans="2:21" ht="53.5" customHeight="1">
      <c r="B24" s="39" t="s">
        <v>47</v>
      </c>
      <c r="C24" s="40" t="s">
        <v>38</v>
      </c>
      <c r="D24" s="40" t="s">
        <v>39</v>
      </c>
      <c r="F24" s="41" t="s">
        <v>46</v>
      </c>
      <c r="G24" s="42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4"/>
    </row>
    <row r="25" spans="2:21" ht="53.5" customHeight="1" thickBot="1">
      <c r="B25" s="45">
        <f>((COUNTA(G24:U24)-COUNTA(G26:U26)))*IF(T22=0,1,T22)</f>
        <v>0</v>
      </c>
      <c r="C25" s="46">
        <f>B25-D25</f>
        <v>0</v>
      </c>
      <c r="D25" s="46">
        <f>(COUNTA(G25:U25))*IF(T22=0,1,T22)</f>
        <v>0</v>
      </c>
      <c r="F25" s="41" t="s">
        <v>48</v>
      </c>
      <c r="G25" s="47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</row>
    <row r="26" spans="2:21" ht="35.5" customHeight="1">
      <c r="B26" s="155" t="s">
        <v>40</v>
      </c>
      <c r="C26" s="156"/>
      <c r="D26" s="50" t="s">
        <v>44</v>
      </c>
      <c r="F26" s="157" t="s">
        <v>50</v>
      </c>
      <c r="G26" s="151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8"/>
    </row>
    <row r="27" spans="2:21" ht="35.5" customHeight="1" thickBot="1">
      <c r="B27" s="160" t="str">
        <f>IF(B25=0,"",SUM(G28:U28)/B25/(100/IF($T22=0,1,T22)))</f>
        <v/>
      </c>
      <c r="C27" s="161"/>
      <c r="D27" s="51"/>
      <c r="F27" s="157"/>
      <c r="G27" s="152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9"/>
    </row>
    <row r="28" spans="2:21" s="54" customFormat="1" ht="32.5" hidden="1" customHeight="1">
      <c r="B28" s="52"/>
      <c r="C28" s="52"/>
      <c r="D28" s="53" t="e">
        <f>IF(B27&gt;=60,INT(B27/60)*100+(B27-INT(B27/60)*60),B27)*100</f>
        <v>#VALUE!</v>
      </c>
      <c r="F28" s="55"/>
      <c r="G28" s="56">
        <f t="shared" ref="G28:U28" si="4">IF(ISBLANK(G26),IF(G24&gt;10000,INT(G24/10000)*6000+((G24-INT(G24/10000)*10000)),G24),0)</f>
        <v>0</v>
      </c>
      <c r="H28" s="56">
        <f t="shared" si="4"/>
        <v>0</v>
      </c>
      <c r="I28" s="56">
        <f t="shared" si="4"/>
        <v>0</v>
      </c>
      <c r="J28" s="56">
        <f t="shared" si="4"/>
        <v>0</v>
      </c>
      <c r="K28" s="56">
        <f t="shared" si="4"/>
        <v>0</v>
      </c>
      <c r="L28" s="56">
        <f t="shared" si="4"/>
        <v>0</v>
      </c>
      <c r="M28" s="56">
        <f t="shared" si="4"/>
        <v>0</v>
      </c>
      <c r="N28" s="56">
        <f t="shared" si="4"/>
        <v>0</v>
      </c>
      <c r="O28" s="56">
        <f t="shared" si="4"/>
        <v>0</v>
      </c>
      <c r="P28" s="56">
        <f t="shared" si="4"/>
        <v>0</v>
      </c>
      <c r="Q28" s="56">
        <f t="shared" si="4"/>
        <v>0</v>
      </c>
      <c r="R28" s="56">
        <f t="shared" si="4"/>
        <v>0</v>
      </c>
      <c r="S28" s="56">
        <f t="shared" si="4"/>
        <v>0</v>
      </c>
      <c r="T28" s="56">
        <f t="shared" si="4"/>
        <v>0</v>
      </c>
      <c r="U28" s="56">
        <f t="shared" si="4"/>
        <v>0</v>
      </c>
    </row>
    <row r="29" spans="2:21" s="54" customFormat="1" ht="32.5" hidden="1" customHeight="1">
      <c r="B29" s="57"/>
      <c r="C29" s="57"/>
      <c r="D29" s="57"/>
      <c r="F29" s="55"/>
      <c r="G29" s="56">
        <f t="shared" ref="G29:U29" si="5">IF(G24&gt;10000,INT(G24/10000)*6000+((G24-INT(G24/10000)*10000)),G24)</f>
        <v>0</v>
      </c>
      <c r="H29" s="56">
        <f t="shared" si="5"/>
        <v>0</v>
      </c>
      <c r="I29" s="56">
        <f t="shared" si="5"/>
        <v>0</v>
      </c>
      <c r="J29" s="56">
        <f t="shared" si="5"/>
        <v>0</v>
      </c>
      <c r="K29" s="56">
        <f t="shared" si="5"/>
        <v>0</v>
      </c>
      <c r="L29" s="56">
        <f t="shared" si="5"/>
        <v>0</v>
      </c>
      <c r="M29" s="56">
        <f t="shared" si="5"/>
        <v>0</v>
      </c>
      <c r="N29" s="56">
        <f t="shared" si="5"/>
        <v>0</v>
      </c>
      <c r="O29" s="56">
        <f t="shared" si="5"/>
        <v>0</v>
      </c>
      <c r="P29" s="56">
        <f t="shared" si="5"/>
        <v>0</v>
      </c>
      <c r="Q29" s="56">
        <f t="shared" si="5"/>
        <v>0</v>
      </c>
      <c r="R29" s="56">
        <f t="shared" si="5"/>
        <v>0</v>
      </c>
      <c r="S29" s="56">
        <f t="shared" si="5"/>
        <v>0</v>
      </c>
      <c r="T29" s="56">
        <f t="shared" si="5"/>
        <v>0</v>
      </c>
      <c r="U29" s="56">
        <f t="shared" si="5"/>
        <v>0</v>
      </c>
    </row>
    <row r="30" spans="2:21" ht="35.5" customHeight="1" thickBot="1"/>
    <row r="31" spans="2:21" ht="30.5" customHeight="1" thickBot="1">
      <c r="B31" s="33">
        <v>4</v>
      </c>
      <c r="C31" s="33"/>
      <c r="E31" s="34"/>
      <c r="F31" s="34"/>
      <c r="G31" s="141" t="s">
        <v>21</v>
      </c>
      <c r="H31" s="142"/>
      <c r="I31" s="143">
        <f>SUM(G37:U37)/100/60+N31</f>
        <v>0</v>
      </c>
      <c r="J31" s="144"/>
      <c r="K31" s="35"/>
      <c r="L31" s="137" t="s">
        <v>45</v>
      </c>
      <c r="M31" s="138"/>
      <c r="N31" s="148">
        <f>(SUM(G38:U38)-SUM(G37:U37))/100/60</f>
        <v>0</v>
      </c>
      <c r="O31" s="149"/>
      <c r="R31" s="137" t="s">
        <v>37</v>
      </c>
      <c r="S31" s="138"/>
      <c r="T31" s="139"/>
      <c r="U31" s="140"/>
    </row>
    <row r="32" spans="2:21" ht="43" customHeight="1" thickBot="1">
      <c r="B32" s="36" t="s">
        <v>4</v>
      </c>
      <c r="C32" s="134"/>
      <c r="D32" s="134"/>
      <c r="F32" s="37"/>
      <c r="G32" s="38" t="s">
        <v>5</v>
      </c>
      <c r="H32" s="38" t="s">
        <v>6</v>
      </c>
      <c r="I32" s="38" t="s">
        <v>7</v>
      </c>
      <c r="J32" s="38" t="s">
        <v>8</v>
      </c>
      <c r="K32" s="38" t="s">
        <v>9</v>
      </c>
      <c r="L32" s="38" t="s">
        <v>10</v>
      </c>
      <c r="M32" s="38" t="s">
        <v>11</v>
      </c>
      <c r="N32" s="38" t="s">
        <v>12</v>
      </c>
      <c r="O32" s="38" t="s">
        <v>13</v>
      </c>
      <c r="P32" s="38" t="s">
        <v>14</v>
      </c>
      <c r="Q32" s="38" t="s">
        <v>15</v>
      </c>
      <c r="R32" s="38" t="s">
        <v>16</v>
      </c>
      <c r="S32" s="38" t="s">
        <v>17</v>
      </c>
      <c r="T32" s="38" t="s">
        <v>18</v>
      </c>
      <c r="U32" s="38" t="s">
        <v>19</v>
      </c>
    </row>
    <row r="33" spans="2:21" ht="53.5" customHeight="1">
      <c r="B33" s="39" t="s">
        <v>47</v>
      </c>
      <c r="C33" s="40" t="s">
        <v>38</v>
      </c>
      <c r="D33" s="40" t="s">
        <v>39</v>
      </c>
      <c r="F33" s="41" t="s">
        <v>46</v>
      </c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4"/>
    </row>
    <row r="34" spans="2:21" ht="53.5" customHeight="1" thickBot="1">
      <c r="B34" s="45">
        <f>((COUNTA(G33:U33)-COUNTA(G35:U35)))*IF(T31=0,1,T31)</f>
        <v>0</v>
      </c>
      <c r="C34" s="46">
        <f>B34-D34</f>
        <v>0</v>
      </c>
      <c r="D34" s="46">
        <f>(COUNTA(G34:U34))*IF(T31=0,1,T31)</f>
        <v>0</v>
      </c>
      <c r="F34" s="41" t="s">
        <v>48</v>
      </c>
      <c r="G34" s="47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9"/>
    </row>
    <row r="35" spans="2:21" ht="35.5" customHeight="1">
      <c r="B35" s="155" t="s">
        <v>40</v>
      </c>
      <c r="C35" s="156"/>
      <c r="D35" s="50" t="s">
        <v>44</v>
      </c>
      <c r="F35" s="157" t="s">
        <v>50</v>
      </c>
      <c r="G35" s="151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8"/>
    </row>
    <row r="36" spans="2:21" ht="35.5" customHeight="1" thickBot="1">
      <c r="B36" s="160" t="str">
        <f>IF(B34=0,"",SUM(G37:U37)/B34/(100/IF($T31=0,1,T31)))</f>
        <v/>
      </c>
      <c r="C36" s="161"/>
      <c r="D36" s="51"/>
      <c r="F36" s="157"/>
      <c r="G36" s="152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9"/>
    </row>
    <row r="37" spans="2:21" s="54" customFormat="1" ht="32.5" hidden="1" customHeight="1">
      <c r="B37" s="52"/>
      <c r="C37" s="52"/>
      <c r="D37" s="53" t="e">
        <f>IF(B36&gt;=60,INT(B36/60)*100+(B36-INT(B36/60)*60),B36)*100</f>
        <v>#VALUE!</v>
      </c>
      <c r="F37" s="55"/>
      <c r="G37" s="56">
        <f t="shared" ref="G37:U37" si="6">IF(ISBLANK(G35),IF(G33&gt;10000,INT(G33/10000)*6000+((G33-INT(G33/10000)*10000)),G33),0)</f>
        <v>0</v>
      </c>
      <c r="H37" s="56">
        <f t="shared" si="6"/>
        <v>0</v>
      </c>
      <c r="I37" s="56">
        <f t="shared" si="6"/>
        <v>0</v>
      </c>
      <c r="J37" s="56">
        <f t="shared" si="6"/>
        <v>0</v>
      </c>
      <c r="K37" s="56">
        <f t="shared" si="6"/>
        <v>0</v>
      </c>
      <c r="L37" s="56">
        <f t="shared" si="6"/>
        <v>0</v>
      </c>
      <c r="M37" s="56">
        <f t="shared" si="6"/>
        <v>0</v>
      </c>
      <c r="N37" s="56">
        <f t="shared" si="6"/>
        <v>0</v>
      </c>
      <c r="O37" s="56">
        <f t="shared" si="6"/>
        <v>0</v>
      </c>
      <c r="P37" s="56">
        <f t="shared" si="6"/>
        <v>0</v>
      </c>
      <c r="Q37" s="56">
        <f t="shared" si="6"/>
        <v>0</v>
      </c>
      <c r="R37" s="56">
        <f t="shared" si="6"/>
        <v>0</v>
      </c>
      <c r="S37" s="56">
        <f t="shared" si="6"/>
        <v>0</v>
      </c>
      <c r="T37" s="56">
        <f t="shared" si="6"/>
        <v>0</v>
      </c>
      <c r="U37" s="56">
        <f t="shared" si="6"/>
        <v>0</v>
      </c>
    </row>
    <row r="38" spans="2:21" s="54" customFormat="1" ht="32.5" hidden="1" customHeight="1">
      <c r="B38" s="57"/>
      <c r="C38" s="57"/>
      <c r="D38" s="57"/>
      <c r="F38" s="55"/>
      <c r="G38" s="56">
        <f t="shared" ref="G38:U38" si="7">IF(G33&gt;10000,INT(G33/10000)*6000+((G33-INT(G33/10000)*10000)),G33)</f>
        <v>0</v>
      </c>
      <c r="H38" s="56">
        <f t="shared" si="7"/>
        <v>0</v>
      </c>
      <c r="I38" s="56">
        <f t="shared" si="7"/>
        <v>0</v>
      </c>
      <c r="J38" s="56">
        <f t="shared" si="7"/>
        <v>0</v>
      </c>
      <c r="K38" s="56">
        <f t="shared" si="7"/>
        <v>0</v>
      </c>
      <c r="L38" s="56">
        <f t="shared" si="7"/>
        <v>0</v>
      </c>
      <c r="M38" s="56">
        <f t="shared" si="7"/>
        <v>0</v>
      </c>
      <c r="N38" s="56">
        <f t="shared" si="7"/>
        <v>0</v>
      </c>
      <c r="O38" s="56">
        <f t="shared" si="7"/>
        <v>0</v>
      </c>
      <c r="P38" s="56">
        <f t="shared" si="7"/>
        <v>0</v>
      </c>
      <c r="Q38" s="56">
        <f t="shared" si="7"/>
        <v>0</v>
      </c>
      <c r="R38" s="56">
        <f t="shared" si="7"/>
        <v>0</v>
      </c>
      <c r="S38" s="56">
        <f t="shared" si="7"/>
        <v>0</v>
      </c>
      <c r="T38" s="56">
        <f t="shared" si="7"/>
        <v>0</v>
      </c>
      <c r="U38" s="56">
        <f t="shared" si="7"/>
        <v>0</v>
      </c>
    </row>
    <row r="39" spans="2:21" ht="35.5" customHeight="1" thickBot="1"/>
    <row r="40" spans="2:21" ht="30.5" customHeight="1" thickBot="1">
      <c r="B40" s="33">
        <v>5</v>
      </c>
      <c r="C40" s="33"/>
      <c r="E40" s="34"/>
      <c r="F40" s="34"/>
      <c r="G40" s="141" t="s">
        <v>21</v>
      </c>
      <c r="H40" s="142"/>
      <c r="I40" s="143">
        <f>SUM(G46:U46)/100/60+N40</f>
        <v>0</v>
      </c>
      <c r="J40" s="144"/>
      <c r="K40" s="35"/>
      <c r="L40" s="137" t="s">
        <v>45</v>
      </c>
      <c r="M40" s="138"/>
      <c r="N40" s="148">
        <f>(SUM(G47:U47)-SUM(G46:U46))/100/60</f>
        <v>0</v>
      </c>
      <c r="O40" s="149"/>
      <c r="R40" s="137" t="s">
        <v>37</v>
      </c>
      <c r="S40" s="138"/>
      <c r="T40" s="139"/>
      <c r="U40" s="140"/>
    </row>
    <row r="41" spans="2:21" ht="43" customHeight="1" thickBot="1">
      <c r="B41" s="36" t="s">
        <v>4</v>
      </c>
      <c r="C41" s="134"/>
      <c r="D41" s="134"/>
      <c r="F41" s="37"/>
      <c r="G41" s="38" t="s">
        <v>5</v>
      </c>
      <c r="H41" s="38" t="s">
        <v>6</v>
      </c>
      <c r="I41" s="38" t="s">
        <v>7</v>
      </c>
      <c r="J41" s="38" t="s">
        <v>8</v>
      </c>
      <c r="K41" s="38" t="s">
        <v>9</v>
      </c>
      <c r="L41" s="38" t="s">
        <v>10</v>
      </c>
      <c r="M41" s="38" t="s">
        <v>11</v>
      </c>
      <c r="N41" s="38" t="s">
        <v>12</v>
      </c>
      <c r="O41" s="38" t="s">
        <v>13</v>
      </c>
      <c r="P41" s="38" t="s">
        <v>14</v>
      </c>
      <c r="Q41" s="38" t="s">
        <v>15</v>
      </c>
      <c r="R41" s="38" t="s">
        <v>16</v>
      </c>
      <c r="S41" s="38" t="s">
        <v>17</v>
      </c>
      <c r="T41" s="38" t="s">
        <v>18</v>
      </c>
      <c r="U41" s="38" t="s">
        <v>19</v>
      </c>
    </row>
    <row r="42" spans="2:21" ht="53.5" customHeight="1">
      <c r="B42" s="39" t="s">
        <v>47</v>
      </c>
      <c r="C42" s="40" t="s">
        <v>38</v>
      </c>
      <c r="D42" s="40" t="s">
        <v>39</v>
      </c>
      <c r="F42" s="41" t="s">
        <v>46</v>
      </c>
      <c r="G42" s="42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4"/>
    </row>
    <row r="43" spans="2:21" ht="53.5" customHeight="1" thickBot="1">
      <c r="B43" s="45">
        <f>((COUNTA(G42:U42)-COUNTA(G44:U44)))*IF(T40=0,1,T40)</f>
        <v>0</v>
      </c>
      <c r="C43" s="46">
        <f>B43-D43</f>
        <v>0</v>
      </c>
      <c r="D43" s="46">
        <f>(COUNTA(G43:U43))*IF(T40=0,1,T40)</f>
        <v>0</v>
      </c>
      <c r="F43" s="41" t="s">
        <v>48</v>
      </c>
      <c r="G43" s="47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9"/>
    </row>
    <row r="44" spans="2:21" ht="35.5" customHeight="1">
      <c r="B44" s="155" t="s">
        <v>40</v>
      </c>
      <c r="C44" s="156"/>
      <c r="D44" s="50" t="s">
        <v>44</v>
      </c>
      <c r="F44" s="157" t="s">
        <v>50</v>
      </c>
      <c r="G44" s="151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8"/>
    </row>
    <row r="45" spans="2:21" ht="35.5" customHeight="1" thickBot="1">
      <c r="B45" s="160" t="str">
        <f>IF(B43=0,"",SUM(G46:U46)/B43/(100/IF($T40=0,1,T40)))</f>
        <v/>
      </c>
      <c r="C45" s="161"/>
      <c r="D45" s="51"/>
      <c r="F45" s="157"/>
      <c r="G45" s="152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9"/>
    </row>
    <row r="46" spans="2:21" s="54" customFormat="1" ht="32.5" hidden="1" customHeight="1">
      <c r="B46" s="52"/>
      <c r="C46" s="52"/>
      <c r="D46" s="53" t="e">
        <f>IF(B45&gt;=60,INT(B45/60)*100+(B45-INT(B45/60)*60),B45)*100</f>
        <v>#VALUE!</v>
      </c>
      <c r="F46" s="55"/>
      <c r="G46" s="56">
        <f t="shared" ref="G46:U46" si="8">IF(ISBLANK(G44),IF(G42&gt;10000,INT(G42/10000)*6000+((G42-INT(G42/10000)*10000)),G42),0)</f>
        <v>0</v>
      </c>
      <c r="H46" s="56">
        <f t="shared" si="8"/>
        <v>0</v>
      </c>
      <c r="I46" s="56">
        <f t="shared" si="8"/>
        <v>0</v>
      </c>
      <c r="J46" s="56">
        <f t="shared" si="8"/>
        <v>0</v>
      </c>
      <c r="K46" s="56">
        <f t="shared" si="8"/>
        <v>0</v>
      </c>
      <c r="L46" s="56">
        <f t="shared" si="8"/>
        <v>0</v>
      </c>
      <c r="M46" s="56">
        <f t="shared" si="8"/>
        <v>0</v>
      </c>
      <c r="N46" s="56">
        <f t="shared" si="8"/>
        <v>0</v>
      </c>
      <c r="O46" s="56">
        <f t="shared" si="8"/>
        <v>0</v>
      </c>
      <c r="P46" s="56">
        <f t="shared" si="8"/>
        <v>0</v>
      </c>
      <c r="Q46" s="56">
        <f t="shared" si="8"/>
        <v>0</v>
      </c>
      <c r="R46" s="56">
        <f t="shared" si="8"/>
        <v>0</v>
      </c>
      <c r="S46" s="56">
        <f t="shared" si="8"/>
        <v>0</v>
      </c>
      <c r="T46" s="56">
        <f t="shared" si="8"/>
        <v>0</v>
      </c>
      <c r="U46" s="56">
        <f t="shared" si="8"/>
        <v>0</v>
      </c>
    </row>
    <row r="47" spans="2:21" s="54" customFormat="1" ht="32.5" hidden="1" customHeight="1">
      <c r="B47" s="57"/>
      <c r="C47" s="57"/>
      <c r="D47" s="57"/>
      <c r="F47" s="55"/>
      <c r="G47" s="56">
        <f t="shared" ref="G47:U47" si="9">IF(G42&gt;10000,INT(G42/10000)*6000+((G42-INT(G42/10000)*10000)),G42)</f>
        <v>0</v>
      </c>
      <c r="H47" s="56">
        <f t="shared" si="9"/>
        <v>0</v>
      </c>
      <c r="I47" s="56">
        <f t="shared" si="9"/>
        <v>0</v>
      </c>
      <c r="J47" s="56">
        <f t="shared" si="9"/>
        <v>0</v>
      </c>
      <c r="K47" s="56">
        <f t="shared" si="9"/>
        <v>0</v>
      </c>
      <c r="L47" s="56">
        <f t="shared" si="9"/>
        <v>0</v>
      </c>
      <c r="M47" s="56">
        <f t="shared" si="9"/>
        <v>0</v>
      </c>
      <c r="N47" s="56">
        <f t="shared" si="9"/>
        <v>0</v>
      </c>
      <c r="O47" s="56">
        <f t="shared" si="9"/>
        <v>0</v>
      </c>
      <c r="P47" s="56">
        <f t="shared" si="9"/>
        <v>0</v>
      </c>
      <c r="Q47" s="56">
        <f t="shared" si="9"/>
        <v>0</v>
      </c>
      <c r="R47" s="56">
        <f t="shared" si="9"/>
        <v>0</v>
      </c>
      <c r="S47" s="56">
        <f t="shared" si="9"/>
        <v>0</v>
      </c>
      <c r="T47" s="56">
        <f t="shared" si="9"/>
        <v>0</v>
      </c>
      <c r="U47" s="56">
        <f t="shared" si="9"/>
        <v>0</v>
      </c>
    </row>
    <row r="48" spans="2:21" ht="35.5" customHeight="1" thickBot="1"/>
    <row r="49" spans="2:21" ht="30.5" customHeight="1" thickBot="1">
      <c r="B49" s="33">
        <v>6</v>
      </c>
      <c r="C49" s="33"/>
      <c r="E49" s="34"/>
      <c r="F49" s="34"/>
      <c r="G49" s="141" t="s">
        <v>21</v>
      </c>
      <c r="H49" s="142"/>
      <c r="I49" s="143">
        <f>SUM(G55:U55)/100/60+N49</f>
        <v>0</v>
      </c>
      <c r="J49" s="144"/>
      <c r="K49" s="35"/>
      <c r="L49" s="137" t="s">
        <v>45</v>
      </c>
      <c r="M49" s="138"/>
      <c r="N49" s="148">
        <f>(SUM(G56:U56)-SUM(G55:U55))/100/60</f>
        <v>0</v>
      </c>
      <c r="O49" s="149"/>
      <c r="R49" s="137" t="s">
        <v>37</v>
      </c>
      <c r="S49" s="138"/>
      <c r="T49" s="139"/>
      <c r="U49" s="140"/>
    </row>
    <row r="50" spans="2:21" ht="43" customHeight="1" thickBot="1">
      <c r="B50" s="36" t="s">
        <v>4</v>
      </c>
      <c r="C50" s="134"/>
      <c r="D50" s="134"/>
      <c r="F50" s="37"/>
      <c r="G50" s="38" t="s">
        <v>5</v>
      </c>
      <c r="H50" s="38" t="s">
        <v>6</v>
      </c>
      <c r="I50" s="38" t="s">
        <v>7</v>
      </c>
      <c r="J50" s="38" t="s">
        <v>8</v>
      </c>
      <c r="K50" s="38" t="s">
        <v>9</v>
      </c>
      <c r="L50" s="38" t="s">
        <v>10</v>
      </c>
      <c r="M50" s="38" t="s">
        <v>11</v>
      </c>
      <c r="N50" s="38" t="s">
        <v>12</v>
      </c>
      <c r="O50" s="38" t="s">
        <v>13</v>
      </c>
      <c r="P50" s="38" t="s">
        <v>14</v>
      </c>
      <c r="Q50" s="38" t="s">
        <v>15</v>
      </c>
      <c r="R50" s="38" t="s">
        <v>16</v>
      </c>
      <c r="S50" s="38" t="s">
        <v>17</v>
      </c>
      <c r="T50" s="38" t="s">
        <v>18</v>
      </c>
      <c r="U50" s="38" t="s">
        <v>19</v>
      </c>
    </row>
    <row r="51" spans="2:21" ht="53.5" customHeight="1">
      <c r="B51" s="39" t="s">
        <v>47</v>
      </c>
      <c r="C51" s="40" t="s">
        <v>38</v>
      </c>
      <c r="D51" s="40" t="s">
        <v>39</v>
      </c>
      <c r="F51" s="41" t="s">
        <v>46</v>
      </c>
      <c r="G51" s="42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4"/>
    </row>
    <row r="52" spans="2:21" ht="53.5" customHeight="1" thickBot="1">
      <c r="B52" s="45">
        <f>((COUNTA(G51:U51)-COUNTA(G53:U53)))*IF(T49=0,1,T49)</f>
        <v>0</v>
      </c>
      <c r="C52" s="46">
        <f>B52-D52</f>
        <v>0</v>
      </c>
      <c r="D52" s="46">
        <f>(COUNTA(G52:U52))*IF(T49=0,1,T49)</f>
        <v>0</v>
      </c>
      <c r="F52" s="41" t="s">
        <v>48</v>
      </c>
      <c r="G52" s="47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9"/>
    </row>
    <row r="53" spans="2:21" ht="35.5" customHeight="1">
      <c r="B53" s="155" t="s">
        <v>40</v>
      </c>
      <c r="C53" s="156"/>
      <c r="D53" s="50" t="s">
        <v>44</v>
      </c>
      <c r="F53" s="157" t="s">
        <v>50</v>
      </c>
      <c r="G53" s="151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8"/>
    </row>
    <row r="54" spans="2:21" ht="35.5" customHeight="1" thickBot="1">
      <c r="B54" s="160" t="str">
        <f>IF(B52=0,"",SUM(G55:U55)/B52/(100/IF($T49=0,1,T49)))</f>
        <v/>
      </c>
      <c r="C54" s="161"/>
      <c r="D54" s="51"/>
      <c r="F54" s="157"/>
      <c r="G54" s="152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9"/>
    </row>
    <row r="55" spans="2:21" s="54" customFormat="1" ht="32.5" hidden="1" customHeight="1">
      <c r="B55" s="52"/>
      <c r="C55" s="52"/>
      <c r="D55" s="53" t="e">
        <f>IF(B54&gt;=60,INT(B54/60)*100+(B54-INT(B54/60)*60),B54)*100</f>
        <v>#VALUE!</v>
      </c>
      <c r="F55" s="55"/>
      <c r="G55" s="56">
        <f t="shared" ref="G55:U55" si="10">IF(ISBLANK(G53),IF(G51&gt;10000,INT(G51/10000)*6000+((G51-INT(G51/10000)*10000)),G51),0)</f>
        <v>0</v>
      </c>
      <c r="H55" s="56">
        <f t="shared" si="10"/>
        <v>0</v>
      </c>
      <c r="I55" s="56">
        <f t="shared" si="10"/>
        <v>0</v>
      </c>
      <c r="J55" s="56">
        <f t="shared" si="10"/>
        <v>0</v>
      </c>
      <c r="K55" s="56">
        <f t="shared" si="10"/>
        <v>0</v>
      </c>
      <c r="L55" s="56">
        <f t="shared" si="10"/>
        <v>0</v>
      </c>
      <c r="M55" s="56">
        <f t="shared" si="10"/>
        <v>0</v>
      </c>
      <c r="N55" s="56">
        <f t="shared" si="10"/>
        <v>0</v>
      </c>
      <c r="O55" s="56">
        <f t="shared" si="10"/>
        <v>0</v>
      </c>
      <c r="P55" s="56">
        <f t="shared" si="10"/>
        <v>0</v>
      </c>
      <c r="Q55" s="56">
        <f t="shared" si="10"/>
        <v>0</v>
      </c>
      <c r="R55" s="56">
        <f t="shared" si="10"/>
        <v>0</v>
      </c>
      <c r="S55" s="56">
        <f t="shared" si="10"/>
        <v>0</v>
      </c>
      <c r="T55" s="56">
        <f t="shared" si="10"/>
        <v>0</v>
      </c>
      <c r="U55" s="56">
        <f t="shared" si="10"/>
        <v>0</v>
      </c>
    </row>
    <row r="56" spans="2:21" s="54" customFormat="1" ht="32.5" hidden="1" customHeight="1">
      <c r="B56" s="57"/>
      <c r="C56" s="57"/>
      <c r="D56" s="57"/>
      <c r="F56" s="55"/>
      <c r="G56" s="56">
        <f t="shared" ref="G56:U56" si="11">IF(G51&gt;10000,INT(G51/10000)*6000+((G51-INT(G51/10000)*10000)),G51)</f>
        <v>0</v>
      </c>
      <c r="H56" s="56">
        <f t="shared" si="11"/>
        <v>0</v>
      </c>
      <c r="I56" s="56">
        <f t="shared" si="11"/>
        <v>0</v>
      </c>
      <c r="J56" s="56">
        <f t="shared" si="11"/>
        <v>0</v>
      </c>
      <c r="K56" s="56">
        <f t="shared" si="11"/>
        <v>0</v>
      </c>
      <c r="L56" s="56">
        <f t="shared" si="11"/>
        <v>0</v>
      </c>
      <c r="M56" s="56">
        <f t="shared" si="11"/>
        <v>0</v>
      </c>
      <c r="N56" s="56">
        <f t="shared" si="11"/>
        <v>0</v>
      </c>
      <c r="O56" s="56">
        <f t="shared" si="11"/>
        <v>0</v>
      </c>
      <c r="P56" s="56">
        <f t="shared" si="11"/>
        <v>0</v>
      </c>
      <c r="Q56" s="56">
        <f t="shared" si="11"/>
        <v>0</v>
      </c>
      <c r="R56" s="56">
        <f t="shared" si="11"/>
        <v>0</v>
      </c>
      <c r="S56" s="56">
        <f t="shared" si="11"/>
        <v>0</v>
      </c>
      <c r="T56" s="56">
        <f t="shared" si="11"/>
        <v>0</v>
      </c>
      <c r="U56" s="56">
        <f t="shared" si="11"/>
        <v>0</v>
      </c>
    </row>
    <row r="58" spans="2:21" ht="28.5" customHeight="1">
      <c r="B58" s="135" t="s">
        <v>34</v>
      </c>
      <c r="C58" s="136"/>
      <c r="D58" s="29" t="s">
        <v>35</v>
      </c>
    </row>
  </sheetData>
  <sheetProtection algorithmName="SHA-512" hashValue="PoVyfPQ6u0SOuvPGnynbbpr4fX8xtx5GasHCY0Fk0vh0RIr4lKECxxVvZVaVQ52fevLe1SFm7okYO1BFVG23Ug==" saltValue="XOfu0CNvLx0q1dBbLMAytg==" spinCount="100000" sheet="1" objects="1" scenarios="1"/>
  <mergeCells count="155">
    <mergeCell ref="S53:S54"/>
    <mergeCell ref="T53:T54"/>
    <mergeCell ref="U53:U54"/>
    <mergeCell ref="B54:C54"/>
    <mergeCell ref="N53:N54"/>
    <mergeCell ref="O53:O54"/>
    <mergeCell ref="P53:P54"/>
    <mergeCell ref="Q53:Q54"/>
    <mergeCell ref="R53:R54"/>
    <mergeCell ref="I53:I54"/>
    <mergeCell ref="J53:J54"/>
    <mergeCell ref="K53:K54"/>
    <mergeCell ref="L53:L54"/>
    <mergeCell ref="M53:M54"/>
    <mergeCell ref="C50:D50"/>
    <mergeCell ref="B53:C53"/>
    <mergeCell ref="F53:F54"/>
    <mergeCell ref="G53:G54"/>
    <mergeCell ref="H53:H54"/>
    <mergeCell ref="S44:S45"/>
    <mergeCell ref="T44:T45"/>
    <mergeCell ref="U44:U45"/>
    <mergeCell ref="B45:C45"/>
    <mergeCell ref="G49:H49"/>
    <mergeCell ref="I49:J49"/>
    <mergeCell ref="L49:M49"/>
    <mergeCell ref="N49:O49"/>
    <mergeCell ref="R49:S49"/>
    <mergeCell ref="T49:U49"/>
    <mergeCell ref="N44:N45"/>
    <mergeCell ref="O44:O45"/>
    <mergeCell ref="P44:P45"/>
    <mergeCell ref="Q44:Q45"/>
    <mergeCell ref="R44:R45"/>
    <mergeCell ref="I44:I45"/>
    <mergeCell ref="J44:J45"/>
    <mergeCell ref="K44:K45"/>
    <mergeCell ref="L44:L45"/>
    <mergeCell ref="M44:M45"/>
    <mergeCell ref="C41:D41"/>
    <mergeCell ref="B44:C44"/>
    <mergeCell ref="F44:F45"/>
    <mergeCell ref="G44:G45"/>
    <mergeCell ref="H44:H45"/>
    <mergeCell ref="S35:S36"/>
    <mergeCell ref="T35:T36"/>
    <mergeCell ref="U35:U36"/>
    <mergeCell ref="B36:C36"/>
    <mergeCell ref="G40:H40"/>
    <mergeCell ref="I40:J40"/>
    <mergeCell ref="L40:M40"/>
    <mergeCell ref="N40:O40"/>
    <mergeCell ref="R40:S40"/>
    <mergeCell ref="T40:U40"/>
    <mergeCell ref="N35:N36"/>
    <mergeCell ref="O35:O36"/>
    <mergeCell ref="P35:P36"/>
    <mergeCell ref="Q35:Q36"/>
    <mergeCell ref="R35:R36"/>
    <mergeCell ref="I35:I36"/>
    <mergeCell ref="J35:J36"/>
    <mergeCell ref="K35:K36"/>
    <mergeCell ref="L35:L36"/>
    <mergeCell ref="M35:M36"/>
    <mergeCell ref="C32:D32"/>
    <mergeCell ref="B35:C35"/>
    <mergeCell ref="F35:F36"/>
    <mergeCell ref="G35:G36"/>
    <mergeCell ref="H35:H36"/>
    <mergeCell ref="T13:U13"/>
    <mergeCell ref="G31:H31"/>
    <mergeCell ref="I31:J31"/>
    <mergeCell ref="L31:M31"/>
    <mergeCell ref="N31:O31"/>
    <mergeCell ref="R31:S31"/>
    <mergeCell ref="T31:U31"/>
    <mergeCell ref="G13:H13"/>
    <mergeCell ref="I13:J13"/>
    <mergeCell ref="L13:M13"/>
    <mergeCell ref="N13:O13"/>
    <mergeCell ref="R13:S13"/>
    <mergeCell ref="S26:S27"/>
    <mergeCell ref="T26:T27"/>
    <mergeCell ref="U26:U27"/>
    <mergeCell ref="B27:C27"/>
    <mergeCell ref="G22:H22"/>
    <mergeCell ref="N26:N27"/>
    <mergeCell ref="O26:O27"/>
    <mergeCell ref="P26:P27"/>
    <mergeCell ref="Q26:Q27"/>
    <mergeCell ref="R26:R27"/>
    <mergeCell ref="I26:I27"/>
    <mergeCell ref="J26:J27"/>
    <mergeCell ref="K26:K27"/>
    <mergeCell ref="L26:L27"/>
    <mergeCell ref="M26:M27"/>
    <mergeCell ref="C23:D23"/>
    <mergeCell ref="B26:C26"/>
    <mergeCell ref="F26:F27"/>
    <mergeCell ref="G26:G27"/>
    <mergeCell ref="H26:H27"/>
    <mergeCell ref="S17:S18"/>
    <mergeCell ref="T17:T18"/>
    <mergeCell ref="U17:U18"/>
    <mergeCell ref="B18:C18"/>
    <mergeCell ref="N17:N18"/>
    <mergeCell ref="O17:O18"/>
    <mergeCell ref="P17:P18"/>
    <mergeCell ref="Q17:Q18"/>
    <mergeCell ref="R17:R18"/>
    <mergeCell ref="I17:I18"/>
    <mergeCell ref="J17:J18"/>
    <mergeCell ref="K17:K18"/>
    <mergeCell ref="L17:L18"/>
    <mergeCell ref="M17:M18"/>
    <mergeCell ref="I22:J22"/>
    <mergeCell ref="L22:M22"/>
    <mergeCell ref="N22:O22"/>
    <mergeCell ref="R22:S22"/>
    <mergeCell ref="T22:U22"/>
    <mergeCell ref="F8:F9"/>
    <mergeCell ref="P8:P9"/>
    <mergeCell ref="Q8:Q9"/>
    <mergeCell ref="R8:R9"/>
    <mergeCell ref="S8:S9"/>
    <mergeCell ref="T8:T9"/>
    <mergeCell ref="K8:K9"/>
    <mergeCell ref="L8:L9"/>
    <mergeCell ref="M8:M9"/>
    <mergeCell ref="N8:N9"/>
    <mergeCell ref="O8:O9"/>
    <mergeCell ref="C2:E2"/>
    <mergeCell ref="C5:D5"/>
    <mergeCell ref="B58:C58"/>
    <mergeCell ref="R4:S4"/>
    <mergeCell ref="T4:U4"/>
    <mergeCell ref="G4:H4"/>
    <mergeCell ref="I4:J4"/>
    <mergeCell ref="I2:M2"/>
    <mergeCell ref="N4:O4"/>
    <mergeCell ref="L4:M4"/>
    <mergeCell ref="R2:U2"/>
    <mergeCell ref="G2:H2"/>
    <mergeCell ref="G8:G9"/>
    <mergeCell ref="H8:H9"/>
    <mergeCell ref="I8:I9"/>
    <mergeCell ref="J8:J9"/>
    <mergeCell ref="C14:D14"/>
    <mergeCell ref="B17:C17"/>
    <mergeCell ref="F17:F18"/>
    <mergeCell ref="G17:G18"/>
    <mergeCell ref="H17:H18"/>
    <mergeCell ref="U8:U9"/>
    <mergeCell ref="B8:C8"/>
    <mergeCell ref="B9:C9"/>
  </mergeCells>
  <phoneticPr fontId="9" type="noConversion"/>
  <conditionalFormatting sqref="B9">
    <cfRule type="cellIs" dxfId="198" priority="880" operator="notEqual">
      <formula>""</formula>
    </cfRule>
    <cfRule type="expression" dxfId="197" priority="879">
      <formula>AND(D9&lt;&gt;"", B9&gt;D9)</formula>
    </cfRule>
  </conditionalFormatting>
  <conditionalFormatting sqref="B18">
    <cfRule type="expression" dxfId="196" priority="9">
      <formula>AND(D18&lt;&gt;"", B18&gt;D18)</formula>
    </cfRule>
    <cfRule type="cellIs" dxfId="195" priority="10" operator="notEqual">
      <formula>""</formula>
    </cfRule>
  </conditionalFormatting>
  <conditionalFormatting sqref="B27">
    <cfRule type="cellIs" dxfId="194" priority="8" operator="notEqual">
      <formula>""</formula>
    </cfRule>
    <cfRule type="expression" dxfId="193" priority="7">
      <formula>AND(D27&lt;&gt;"", B27&gt;D27)</formula>
    </cfRule>
  </conditionalFormatting>
  <conditionalFormatting sqref="B36">
    <cfRule type="expression" dxfId="192" priority="5">
      <formula>AND(D36&lt;&gt;"", B36&gt;D36)</formula>
    </cfRule>
    <cfRule type="cellIs" dxfId="191" priority="6" operator="notEqual">
      <formula>""</formula>
    </cfRule>
  </conditionalFormatting>
  <conditionalFormatting sqref="B45">
    <cfRule type="expression" dxfId="190" priority="3">
      <formula>AND(D45&lt;&gt;"", B45&gt;D45)</formula>
    </cfRule>
    <cfRule type="cellIs" dxfId="189" priority="4" operator="notEqual">
      <formula>""</formula>
    </cfRule>
  </conditionalFormatting>
  <conditionalFormatting sqref="B54">
    <cfRule type="cellIs" dxfId="188" priority="2" operator="notEqual">
      <formula>""</formula>
    </cfRule>
    <cfRule type="expression" dxfId="187" priority="1">
      <formula>AND(D54&lt;&gt;"", B54&gt;D54)</formula>
    </cfRule>
  </conditionalFormatting>
  <conditionalFormatting sqref="B58">
    <cfRule type="cellIs" dxfId="186" priority="376" operator="greaterThan">
      <formula>#REF!</formula>
    </cfRule>
  </conditionalFormatting>
  <conditionalFormatting sqref="C7">
    <cfRule type="cellIs" dxfId="185" priority="314" operator="notEqual">
      <formula>0</formula>
    </cfRule>
  </conditionalFormatting>
  <conditionalFormatting sqref="C16">
    <cfRule type="cellIs" dxfId="184" priority="118" operator="notEqual">
      <formula>0</formula>
    </cfRule>
  </conditionalFormatting>
  <conditionalFormatting sqref="C25">
    <cfRule type="cellIs" dxfId="183" priority="108" operator="notEqual">
      <formula>0</formula>
    </cfRule>
  </conditionalFormatting>
  <conditionalFormatting sqref="C34">
    <cfRule type="cellIs" dxfId="182" priority="98" operator="notEqual">
      <formula>0</formula>
    </cfRule>
  </conditionalFormatting>
  <conditionalFormatting sqref="C43">
    <cfRule type="cellIs" dxfId="181" priority="88" operator="notEqual">
      <formula>0</formula>
    </cfRule>
  </conditionalFormatting>
  <conditionalFormatting sqref="C52">
    <cfRule type="cellIs" dxfId="180" priority="78" operator="notEqual">
      <formula>0</formula>
    </cfRule>
  </conditionalFormatting>
  <conditionalFormatting sqref="D7">
    <cfRule type="cellIs" dxfId="179" priority="150" operator="notEqual">
      <formula>0</formula>
    </cfRule>
  </conditionalFormatting>
  <conditionalFormatting sqref="D16">
    <cfRule type="cellIs" dxfId="178" priority="117" operator="notEqual">
      <formula>0</formula>
    </cfRule>
  </conditionalFormatting>
  <conditionalFormatting sqref="D25">
    <cfRule type="cellIs" dxfId="177" priority="107" operator="notEqual">
      <formula>0</formula>
    </cfRule>
  </conditionalFormatting>
  <conditionalFormatting sqref="D34">
    <cfRule type="cellIs" dxfId="176" priority="97" operator="notEqual">
      <formula>0</formula>
    </cfRule>
  </conditionalFormatting>
  <conditionalFormatting sqref="D43">
    <cfRule type="cellIs" dxfId="175" priority="87" operator="notEqual">
      <formula>0</formula>
    </cfRule>
  </conditionalFormatting>
  <conditionalFormatting sqref="D52">
    <cfRule type="cellIs" dxfId="174" priority="77" operator="notEqual">
      <formula>0</formula>
    </cfRule>
  </conditionalFormatting>
  <conditionalFormatting sqref="G6:U6">
    <cfRule type="expression" dxfId="173" priority="146">
      <formula>AND(ISBLANK(G8), G6&gt;$D10)</formula>
    </cfRule>
    <cfRule type="expression" dxfId="172" priority="145">
      <formula>G8&lt;&gt;""</formula>
    </cfRule>
  </conditionalFormatting>
  <conditionalFormatting sqref="G7:U8">
    <cfRule type="cellIs" dxfId="171" priority="467" operator="notEqual">
      <formula>0</formula>
    </cfRule>
  </conditionalFormatting>
  <conditionalFormatting sqref="G15:U15">
    <cfRule type="expression" dxfId="170" priority="116">
      <formula>AND(ISBLANK(G17), G15&gt;$D19)</formula>
    </cfRule>
    <cfRule type="expression" dxfId="169" priority="115">
      <formula>G17&lt;&gt;""</formula>
    </cfRule>
  </conditionalFormatting>
  <conditionalFormatting sqref="G16:U17">
    <cfRule type="cellIs" dxfId="168" priority="120" operator="notEqual">
      <formula>0</formula>
    </cfRule>
  </conditionalFormatting>
  <conditionalFormatting sqref="G24:U24">
    <cfRule type="expression" dxfId="167" priority="105">
      <formula>G26&lt;&gt;""</formula>
    </cfRule>
    <cfRule type="expression" dxfId="166" priority="106">
      <formula>AND(ISBLANK(G26), G24&gt;$D28)</formula>
    </cfRule>
  </conditionalFormatting>
  <conditionalFormatting sqref="G25:U26">
    <cfRule type="cellIs" dxfId="165" priority="110" operator="notEqual">
      <formula>0</formula>
    </cfRule>
  </conditionalFormatting>
  <conditionalFormatting sqref="G33:U33">
    <cfRule type="expression" dxfId="164" priority="95">
      <formula>G35&lt;&gt;""</formula>
    </cfRule>
    <cfRule type="expression" dxfId="163" priority="96">
      <formula>AND(ISBLANK(G35), G33&gt;$D37)</formula>
    </cfRule>
  </conditionalFormatting>
  <conditionalFormatting sqref="G34:U35">
    <cfRule type="cellIs" dxfId="162" priority="100" operator="notEqual">
      <formula>0</formula>
    </cfRule>
  </conditionalFormatting>
  <conditionalFormatting sqref="G42:U42">
    <cfRule type="expression" dxfId="161" priority="85">
      <formula>G44&lt;&gt;""</formula>
    </cfRule>
    <cfRule type="expression" dxfId="160" priority="86">
      <formula>AND(ISBLANK(G44), G42&gt;$D46)</formula>
    </cfRule>
  </conditionalFormatting>
  <conditionalFormatting sqref="G43:U44">
    <cfRule type="cellIs" dxfId="159" priority="90" operator="notEqual">
      <formula>0</formula>
    </cfRule>
  </conditionalFormatting>
  <conditionalFormatting sqref="G51:U51">
    <cfRule type="expression" dxfId="158" priority="76">
      <formula>AND(ISBLANK(G53), G51&gt;$D55)</formula>
    </cfRule>
    <cfRule type="expression" dxfId="157" priority="75">
      <formula>G53&lt;&gt;""</formula>
    </cfRule>
  </conditionalFormatting>
  <conditionalFormatting sqref="G52:U53">
    <cfRule type="cellIs" dxfId="156" priority="80" operator="notEqual">
      <formula>0</formula>
    </cfRule>
  </conditionalFormatting>
  <conditionalFormatting sqref="I4">
    <cfRule type="cellIs" dxfId="155" priority="471" operator="notEqual">
      <formula>0</formula>
    </cfRule>
  </conditionalFormatting>
  <conditionalFormatting sqref="I13">
    <cfRule type="cellIs" dxfId="154" priority="121" operator="notEqual">
      <formula>0</formula>
    </cfRule>
  </conditionalFormatting>
  <conditionalFormatting sqref="I22">
    <cfRule type="cellIs" dxfId="153" priority="111" operator="notEqual">
      <formula>0</formula>
    </cfRule>
  </conditionalFormatting>
  <conditionalFormatting sqref="I31">
    <cfRule type="cellIs" dxfId="152" priority="101" operator="notEqual">
      <formula>0</formula>
    </cfRule>
  </conditionalFormatting>
  <conditionalFormatting sqref="I40">
    <cfRule type="cellIs" dxfId="151" priority="91" operator="notEqual">
      <formula>0</formula>
    </cfRule>
  </conditionalFormatting>
  <conditionalFormatting sqref="I49">
    <cfRule type="cellIs" dxfId="150" priority="81" operator="notEqual">
      <formula>0</formula>
    </cfRule>
  </conditionalFormatting>
  <conditionalFormatting sqref="N4">
    <cfRule type="cellIs" dxfId="149" priority="553" operator="notEqual">
      <formula>0</formula>
    </cfRule>
  </conditionalFormatting>
  <conditionalFormatting sqref="N13">
    <cfRule type="cellIs" dxfId="148" priority="122" operator="notEqual">
      <formula>0</formula>
    </cfRule>
  </conditionalFormatting>
  <conditionalFormatting sqref="N22">
    <cfRule type="cellIs" dxfId="147" priority="112" operator="notEqual">
      <formula>0</formula>
    </cfRule>
  </conditionalFormatting>
  <conditionalFormatting sqref="N31">
    <cfRule type="cellIs" dxfId="146" priority="102" operator="notEqual">
      <formula>0</formula>
    </cfRule>
  </conditionalFormatting>
  <conditionalFormatting sqref="N40">
    <cfRule type="cellIs" dxfId="145" priority="92" operator="notEqual">
      <formula>0</formula>
    </cfRule>
  </conditionalFormatting>
  <conditionalFormatting sqref="N49">
    <cfRule type="cellIs" dxfId="144" priority="82" operator="notEqual">
      <formula>0</formula>
    </cfRule>
  </conditionalFormatting>
  <conditionalFormatting sqref="T4">
    <cfRule type="cellIs" dxfId="143" priority="375" stopIfTrue="1" operator="notEqual">
      <formula>0</formula>
    </cfRule>
  </conditionalFormatting>
  <conditionalFormatting sqref="T13">
    <cfRule type="cellIs" dxfId="142" priority="119" stopIfTrue="1" operator="notEqual">
      <formula>0</formula>
    </cfRule>
  </conditionalFormatting>
  <conditionalFormatting sqref="T22">
    <cfRule type="cellIs" dxfId="141" priority="109" stopIfTrue="1" operator="notEqual">
      <formula>0</formula>
    </cfRule>
  </conditionalFormatting>
  <conditionalFormatting sqref="T31">
    <cfRule type="cellIs" dxfId="140" priority="99" stopIfTrue="1" operator="notEqual">
      <formula>0</formula>
    </cfRule>
  </conditionalFormatting>
  <conditionalFormatting sqref="T40">
    <cfRule type="cellIs" dxfId="139" priority="89" stopIfTrue="1" operator="notEqual">
      <formula>0</formula>
    </cfRule>
  </conditionalFormatting>
  <conditionalFormatting sqref="T49">
    <cfRule type="cellIs" dxfId="138" priority="79" stopIfTrue="1" operator="notEqual">
      <formula>0</formula>
    </cfRule>
  </conditionalFormatting>
  <dataValidations xWindow="866" yWindow="640" count="2">
    <dataValidation type="list" showInputMessage="1" showErrorMessage="1" sqref="G8:U8 G17:U17 G26:U26 G35:U35 G44:U44 G53:U53" xr:uid="{9B9DB906-3844-4095-8D48-B7E8FE3CE9E1}">
      <formula1>"✔"</formula1>
    </dataValidation>
    <dataValidation type="list" showInputMessage="1" showErrorMessage="1" sqref="G7:U7 G16:U16 G25:U25 G34:U34 G43:U43 G52:U52" xr:uid="{5EA5808D-D519-4E3C-AAF5-E556E17F9693}">
      <formula1>"N"</formula1>
    </dataValidation>
  </dataValidations>
  <pageMargins left="0.23622047244094491" right="0.19685039370078741" top="0.59055118110236227" bottom="0.19685039370078741" header="0.19685039370078741" footer="0.19685039370078741"/>
  <pageSetup paperSize="9" scale="27" fitToHeight="0" orientation="portrait" verticalDpi="0" r:id="rId1"/>
  <headerFooter>
    <oddHeader>&amp;L&amp;"Audi Type Extended,常规"&amp;18&amp;K000000Audi China  C/OP-5&amp;R&amp;G</oddHeader>
    <oddFooter>&amp;L_x000D_&amp;1#&amp;"Calibri"&amp;10&amp;K000000 Internal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3"/>
  <sheetViews>
    <sheetView showGridLines="0" showZeros="0" tabSelected="1" view="pageBreakPreview" topLeftCell="A34" zoomScale="70" zoomScaleNormal="85" zoomScaleSheetLayoutView="70" zoomScalePageLayoutView="25" workbookViewId="0">
      <selection activeCell="J44" sqref="J44:K44"/>
    </sheetView>
  </sheetViews>
  <sheetFormatPr defaultColWidth="8.7265625" defaultRowHeight="14" outlineLevelRow="1"/>
  <cols>
    <col min="1" max="1" width="0.54296875" style="7" customWidth="1"/>
    <col min="2" max="2" width="19" style="7" bestFit="1" customWidth="1"/>
    <col min="3" max="3" width="21.453125" style="7" customWidth="1"/>
    <col min="4" max="4" width="2.453125" style="7" customWidth="1"/>
    <col min="5" max="5" width="34.6328125" style="7" customWidth="1"/>
    <col min="6" max="25" width="12.90625" style="7" customWidth="1"/>
    <col min="26" max="26" width="2.90625" style="7" customWidth="1"/>
    <col min="27" max="16384" width="8.7265625" style="7"/>
  </cols>
  <sheetData>
    <row r="1" spans="2:25" ht="18.5" customHeight="1"/>
    <row r="2" spans="2:25" ht="40.5" customHeight="1">
      <c r="B2" s="62" t="s">
        <v>66</v>
      </c>
    </row>
    <row r="3" spans="2:25" ht="18.5" customHeight="1" thickBot="1"/>
    <row r="4" spans="2:25" s="8" customFormat="1" ht="41" customHeight="1" thickBot="1">
      <c r="B4" s="63" t="s">
        <v>36</v>
      </c>
      <c r="C4" s="205" t="s">
        <v>116</v>
      </c>
      <c r="D4" s="206"/>
      <c r="E4" s="207"/>
      <c r="F4" s="200" t="s">
        <v>0</v>
      </c>
      <c r="G4" s="200"/>
      <c r="H4" s="201" t="s">
        <v>119</v>
      </c>
      <c r="I4" s="202"/>
      <c r="J4" s="202"/>
      <c r="K4" s="202"/>
      <c r="L4" s="203"/>
      <c r="M4" s="64"/>
      <c r="N4" s="64"/>
      <c r="O4" s="200" t="s">
        <v>1</v>
      </c>
      <c r="P4" s="204"/>
      <c r="Q4" s="201" t="s">
        <v>117</v>
      </c>
      <c r="R4" s="202"/>
      <c r="S4" s="202"/>
      <c r="T4" s="202"/>
      <c r="U4" s="203"/>
    </row>
    <row r="5" spans="2:25" ht="29.5" hidden="1" customHeight="1" outlineLevel="1" thickBot="1">
      <c r="B5" s="65"/>
      <c r="C5" s="66"/>
      <c r="E5" s="2"/>
      <c r="F5" s="67"/>
      <c r="G5" s="68"/>
      <c r="H5" s="2"/>
      <c r="I5" s="69"/>
      <c r="J5" s="69"/>
      <c r="K5" s="2"/>
      <c r="L5" s="70"/>
      <c r="M5" s="2"/>
      <c r="N5" s="2"/>
      <c r="O5" s="2"/>
      <c r="P5" s="2"/>
      <c r="Q5" s="2"/>
      <c r="R5" s="2"/>
      <c r="S5" s="2"/>
      <c r="T5" s="2"/>
      <c r="U5" s="2"/>
      <c r="V5" s="71"/>
    </row>
    <row r="6" spans="2:25" ht="27.5" hidden="1" customHeight="1" outlineLevel="1">
      <c r="B6" s="72">
        <v>1</v>
      </c>
      <c r="F6" s="73" t="s">
        <v>2</v>
      </c>
      <c r="G6" s="74" t="s">
        <v>3</v>
      </c>
      <c r="H6" s="75"/>
      <c r="I6" s="176" t="s">
        <v>21</v>
      </c>
      <c r="J6" s="177"/>
      <c r="K6" s="75"/>
      <c r="L6" s="176" t="s">
        <v>85</v>
      </c>
      <c r="M6" s="177"/>
      <c r="N6" s="75"/>
      <c r="O6" s="176" t="s">
        <v>84</v>
      </c>
      <c r="P6" s="177"/>
      <c r="R6" s="180" t="s">
        <v>88</v>
      </c>
      <c r="S6" s="181"/>
      <c r="T6" s="182" t="s">
        <v>87</v>
      </c>
      <c r="U6" s="183"/>
      <c r="W6" s="75"/>
      <c r="X6" s="184" t="s">
        <v>37</v>
      </c>
      <c r="Y6" s="185"/>
    </row>
    <row r="7" spans="2:25" ht="36.5" hidden="1" customHeight="1" outlineLevel="1" thickBot="1">
      <c r="B7" s="65" t="s">
        <v>4</v>
      </c>
      <c r="C7" s="76" t="s">
        <v>118</v>
      </c>
      <c r="F7" s="77">
        <f>F12</f>
        <v>1.5902777777777777</v>
      </c>
      <c r="G7" s="78">
        <f>IF(Y25&lt;&gt;0,Y25,IF(W25&lt;&gt;0,W25,IF(U25&lt;&gt;0,U25,IF(S25&lt;&gt;0,S25,IF(Q25&lt;&gt;0,Q25,IF(O25&lt;&gt;0,O25,IF(M25&lt;&gt;0,M25,IF(K25&lt;&gt;0,K25,IF(I25&lt;&gt;0,I25,IF(G25&lt;&gt;0,G25,IF(Y12&lt;&gt;0,Y12,IF(W12&lt;&gt;0,W12,IF(U12&lt;&gt;0,U12,IF(S12&lt;&gt;0,S12,IF(Q12&lt;&gt;0,Q12,IF(O12&lt;&gt;0,O12,IF(M12&lt;&gt;0,M12,IF(K12&lt;&gt;0,K12,IF(I12&lt;&gt;0,I12,G12)))))))))))))))))))</f>
        <v>2.6111111111111112</v>
      </c>
      <c r="I7" s="186">
        <f>SUM(F20:Y20,F33:Y33)*1440</f>
        <v>1470.0000000000002</v>
      </c>
      <c r="J7" s="187"/>
      <c r="L7" s="188">
        <f>(IF(R13=0,0,R20)+IF(P13=0,0,P20)+IF(N13=0,0,N20)+IF(L13=0,0,L20)+IF(J13=0,0,J20)+IF(H13=0,0,H20)+IF(T13=0,0,T20)+IF(F13=0,0,F20)+IF(V13=0,0,V20)+IF(X13=0,0,X20)+IF(F26=0,0,F33)+IF(H26=0,0,H33)+IF(J26=0,0,J33)+IF(L26=0,0,L33)+IF(N26=0,0,N33)+IF(P26=0,0,P33)+IF(R26=0,0,R33)+IF(T26=0,0,T33)+IF(V26=0,0,V33)+IF(X26=0,0,X33))*1440</f>
        <v>129.99999999999858</v>
      </c>
      <c r="M7" s="189"/>
      <c r="O7" s="188">
        <f>(IF(R14=0,0,R20)+IF(P14=0,0,P20)+IF(N14=0,0,N20)+IF(L14=0,0,L20)+IF(J14=0,0,J20)+IF(H14=0,0,H20)+IF(T14=0,0,T20)+IF(F14=0,0,F20)+IF(V14=0,0,V20)+IF(X14=0,0,X20)+IF(F27=0,0,F33)+IF(H27=0,0,H33)+IF(J27=0,0,J33)+IF(L27=0,0,L33)+IF(N27=0,0,N33)+IF(P27=0,0,P33)+IF(R27=0,0,R33)+IF(T27=0,0,T33)+IF(V27=0,0,V33)+IF(X27=0,0,X33))*1440</f>
        <v>290.00000000000057</v>
      </c>
      <c r="P7" s="189"/>
      <c r="R7" s="190">
        <f>(IF(R15=0,0,R20)+IF(P15=0,0,P20)+IF(N15=0,0,N20)+IF(L15=0,0,L20)+IF(J15=0,0,J20)+IF(H15=0,0,H20)+IF(T15=0,0,T20)+IF(F15=0,0,F20)+IF(V15=0,0,V20)+IF(X15=0,0,X20)+IF(F28=0,0,F33)+IF(H28=0,0,H33)+IF(J28=0,0,J33)+IF(L28=0,0,L33)+IF(N28=0,0,N33)+IF(P28=0,0,P33)+IF(R28=0,0,R33)+IF(T28=0,0,T33)+IF(V28=0,0,V33)+IF(X28=0,0,X33))*1440</f>
        <v>34.999999999999716</v>
      </c>
      <c r="S7" s="191"/>
      <c r="T7" s="192">
        <f>(I7-L7-O7)-(IF(B12="",MIN(G10,I10,K10,M10,O10,Q10,S10,U10,W10,Y10,G23,I23,K23,M23,O23,Q23,S23,U23,W23,Y23),B12)/60*(B16/IF($X7=0,1,$X7)))</f>
        <v>126.47500000000093</v>
      </c>
      <c r="U7" s="193"/>
      <c r="X7" s="194"/>
      <c r="Y7" s="195"/>
    </row>
    <row r="8" spans="2:25" ht="11.5" hidden="1" customHeight="1" outlineLevel="1" thickBot="1">
      <c r="B8" s="65"/>
      <c r="C8" s="66"/>
      <c r="E8" s="2"/>
      <c r="F8" s="67"/>
      <c r="G8" s="68"/>
      <c r="H8" s="2"/>
      <c r="I8" s="69"/>
      <c r="J8" s="69"/>
      <c r="K8" s="2"/>
      <c r="L8" s="70"/>
      <c r="M8" s="2"/>
      <c r="N8" s="2"/>
      <c r="O8" s="2"/>
      <c r="P8" s="2"/>
      <c r="Q8" s="2"/>
      <c r="R8" s="2"/>
      <c r="S8" s="2"/>
      <c r="T8" s="2"/>
      <c r="U8" s="2"/>
      <c r="V8" s="71"/>
    </row>
    <row r="9" spans="2:25" ht="32" hidden="1" customHeight="1" outlineLevel="1">
      <c r="B9" s="176" t="s">
        <v>40</v>
      </c>
      <c r="C9" s="177"/>
      <c r="F9" s="170" t="s">
        <v>41</v>
      </c>
      <c r="G9" s="171"/>
      <c r="H9" s="170" t="s">
        <v>42</v>
      </c>
      <c r="I9" s="171"/>
      <c r="J9" s="170" t="s">
        <v>27</v>
      </c>
      <c r="K9" s="171"/>
      <c r="L9" s="170" t="s">
        <v>28</v>
      </c>
      <c r="M9" s="171"/>
      <c r="N9" s="170" t="s">
        <v>29</v>
      </c>
      <c r="O9" s="171"/>
      <c r="P9" s="170" t="s">
        <v>30</v>
      </c>
      <c r="Q9" s="171"/>
      <c r="R9" s="170" t="s">
        <v>31</v>
      </c>
      <c r="S9" s="171"/>
      <c r="T9" s="170" t="s">
        <v>32</v>
      </c>
      <c r="U9" s="171"/>
      <c r="V9" s="170" t="s">
        <v>51</v>
      </c>
      <c r="W9" s="171"/>
      <c r="X9" s="170" t="s">
        <v>52</v>
      </c>
      <c r="Y9" s="171"/>
    </row>
    <row r="10" spans="2:25" s="83" customFormat="1" ht="32" hidden="1" customHeight="1" outlineLevel="1" thickBot="1">
      <c r="B10" s="198">
        <f>IF(SUM(F18:Y18,F31:Y31)=0,"",(I7-L7-O7-R7)*60/(B16/IF($X7=0,1,$X7)))</f>
        <v>9.3419236079153336</v>
      </c>
      <c r="C10" s="199"/>
      <c r="D10" s="79"/>
      <c r="E10" s="80" t="s">
        <v>63</v>
      </c>
      <c r="F10" s="81" t="str">
        <f>IF(F18=0,"",F19)</f>
        <v>C.T in P1</v>
      </c>
      <c r="G10" s="82">
        <f>IF(F18=0,"",G19)</f>
        <v>9.559512652296176</v>
      </c>
      <c r="H10" s="81" t="str">
        <f>IF(H18=0,"",H19)</f>
        <v/>
      </c>
      <c r="I10" s="82" t="str">
        <f>IF(H18=0,"",I19)</f>
        <v/>
      </c>
      <c r="J10" s="81" t="str">
        <f>IF(J18=0,"",J19)</f>
        <v>C.T in P3</v>
      </c>
      <c r="K10" s="82">
        <f>IF(J18=0,"",K19)</f>
        <v>9.5717884130982505</v>
      </c>
      <c r="L10" s="81" t="str">
        <f>IF(L18=0,"",L19)</f>
        <v/>
      </c>
      <c r="M10" s="82" t="str">
        <f>IF(L18=0,"",M19)</f>
        <v/>
      </c>
      <c r="N10" s="81" t="str">
        <f>IF(N18=0,"",N19)</f>
        <v/>
      </c>
      <c r="O10" s="82" t="str">
        <f>IF(N18=0,"",O19)</f>
        <v/>
      </c>
      <c r="P10" s="81" t="str">
        <f>IF(P18=0,"",P19)</f>
        <v/>
      </c>
      <c r="Q10" s="82" t="str">
        <f>IF(P18=0,"",Q19)</f>
        <v/>
      </c>
      <c r="R10" s="81" t="str">
        <f>IF(R18=0,"",R19)</f>
        <v/>
      </c>
      <c r="S10" s="82" t="str">
        <f>IF(R18=0,"",S19)</f>
        <v/>
      </c>
      <c r="T10" s="81" t="str">
        <f>IF(T18=0,"",T19)</f>
        <v>C.T in P8</v>
      </c>
      <c r="U10" s="82">
        <f>IF(T18=0,"",U19)</f>
        <v>9.5238095238095912</v>
      </c>
      <c r="V10" s="81" t="str">
        <f>IF(V18=0,"",V19)</f>
        <v/>
      </c>
      <c r="W10" s="82" t="str">
        <f>IF(V18=0,"",W19)</f>
        <v/>
      </c>
      <c r="X10" s="81" t="str">
        <f>IF(X18=0,"",X19)</f>
        <v>C.T in P10</v>
      </c>
      <c r="Y10" s="82">
        <f>IF(X18=0,"",Y19)</f>
        <v>9.3181006783291735</v>
      </c>
    </row>
    <row r="11" spans="2:25" ht="32" hidden="1" customHeight="1" outlineLevel="1">
      <c r="B11" s="176" t="s">
        <v>67</v>
      </c>
      <c r="C11" s="177"/>
      <c r="E11" s="165" t="s">
        <v>22</v>
      </c>
      <c r="F11" s="73" t="s">
        <v>24</v>
      </c>
      <c r="G11" s="74" t="s">
        <v>23</v>
      </c>
      <c r="H11" s="73" t="s">
        <v>24</v>
      </c>
      <c r="I11" s="74" t="s">
        <v>23</v>
      </c>
      <c r="J11" s="73" t="s">
        <v>24</v>
      </c>
      <c r="K11" s="74" t="s">
        <v>23</v>
      </c>
      <c r="L11" s="73" t="s">
        <v>24</v>
      </c>
      <c r="M11" s="74" t="s">
        <v>23</v>
      </c>
      <c r="N11" s="73" t="s">
        <v>24</v>
      </c>
      <c r="O11" s="74" t="s">
        <v>23</v>
      </c>
      <c r="P11" s="73" t="s">
        <v>24</v>
      </c>
      <c r="Q11" s="74" t="s">
        <v>23</v>
      </c>
      <c r="R11" s="73" t="s">
        <v>24</v>
      </c>
      <c r="S11" s="74" t="s">
        <v>23</v>
      </c>
      <c r="T11" s="73" t="s">
        <v>24</v>
      </c>
      <c r="U11" s="74" t="s">
        <v>23</v>
      </c>
      <c r="V11" s="73" t="s">
        <v>24</v>
      </c>
      <c r="W11" s="74" t="s">
        <v>23</v>
      </c>
      <c r="X11" s="73" t="s">
        <v>24</v>
      </c>
      <c r="Y11" s="74" t="s">
        <v>23</v>
      </c>
    </row>
    <row r="12" spans="2:25" ht="32" hidden="1" customHeight="1" outlineLevel="1" thickBot="1">
      <c r="B12" s="178">
        <v>8.5</v>
      </c>
      <c r="C12" s="179"/>
      <c r="D12" s="2"/>
      <c r="E12" s="165"/>
      <c r="F12" s="84">
        <v>1.5902777777777777</v>
      </c>
      <c r="G12" s="85">
        <v>1.7083333333333335</v>
      </c>
      <c r="H12" s="86">
        <f>IF(I12=0,0,G12)</f>
        <v>1.7083333333333335</v>
      </c>
      <c r="I12" s="85">
        <v>1.7291666666666665</v>
      </c>
      <c r="J12" s="86">
        <f>IF(K12=0,0,I12)</f>
        <v>1.7291666666666665</v>
      </c>
      <c r="K12" s="85">
        <v>1.8611111111111112</v>
      </c>
      <c r="L12" s="86">
        <f>IF(M12=0,0,K12)</f>
        <v>1.8611111111111112</v>
      </c>
      <c r="M12" s="85">
        <v>1.9583333333333335</v>
      </c>
      <c r="N12" s="86">
        <f>IF(O12=0,0,M12)</f>
        <v>1.9583333333333335</v>
      </c>
      <c r="O12" s="85">
        <v>1.9791666666666665</v>
      </c>
      <c r="P12" s="86">
        <f>IF(Q12=0,0,O12)</f>
        <v>1.9791666666666665</v>
      </c>
      <c r="Q12" s="85">
        <v>2.0833333333333335</v>
      </c>
      <c r="R12" s="86">
        <f>IF(S12=0,0,Q12)</f>
        <v>2.0833333333333335</v>
      </c>
      <c r="S12" s="85">
        <v>2.1111111111111112</v>
      </c>
      <c r="T12" s="86">
        <f>IF(U12=0,0,S12)</f>
        <v>2.1111111111111112</v>
      </c>
      <c r="U12" s="85">
        <v>2.1319444444444446</v>
      </c>
      <c r="V12" s="86">
        <f>IF(W12=0,0,U12)</f>
        <v>2.1319444444444446</v>
      </c>
      <c r="W12" s="85">
        <v>2.15625</v>
      </c>
      <c r="X12" s="86">
        <f>IF(Y12=0,0,W12)</f>
        <v>2.15625</v>
      </c>
      <c r="Y12" s="85">
        <v>2.4583333333333335</v>
      </c>
    </row>
    <row r="13" spans="2:25" ht="32" hidden="1" customHeight="1" outlineLevel="1">
      <c r="D13" s="71"/>
      <c r="E13" s="87" t="s">
        <v>83</v>
      </c>
      <c r="F13" s="172"/>
      <c r="G13" s="173"/>
      <c r="H13" s="172" t="s">
        <v>113</v>
      </c>
      <c r="I13" s="173"/>
      <c r="J13" s="172"/>
      <c r="K13" s="173"/>
      <c r="L13" s="172"/>
      <c r="M13" s="173"/>
      <c r="N13" s="172" t="s">
        <v>113</v>
      </c>
      <c r="O13" s="173"/>
      <c r="P13" s="172"/>
      <c r="Q13" s="173"/>
      <c r="R13" s="172" t="s">
        <v>113</v>
      </c>
      <c r="S13" s="173"/>
      <c r="T13" s="172"/>
      <c r="U13" s="173"/>
      <c r="V13" s="172"/>
      <c r="W13" s="173"/>
      <c r="X13" s="172"/>
      <c r="Y13" s="173"/>
    </row>
    <row r="14" spans="2:25" ht="32" hidden="1" customHeight="1" outlineLevel="1" thickBot="1">
      <c r="D14" s="71"/>
      <c r="E14" s="87" t="s">
        <v>86</v>
      </c>
      <c r="F14" s="166"/>
      <c r="G14" s="167"/>
      <c r="H14" s="166"/>
      <c r="I14" s="167"/>
      <c r="J14" s="166"/>
      <c r="K14" s="167"/>
      <c r="L14" s="166" t="s">
        <v>113</v>
      </c>
      <c r="M14" s="167"/>
      <c r="N14" s="166"/>
      <c r="O14" s="167"/>
      <c r="P14" s="166" t="s">
        <v>113</v>
      </c>
      <c r="Q14" s="167"/>
      <c r="R14" s="166"/>
      <c r="S14" s="167"/>
      <c r="T14" s="166"/>
      <c r="U14" s="167"/>
      <c r="V14" s="166"/>
      <c r="W14" s="167"/>
      <c r="X14" s="166"/>
      <c r="Y14" s="167"/>
    </row>
    <row r="15" spans="2:25" ht="32" hidden="1" customHeight="1" outlineLevel="1" thickBot="1">
      <c r="B15" s="174" t="s">
        <v>20</v>
      </c>
      <c r="C15" s="175"/>
      <c r="D15" s="71"/>
      <c r="E15" s="87" t="s">
        <v>65</v>
      </c>
      <c r="F15" s="168"/>
      <c r="G15" s="169"/>
      <c r="H15" s="168"/>
      <c r="I15" s="169"/>
      <c r="J15" s="168"/>
      <c r="K15" s="169"/>
      <c r="L15" s="168"/>
      <c r="M15" s="169"/>
      <c r="N15" s="168"/>
      <c r="O15" s="169"/>
      <c r="P15" s="168"/>
      <c r="Q15" s="169"/>
      <c r="R15" s="168"/>
      <c r="S15" s="169"/>
      <c r="T15" s="168"/>
      <c r="U15" s="169"/>
      <c r="V15" s="168" t="s">
        <v>113</v>
      </c>
      <c r="W15" s="169"/>
      <c r="X15" s="168"/>
      <c r="Y15" s="169"/>
    </row>
    <row r="16" spans="2:25" ht="32" hidden="1" customHeight="1" outlineLevel="1">
      <c r="B16" s="196">
        <f>SUM(F18:Y18,F31:Y31)</f>
        <v>6519</v>
      </c>
      <c r="C16" s="197"/>
      <c r="D16" s="71"/>
      <c r="E16" s="165" t="s">
        <v>64</v>
      </c>
      <c r="F16" s="88" t="s">
        <v>38</v>
      </c>
      <c r="G16" s="89" t="s">
        <v>39</v>
      </c>
      <c r="H16" s="88" t="s">
        <v>38</v>
      </c>
      <c r="I16" s="89" t="s">
        <v>39</v>
      </c>
      <c r="J16" s="88" t="s">
        <v>38</v>
      </c>
      <c r="K16" s="89" t="s">
        <v>39</v>
      </c>
      <c r="L16" s="88" t="s">
        <v>38</v>
      </c>
      <c r="M16" s="89" t="s">
        <v>39</v>
      </c>
      <c r="N16" s="88" t="s">
        <v>38</v>
      </c>
      <c r="O16" s="89" t="s">
        <v>39</v>
      </c>
      <c r="P16" s="88" t="s">
        <v>38</v>
      </c>
      <c r="Q16" s="89" t="s">
        <v>39</v>
      </c>
      <c r="R16" s="88" t="s">
        <v>38</v>
      </c>
      <c r="S16" s="89" t="s">
        <v>39</v>
      </c>
      <c r="T16" s="88" t="s">
        <v>38</v>
      </c>
      <c r="U16" s="89" t="s">
        <v>39</v>
      </c>
      <c r="V16" s="88" t="s">
        <v>38</v>
      </c>
      <c r="W16" s="89" t="s">
        <v>39</v>
      </c>
      <c r="X16" s="88" t="s">
        <v>38</v>
      </c>
      <c r="Y16" s="89" t="s">
        <v>39</v>
      </c>
    </row>
    <row r="17" spans="1:25" ht="32" hidden="1" customHeight="1" outlineLevel="1">
      <c r="B17" s="90" t="s">
        <v>38</v>
      </c>
      <c r="C17" s="91" t="s">
        <v>39</v>
      </c>
      <c r="D17" s="71"/>
      <c r="E17" s="165"/>
      <c r="F17" s="92">
        <v>1065</v>
      </c>
      <c r="G17" s="93">
        <v>2</v>
      </c>
      <c r="H17" s="92"/>
      <c r="I17" s="93"/>
      <c r="J17" s="92">
        <v>1180</v>
      </c>
      <c r="K17" s="93">
        <v>11</v>
      </c>
      <c r="L17" s="92"/>
      <c r="M17" s="93"/>
      <c r="N17" s="92"/>
      <c r="O17" s="93"/>
      <c r="P17" s="92"/>
      <c r="Q17" s="93"/>
      <c r="R17" s="92"/>
      <c r="S17" s="93"/>
      <c r="T17" s="92">
        <v>189</v>
      </c>
      <c r="U17" s="93"/>
      <c r="V17" s="92"/>
      <c r="W17" s="93"/>
      <c r="X17" s="92">
        <v>2797</v>
      </c>
      <c r="Y17" s="93">
        <v>4</v>
      </c>
    </row>
    <row r="18" spans="1:25" ht="32" hidden="1" customHeight="1" outlineLevel="1" thickBot="1">
      <c r="B18" s="94">
        <f>B16-C18</f>
        <v>6493</v>
      </c>
      <c r="C18" s="95">
        <f>G17+I17+K17+M17+O17+Q17+S17+U17+W17+Y17+G30+I30+K30+M30+O30+Q30+S30+U30+W30+Y30</f>
        <v>26</v>
      </c>
      <c r="D18" s="96"/>
      <c r="E18" s="165"/>
      <c r="F18" s="162">
        <f>F17+G17</f>
        <v>1067</v>
      </c>
      <c r="G18" s="163"/>
      <c r="H18" s="162">
        <f>H17+I17</f>
        <v>0</v>
      </c>
      <c r="I18" s="163"/>
      <c r="J18" s="162">
        <f>J17+K17</f>
        <v>1191</v>
      </c>
      <c r="K18" s="163"/>
      <c r="L18" s="162">
        <f>L17+M17</f>
        <v>0</v>
      </c>
      <c r="M18" s="163"/>
      <c r="N18" s="162">
        <f>N17+O17</f>
        <v>0</v>
      </c>
      <c r="O18" s="163"/>
      <c r="P18" s="162">
        <f>P17+Q17</f>
        <v>0</v>
      </c>
      <c r="Q18" s="163"/>
      <c r="R18" s="162">
        <f>R17+S17</f>
        <v>0</v>
      </c>
      <c r="S18" s="163"/>
      <c r="T18" s="162">
        <f>T17+U17</f>
        <v>189</v>
      </c>
      <c r="U18" s="163"/>
      <c r="V18" s="162">
        <f>V17+W17</f>
        <v>0</v>
      </c>
      <c r="W18" s="163"/>
      <c r="X18" s="162">
        <f>X17+Y17</f>
        <v>2801</v>
      </c>
      <c r="Y18" s="163"/>
    </row>
    <row r="19" spans="1:25" s="97" customFormat="1" ht="34" hidden="1" customHeight="1" outlineLevel="1">
      <c r="D19" s="98"/>
      <c r="F19" s="99" t="s">
        <v>53</v>
      </c>
      <c r="G19" s="100">
        <f>(F20*1440*60)/(F18/IF($X7=0,1,$X7))</f>
        <v>9.559512652296176</v>
      </c>
      <c r="H19" s="99" t="s">
        <v>54</v>
      </c>
      <c r="I19" s="101" t="e">
        <f>(H20*1440*60)/(H18/IF($X7=0,1,$X7))</f>
        <v>#DIV/0!</v>
      </c>
      <c r="J19" s="99" t="s">
        <v>55</v>
      </c>
      <c r="K19" s="101">
        <f>(J20*1440*60)/(J18/IF($X7=0,1,$X7))</f>
        <v>9.5717884130982505</v>
      </c>
      <c r="L19" s="99" t="s">
        <v>56</v>
      </c>
      <c r="M19" s="101" t="e">
        <f>(L20*1440*60)/(L18/IF($X7=0,1,$X7))</f>
        <v>#DIV/0!</v>
      </c>
      <c r="N19" s="99" t="s">
        <v>57</v>
      </c>
      <c r="O19" s="101" t="e">
        <f>(N20*1440*60)/(N18/IF($X7=0,1,$X7))</f>
        <v>#DIV/0!</v>
      </c>
      <c r="P19" s="99" t="s">
        <v>58</v>
      </c>
      <c r="Q19" s="101" t="e">
        <f>(P20*1440*60)/(P18/IF($X7=0,1,$X7))</f>
        <v>#DIV/0!</v>
      </c>
      <c r="R19" s="99" t="s">
        <v>59</v>
      </c>
      <c r="S19" s="101" t="e">
        <f>(R20*1440*60)/(R18/IF($X7=0,1,$X7))</f>
        <v>#DIV/0!</v>
      </c>
      <c r="T19" s="99" t="s">
        <v>60</v>
      </c>
      <c r="U19" s="101">
        <f>(T20*1440*60)/(T18/IF($X7=0,1,$X7))</f>
        <v>9.5238095238095912</v>
      </c>
      <c r="V19" s="99" t="s">
        <v>61</v>
      </c>
      <c r="W19" s="101" t="e">
        <f>(V20*1440*60)/(V18/IF($X7=0,1,$X7))</f>
        <v>#DIV/0!</v>
      </c>
      <c r="X19" s="99" t="s">
        <v>62</v>
      </c>
      <c r="Y19" s="101">
        <f>(X20*1440*60)/(X18/IF($X7=0,1,$X7))</f>
        <v>9.3181006783291735</v>
      </c>
    </row>
    <row r="20" spans="1:25" s="102" customFormat="1" ht="32.5" hidden="1" customHeight="1" outlineLevel="1">
      <c r="C20" s="103"/>
      <c r="F20" s="164">
        <f>G12-F12</f>
        <v>0.1180555555555558</v>
      </c>
      <c r="G20" s="164"/>
      <c r="H20" s="164">
        <f>I12-H12</f>
        <v>2.0833333333333037E-2</v>
      </c>
      <c r="I20" s="164"/>
      <c r="J20" s="164">
        <f>K12-J12</f>
        <v>0.13194444444444464</v>
      </c>
      <c r="K20" s="164"/>
      <c r="L20" s="164">
        <f>M12-L12</f>
        <v>9.7222222222222321E-2</v>
      </c>
      <c r="M20" s="164"/>
      <c r="N20" s="164">
        <f>O12-N12</f>
        <v>2.0833333333333037E-2</v>
      </c>
      <c r="O20" s="164"/>
      <c r="P20" s="164">
        <f>Q12-P12</f>
        <v>0.10416666666666696</v>
      </c>
      <c r="Q20" s="164"/>
      <c r="R20" s="164">
        <f>S12-R12</f>
        <v>2.7777777777777679E-2</v>
      </c>
      <c r="S20" s="164"/>
      <c r="T20" s="164">
        <f>U12-T12</f>
        <v>2.0833333333333481E-2</v>
      </c>
      <c r="U20" s="164"/>
      <c r="V20" s="164">
        <f>W12-V12</f>
        <v>2.4305555555555358E-2</v>
      </c>
      <c r="W20" s="164"/>
      <c r="X20" s="164">
        <f>Y12-X12</f>
        <v>0.30208333333333348</v>
      </c>
      <c r="Y20" s="164"/>
    </row>
    <row r="21" spans="1:25" s="102" customFormat="1" ht="19.5" hidden="1" customHeight="1" outlineLevel="1" thickBot="1">
      <c r="C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spans="1:25" ht="32" hidden="1" customHeight="1" outlineLevel="1" thickBot="1">
      <c r="A22" s="102"/>
      <c r="B22" s="104"/>
      <c r="C22" s="103"/>
      <c r="D22" s="102"/>
      <c r="F22" s="170" t="s">
        <v>91</v>
      </c>
      <c r="G22" s="171"/>
      <c r="H22" s="170" t="s">
        <v>92</v>
      </c>
      <c r="I22" s="171"/>
      <c r="J22" s="170" t="s">
        <v>93</v>
      </c>
      <c r="K22" s="171"/>
      <c r="L22" s="170" t="s">
        <v>94</v>
      </c>
      <c r="M22" s="171"/>
      <c r="N22" s="170" t="s">
        <v>95</v>
      </c>
      <c r="O22" s="171"/>
      <c r="P22" s="170" t="s">
        <v>96</v>
      </c>
      <c r="Q22" s="171"/>
      <c r="R22" s="170" t="s">
        <v>97</v>
      </c>
      <c r="S22" s="171"/>
      <c r="T22" s="170" t="s">
        <v>98</v>
      </c>
      <c r="U22" s="171"/>
      <c r="V22" s="170" t="s">
        <v>99</v>
      </c>
      <c r="W22" s="171"/>
      <c r="X22" s="170" t="s">
        <v>100</v>
      </c>
      <c r="Y22" s="171"/>
    </row>
    <row r="23" spans="1:25" s="83" customFormat="1" ht="32" hidden="1" customHeight="1" outlineLevel="1" thickBot="1">
      <c r="A23" s="102"/>
      <c r="B23" s="105" t="s">
        <v>112</v>
      </c>
      <c r="C23" s="61">
        <v>12</v>
      </c>
      <c r="D23" s="102"/>
      <c r="E23" s="80" t="s">
        <v>63</v>
      </c>
      <c r="F23" s="81" t="str">
        <f>IF(F31=0,"",F32)</f>
        <v/>
      </c>
      <c r="G23" s="82" t="str">
        <f>IF(F31=0,"",G32)</f>
        <v/>
      </c>
      <c r="H23" s="81" t="str">
        <f>IF(H31=0,"",H32)</f>
        <v>C.T in P12</v>
      </c>
      <c r="I23" s="82">
        <f>IF(H31=0,"",I32)</f>
        <v>8.9693154996066227</v>
      </c>
      <c r="J23" s="81" t="str">
        <f>IF(J31=0,"",J32)</f>
        <v/>
      </c>
      <c r="K23" s="82" t="str">
        <f>IF(J31=0,"",K32)</f>
        <v/>
      </c>
      <c r="L23" s="81" t="str">
        <f>IF(L31=0,"",L32)</f>
        <v/>
      </c>
      <c r="M23" s="82" t="str">
        <f>IF(L31=0,"",M32)</f>
        <v/>
      </c>
      <c r="N23" s="81" t="str">
        <f>IF(N31=0,"",N32)</f>
        <v/>
      </c>
      <c r="O23" s="82" t="str">
        <f>IF(N31=0,"",O32)</f>
        <v/>
      </c>
      <c r="P23" s="81" t="str">
        <f>IF(P31=0,"",P32)</f>
        <v/>
      </c>
      <c r="Q23" s="82" t="str">
        <f>IF(P31=0,"",Q32)</f>
        <v/>
      </c>
      <c r="R23" s="81" t="str">
        <f>IF(R31=0,"",R32)</f>
        <v/>
      </c>
      <c r="S23" s="82" t="str">
        <f>IF(R31=0,"",S32)</f>
        <v/>
      </c>
      <c r="T23" s="81" t="str">
        <f>IF(T31=0,"",T32)</f>
        <v/>
      </c>
      <c r="U23" s="82" t="str">
        <f>IF(T31=0,"",U32)</f>
        <v/>
      </c>
      <c r="V23" s="81" t="str">
        <f>IF(V31=0,"",V32)</f>
        <v/>
      </c>
      <c r="W23" s="82" t="str">
        <f>IF(V31=0,"",W32)</f>
        <v/>
      </c>
      <c r="X23" s="81" t="str">
        <f>IF(X31=0,"",X32)</f>
        <v/>
      </c>
      <c r="Y23" s="82" t="str">
        <f>IF(X31=0,"",Y32)</f>
        <v/>
      </c>
    </row>
    <row r="24" spans="1:25" ht="32" hidden="1" customHeight="1" outlineLevel="1">
      <c r="A24" s="102"/>
      <c r="B24" s="212" t="s">
        <v>114</v>
      </c>
      <c r="C24" s="213"/>
      <c r="D24" s="102"/>
      <c r="E24" s="165" t="s">
        <v>22</v>
      </c>
      <c r="F24" s="73" t="s">
        <v>24</v>
      </c>
      <c r="G24" s="74" t="s">
        <v>23</v>
      </c>
      <c r="H24" s="73" t="s">
        <v>24</v>
      </c>
      <c r="I24" s="74" t="s">
        <v>23</v>
      </c>
      <c r="J24" s="73" t="s">
        <v>24</v>
      </c>
      <c r="K24" s="74" t="s">
        <v>23</v>
      </c>
      <c r="L24" s="73" t="s">
        <v>24</v>
      </c>
      <c r="M24" s="74" t="s">
        <v>23</v>
      </c>
      <c r="N24" s="73" t="s">
        <v>24</v>
      </c>
      <c r="O24" s="74" t="s">
        <v>23</v>
      </c>
      <c r="P24" s="73" t="s">
        <v>24</v>
      </c>
      <c r="Q24" s="74" t="s">
        <v>23</v>
      </c>
      <c r="R24" s="73" t="s">
        <v>24</v>
      </c>
      <c r="S24" s="74" t="s">
        <v>23</v>
      </c>
      <c r="T24" s="73" t="s">
        <v>24</v>
      </c>
      <c r="U24" s="74" t="s">
        <v>23</v>
      </c>
      <c r="V24" s="73" t="s">
        <v>24</v>
      </c>
      <c r="W24" s="74" t="s">
        <v>23</v>
      </c>
      <c r="X24" s="73" t="s">
        <v>24</v>
      </c>
      <c r="Y24" s="74" t="s">
        <v>23</v>
      </c>
    </row>
    <row r="25" spans="1:25" ht="32" hidden="1" customHeight="1" outlineLevel="1" thickBot="1">
      <c r="A25" s="102"/>
      <c r="B25" s="208">
        <f>IF(C23=0,"",(R7*IF(OR(C23=12,C23=10),720,480))/I7)</f>
        <v>17.142857142857</v>
      </c>
      <c r="C25" s="209"/>
      <c r="D25" s="102"/>
      <c r="E25" s="165"/>
      <c r="F25" s="86">
        <f>IF(G25=0,0,Y12)</f>
        <v>2.4583333333333335</v>
      </c>
      <c r="G25" s="85">
        <v>2.4791666666666665</v>
      </c>
      <c r="H25" s="86">
        <f>IF(I25=0,0,G25)</f>
        <v>2.4791666666666665</v>
      </c>
      <c r="I25" s="85">
        <v>2.6111111111111112</v>
      </c>
      <c r="J25" s="86">
        <f>IF(K25=0,0,I25)</f>
        <v>0</v>
      </c>
      <c r="K25" s="85"/>
      <c r="L25" s="86">
        <f>IF(M25=0,0,K25)</f>
        <v>0</v>
      </c>
      <c r="M25" s="85"/>
      <c r="N25" s="86">
        <f>IF(O25=0,0,M25)</f>
        <v>0</v>
      </c>
      <c r="O25" s="85"/>
      <c r="P25" s="86">
        <f>IF(Q25=0,0,O25)</f>
        <v>0</v>
      </c>
      <c r="Q25" s="85"/>
      <c r="R25" s="86">
        <f>IF(S25=0,0,Q25)</f>
        <v>0</v>
      </c>
      <c r="S25" s="85"/>
      <c r="T25" s="86">
        <f>IF(U25=0,0,S25)</f>
        <v>0</v>
      </c>
      <c r="U25" s="85"/>
      <c r="V25" s="86">
        <f>IF(W25=0,0,U25)</f>
        <v>0</v>
      </c>
      <c r="W25" s="85"/>
      <c r="X25" s="86">
        <f>IF(Y25=0,0,W25)</f>
        <v>0</v>
      </c>
      <c r="Y25" s="85"/>
    </row>
    <row r="26" spans="1:25" ht="32" hidden="1" customHeight="1" outlineLevel="1">
      <c r="A26" s="102"/>
      <c r="B26" s="210" t="s">
        <v>115</v>
      </c>
      <c r="C26" s="211"/>
      <c r="D26" s="102"/>
      <c r="E26" s="87" t="s">
        <v>83</v>
      </c>
      <c r="F26" s="172" t="s">
        <v>113</v>
      </c>
      <c r="G26" s="173"/>
      <c r="H26" s="172"/>
      <c r="I26" s="173"/>
      <c r="J26" s="172"/>
      <c r="K26" s="173"/>
      <c r="L26" s="172"/>
      <c r="M26" s="173"/>
      <c r="N26" s="172"/>
      <c r="O26" s="173"/>
      <c r="P26" s="172"/>
      <c r="Q26" s="173"/>
      <c r="R26" s="172"/>
      <c r="S26" s="173"/>
      <c r="T26" s="172"/>
      <c r="U26" s="173"/>
      <c r="V26" s="172"/>
      <c r="W26" s="173"/>
      <c r="X26" s="172"/>
      <c r="Y26" s="173"/>
    </row>
    <row r="27" spans="1:25" ht="32" hidden="1" customHeight="1" outlineLevel="1" thickBot="1">
      <c r="B27" s="208">
        <f>IF(C23=0,"",(T7*IF(OR(C23=12,C23=10),720,480))/I7)</f>
        <v>61.946938775510652</v>
      </c>
      <c r="C27" s="209"/>
      <c r="D27" s="71"/>
      <c r="E27" s="87" t="s">
        <v>86</v>
      </c>
      <c r="F27" s="166"/>
      <c r="G27" s="167"/>
      <c r="H27" s="166"/>
      <c r="I27" s="167"/>
      <c r="J27" s="166"/>
      <c r="K27" s="167"/>
      <c r="L27" s="166"/>
      <c r="M27" s="167"/>
      <c r="N27" s="166"/>
      <c r="O27" s="167"/>
      <c r="P27" s="166"/>
      <c r="Q27" s="167"/>
      <c r="R27" s="166"/>
      <c r="S27" s="167"/>
      <c r="T27" s="166"/>
      <c r="U27" s="167"/>
      <c r="V27" s="166"/>
      <c r="W27" s="167"/>
      <c r="X27" s="166"/>
      <c r="Y27" s="167"/>
    </row>
    <row r="28" spans="1:25" ht="32" hidden="1" customHeight="1" outlineLevel="1" thickBot="1">
      <c r="B28" s="102"/>
      <c r="C28" s="103"/>
      <c r="D28" s="71"/>
      <c r="E28" s="87" t="s">
        <v>65</v>
      </c>
      <c r="F28" s="168"/>
      <c r="G28" s="169"/>
      <c r="H28" s="168"/>
      <c r="I28" s="169"/>
      <c r="J28" s="168"/>
      <c r="K28" s="169"/>
      <c r="L28" s="168"/>
      <c r="M28" s="169"/>
      <c r="N28" s="168"/>
      <c r="O28" s="169"/>
      <c r="P28" s="168"/>
      <c r="Q28" s="169"/>
      <c r="R28" s="168"/>
      <c r="S28" s="169"/>
      <c r="T28" s="168"/>
      <c r="U28" s="169"/>
      <c r="V28" s="168"/>
      <c r="W28" s="169"/>
      <c r="X28" s="168"/>
      <c r="Y28" s="169"/>
    </row>
    <row r="29" spans="1:25" ht="32" hidden="1" customHeight="1" outlineLevel="1">
      <c r="B29" s="102"/>
      <c r="C29" s="103"/>
      <c r="D29" s="71"/>
      <c r="E29" s="165" t="s">
        <v>64</v>
      </c>
      <c r="F29" s="88" t="s">
        <v>38</v>
      </c>
      <c r="G29" s="89" t="s">
        <v>39</v>
      </c>
      <c r="H29" s="88" t="s">
        <v>38</v>
      </c>
      <c r="I29" s="89" t="s">
        <v>39</v>
      </c>
      <c r="J29" s="88" t="s">
        <v>38</v>
      </c>
      <c r="K29" s="89" t="s">
        <v>39</v>
      </c>
      <c r="L29" s="88" t="s">
        <v>38</v>
      </c>
      <c r="M29" s="89" t="s">
        <v>39</v>
      </c>
      <c r="N29" s="88" t="s">
        <v>38</v>
      </c>
      <c r="O29" s="89" t="s">
        <v>39</v>
      </c>
      <c r="P29" s="88" t="s">
        <v>38</v>
      </c>
      <c r="Q29" s="89" t="s">
        <v>39</v>
      </c>
      <c r="R29" s="88" t="s">
        <v>38</v>
      </c>
      <c r="S29" s="89" t="s">
        <v>39</v>
      </c>
      <c r="T29" s="88" t="s">
        <v>38</v>
      </c>
      <c r="U29" s="89" t="s">
        <v>39</v>
      </c>
      <c r="V29" s="88" t="s">
        <v>38</v>
      </c>
      <c r="W29" s="89" t="s">
        <v>39</v>
      </c>
      <c r="X29" s="88" t="s">
        <v>38</v>
      </c>
      <c r="Y29" s="89" t="s">
        <v>39</v>
      </c>
    </row>
    <row r="30" spans="1:25" ht="32" hidden="1" customHeight="1" outlineLevel="1">
      <c r="B30" s="102"/>
      <c r="C30" s="103"/>
      <c r="D30" s="71"/>
      <c r="E30" s="165"/>
      <c r="F30" s="92"/>
      <c r="G30" s="93"/>
      <c r="H30" s="92">
        <v>1262</v>
      </c>
      <c r="I30" s="93">
        <v>9</v>
      </c>
      <c r="J30" s="92"/>
      <c r="K30" s="93"/>
      <c r="L30" s="92"/>
      <c r="M30" s="93"/>
      <c r="N30" s="92"/>
      <c r="O30" s="93"/>
      <c r="P30" s="92"/>
      <c r="Q30" s="93"/>
      <c r="R30" s="92"/>
      <c r="S30" s="93"/>
      <c r="T30" s="92"/>
      <c r="U30" s="93"/>
      <c r="V30" s="92"/>
      <c r="W30" s="93"/>
      <c r="X30" s="92"/>
      <c r="Y30" s="93"/>
    </row>
    <row r="31" spans="1:25" ht="32" hidden="1" customHeight="1" outlineLevel="1" thickBot="1">
      <c r="B31" s="102"/>
      <c r="C31" s="103"/>
      <c r="D31" s="96"/>
      <c r="E31" s="165"/>
      <c r="F31" s="162">
        <f>F30+G30</f>
        <v>0</v>
      </c>
      <c r="G31" s="163"/>
      <c r="H31" s="162">
        <f>H30+I30</f>
        <v>1271</v>
      </c>
      <c r="I31" s="163"/>
      <c r="J31" s="162">
        <f>J30+K30</f>
        <v>0</v>
      </c>
      <c r="K31" s="163"/>
      <c r="L31" s="162">
        <f>L30+M30</f>
        <v>0</v>
      </c>
      <c r="M31" s="163"/>
      <c r="N31" s="162">
        <f>N30+O30</f>
        <v>0</v>
      </c>
      <c r="O31" s="163"/>
      <c r="P31" s="162">
        <f>P30+Q30</f>
        <v>0</v>
      </c>
      <c r="Q31" s="163"/>
      <c r="R31" s="162">
        <f>R30+S30</f>
        <v>0</v>
      </c>
      <c r="S31" s="163"/>
      <c r="T31" s="162">
        <f>T30+U30</f>
        <v>0</v>
      </c>
      <c r="U31" s="163"/>
      <c r="V31" s="162">
        <f>V30+W30</f>
        <v>0</v>
      </c>
      <c r="W31" s="163"/>
      <c r="X31" s="162">
        <f>X30+Y30</f>
        <v>0</v>
      </c>
      <c r="Y31" s="163"/>
    </row>
    <row r="32" spans="1:25" s="97" customFormat="1" ht="34" hidden="1" customHeight="1" collapsed="1">
      <c r="B32" s="102"/>
      <c r="C32" s="103"/>
      <c r="D32" s="98"/>
      <c r="F32" s="99" t="s">
        <v>101</v>
      </c>
      <c r="G32" s="100" t="e">
        <f>(F33*1440*60)/(F31/IF($X7=0,1,$X7))</f>
        <v>#DIV/0!</v>
      </c>
      <c r="H32" s="99" t="s">
        <v>102</v>
      </c>
      <c r="I32" s="100">
        <f>(H33*1440*60)/(H31/IF($X7=0,1,$X7))</f>
        <v>8.9693154996066227</v>
      </c>
      <c r="J32" s="99" t="s">
        <v>103</v>
      </c>
      <c r="K32" s="100" t="e">
        <f>(J33*1440*60)/(J31/IF($X7=0,1,$X7))</f>
        <v>#DIV/0!</v>
      </c>
      <c r="L32" s="99" t="s">
        <v>104</v>
      </c>
      <c r="M32" s="100" t="e">
        <f>(L33*1440*60)/(L31/IF($X7=0,1,$X7))</f>
        <v>#DIV/0!</v>
      </c>
      <c r="N32" s="99" t="s">
        <v>105</v>
      </c>
      <c r="O32" s="100" t="e">
        <f>(N33*1440*60)/(N31/IF($X7=0,1,$X7))</f>
        <v>#DIV/0!</v>
      </c>
      <c r="P32" s="99" t="s">
        <v>106</v>
      </c>
      <c r="Q32" s="100" t="e">
        <f>(P33*1440*60)/(P31/IF($X7=0,1,$X7))</f>
        <v>#DIV/0!</v>
      </c>
      <c r="R32" s="99" t="s">
        <v>107</v>
      </c>
      <c r="S32" s="100" t="e">
        <f>(R33*1440*60)/(R31/IF($X7=0,1,$X7))</f>
        <v>#DIV/0!</v>
      </c>
      <c r="T32" s="99" t="s">
        <v>108</v>
      </c>
      <c r="U32" s="100" t="e">
        <f>(T33*1440*60)/(T31/IF($X7=0,1,$X7))</f>
        <v>#DIV/0!</v>
      </c>
      <c r="V32" s="99" t="s">
        <v>109</v>
      </c>
      <c r="W32" s="100" t="e">
        <f>(V33*1440*60)/(V31/IF($X7=0,1,$X7))</f>
        <v>#DIV/0!</v>
      </c>
      <c r="X32" s="99" t="s">
        <v>110</v>
      </c>
      <c r="Y32" s="100" t="e">
        <f>(X33*1440*60)/(X31/IF($X7=0,1,$X7))</f>
        <v>#DIV/0!</v>
      </c>
    </row>
    <row r="33" spans="2:25" s="102" customFormat="1" ht="32.5" hidden="1" customHeight="1">
      <c r="C33" s="103"/>
      <c r="F33" s="164">
        <f>G25-F25</f>
        <v>2.0833333333333037E-2</v>
      </c>
      <c r="G33" s="164"/>
      <c r="H33" s="164">
        <f>I25-H25</f>
        <v>0.13194444444444464</v>
      </c>
      <c r="I33" s="164"/>
      <c r="J33" s="164">
        <f>K25-J25</f>
        <v>0</v>
      </c>
      <c r="K33" s="164"/>
      <c r="L33" s="164">
        <f>M25-L25</f>
        <v>0</v>
      </c>
      <c r="M33" s="164"/>
      <c r="N33" s="164">
        <f>O25-N25</f>
        <v>0</v>
      </c>
      <c r="O33" s="164"/>
      <c r="P33" s="164">
        <f>Q25-P25</f>
        <v>0</v>
      </c>
      <c r="Q33" s="164"/>
      <c r="R33" s="164">
        <f>S25-R25</f>
        <v>0</v>
      </c>
      <c r="S33" s="164"/>
      <c r="T33" s="164">
        <f>U25-T25</f>
        <v>0</v>
      </c>
      <c r="U33" s="164"/>
      <c r="V33" s="164">
        <f>W25-V25</f>
        <v>0</v>
      </c>
      <c r="W33" s="164"/>
      <c r="X33" s="164">
        <f>Y25-X25</f>
        <v>0</v>
      </c>
      <c r="Y33" s="164"/>
    </row>
    <row r="34" spans="2:25" ht="59.5" customHeight="1" thickBot="1">
      <c r="B34" s="65"/>
      <c r="C34" s="66"/>
      <c r="E34" s="2"/>
      <c r="F34" s="67"/>
      <c r="G34" s="68"/>
      <c r="H34" s="2"/>
      <c r="I34" s="69"/>
      <c r="J34" s="69"/>
      <c r="K34" s="2"/>
      <c r="L34" s="70"/>
      <c r="M34" s="2"/>
      <c r="N34" s="2"/>
      <c r="O34" s="2"/>
      <c r="P34" s="2"/>
      <c r="Q34" s="2"/>
      <c r="R34" s="2"/>
      <c r="S34" s="2"/>
      <c r="T34" s="2"/>
      <c r="U34" s="2"/>
      <c r="V34" s="71"/>
    </row>
    <row r="35" spans="2:25" ht="27.5" customHeight="1">
      <c r="B35" s="72"/>
      <c r="F35" s="73" t="s">
        <v>2</v>
      </c>
      <c r="G35" s="74" t="s">
        <v>3</v>
      </c>
      <c r="H35" s="75"/>
      <c r="I35" s="176" t="s">
        <v>21</v>
      </c>
      <c r="J35" s="177"/>
      <c r="K35" s="75"/>
      <c r="L35" s="176" t="s">
        <v>85</v>
      </c>
      <c r="M35" s="177"/>
      <c r="N35" s="75"/>
      <c r="O35" s="176" t="s">
        <v>84</v>
      </c>
      <c r="P35" s="177"/>
      <c r="R35" s="180" t="s">
        <v>88</v>
      </c>
      <c r="S35" s="181"/>
      <c r="T35" s="182" t="s">
        <v>87</v>
      </c>
      <c r="U35" s="183"/>
      <c r="W35" s="75"/>
      <c r="X35" s="184" t="s">
        <v>37</v>
      </c>
      <c r="Y35" s="185"/>
    </row>
    <row r="36" spans="2:25" ht="36.5" customHeight="1" thickBot="1">
      <c r="B36" s="65" t="s">
        <v>4</v>
      </c>
      <c r="C36" s="76" t="s">
        <v>120</v>
      </c>
      <c r="F36" s="77">
        <f>F41</f>
        <v>1.4180555555555556</v>
      </c>
      <c r="G36" s="78">
        <f>IF(Y54&lt;&gt;0,Y54,IF(W54&lt;&gt;0,W54,IF(U54&lt;&gt;0,U54,IF(S54&lt;&gt;0,S54,IF(Q54&lt;&gt;0,Q54,IF(O54&lt;&gt;0,O54,IF(M54&lt;&gt;0,M54,IF(K54&lt;&gt;0,K54,IF(I54&lt;&gt;0,I54,IF(G54&lt;&gt;0,G54,IF(Y41&lt;&gt;0,Y41,IF(W41&lt;&gt;0,W41,IF(U41&lt;&gt;0,U41,IF(S41&lt;&gt;0,S41,IF(Q41&lt;&gt;0,Q41,IF(O41&lt;&gt;0,O41,IF(M41&lt;&gt;0,M41,IF(K41&lt;&gt;0,K41,IF(I41&lt;&gt;0,I41,G41)))))))))))))))))))</f>
        <v>2.5416666666666665</v>
      </c>
      <c r="I36" s="186">
        <f>SUM(F49:Y49,F62:Y62)*1440</f>
        <v>1617.9999999999998</v>
      </c>
      <c r="J36" s="187"/>
      <c r="L36" s="188">
        <f>(IF(R42=0,0,R49)+IF(P42=0,0,P49)+IF(N42=0,0,N49)+IF(L42=0,0,L49)+IF(J42=0,0,J49)+IF(H42=0,0,H49)+IF(T42=0,0,T49)+IF(F42=0,0,F49)+IF(V42=0,0,V49)+IF(X42=0,0,X49)+IF(F55=0,0,F62)+IF(H55=0,0,H62)+IF(J55=0,0,J62)+IF(L55=0,0,L62)+IF(N55=0,0,N62)+IF(P55=0,0,P62)+IF(R55=0,0,R62)+IF(T55=0,0,T62)+IF(V55=0,0,V62)+IF(X55=0,0,X62))*1440</f>
        <v>149.99999999999977</v>
      </c>
      <c r="M36" s="189"/>
      <c r="O36" s="188">
        <f>(IF(R43=0,0,R49)+IF(P43=0,0,P49)+IF(N43=0,0,N49)+IF(L43=0,0,L49)+IF(J43=0,0,J49)+IF(H43=0,0,H49)+IF(T43=0,0,T49)+IF(F43=0,0,F49)+IF(V43=0,0,V49)+IF(X43=0,0,X49)+IF(F56=0,0,F62)+IF(H56=0,0,H62)+IF(J56=0,0,J62)+IF(L56=0,0,L62)+IF(N56=0,0,N62)+IF(P56=0,0,P62)+IF(R56=0,0,R62)+IF(T56=0,0,T62)+IF(V56=0,0,V62)+IF(X56=0,0,X62))*1440</f>
        <v>302.00000000000051</v>
      </c>
      <c r="P36" s="189"/>
      <c r="R36" s="190">
        <f>(IF(R44=0,0,R49)+IF(P44=0,0,P49)+IF(N44=0,0,N49)+IF(L44=0,0,L49)+IF(J44=0,0,J49)+IF(H44=0,0,H49)+IF(T44=0,0,T49)+IF(F44=0,0,F49)+IF(V44=0,0,V49)+IF(X44=0,0,X49)+IF(F57=0,0,F62)+IF(H57=0,0,H62)+IF(J57=0,0,J62)+IF(L57=0,0,L62)+IF(N57=0,0,N62)+IF(P57=0,0,P62)+IF(R57=0,0,R62)+IF(T57=0,0,T62)+IF(V57=0,0,V62)+IF(X57=0,0,X62))*1440</f>
        <v>6.9999999999998153</v>
      </c>
      <c r="S36" s="191"/>
      <c r="T36" s="192">
        <f>(I36-L36-O36)-(IF(B41="",MIN(G39,I39,K39,M39,O39,Q39,S39,U39,W39,Y39,G52,I52,K52,M52,O52,Q52,S52,U52,W52,Y52),B41)/60*(B45/IF($X36=0,1,$X36)))</f>
        <v>31.347950428981449</v>
      </c>
      <c r="U36" s="193"/>
      <c r="X36" s="194"/>
      <c r="Y36" s="195"/>
    </row>
    <row r="37" spans="2:25" ht="11.5" customHeight="1" thickBot="1">
      <c r="B37" s="65"/>
      <c r="C37" s="66"/>
      <c r="E37" s="2"/>
      <c r="F37" s="67"/>
      <c r="G37" s="68"/>
      <c r="H37" s="2"/>
      <c r="I37" s="69"/>
      <c r="J37" s="69"/>
      <c r="K37" s="2"/>
      <c r="L37" s="70"/>
      <c r="M37" s="2"/>
      <c r="N37" s="2"/>
      <c r="O37" s="2"/>
      <c r="P37" s="2"/>
      <c r="Q37" s="2"/>
      <c r="R37" s="2"/>
      <c r="S37" s="2"/>
      <c r="T37" s="2"/>
      <c r="U37" s="2"/>
      <c r="V37" s="71"/>
    </row>
    <row r="38" spans="2:25" ht="32" customHeight="1">
      <c r="B38" s="176" t="s">
        <v>40</v>
      </c>
      <c r="C38" s="177"/>
      <c r="F38" s="170" t="s">
        <v>41</v>
      </c>
      <c r="G38" s="171"/>
      <c r="H38" s="170" t="s">
        <v>42</v>
      </c>
      <c r="I38" s="171"/>
      <c r="J38" s="170" t="s">
        <v>27</v>
      </c>
      <c r="K38" s="171"/>
      <c r="L38" s="170" t="s">
        <v>28</v>
      </c>
      <c r="M38" s="171"/>
      <c r="N38" s="170" t="s">
        <v>29</v>
      </c>
      <c r="O38" s="171"/>
      <c r="P38" s="170" t="s">
        <v>30</v>
      </c>
      <c r="Q38" s="171"/>
      <c r="R38" s="170" t="s">
        <v>31</v>
      </c>
      <c r="S38" s="171"/>
      <c r="T38" s="170" t="s">
        <v>32</v>
      </c>
      <c r="U38" s="171"/>
      <c r="V38" s="170" t="s">
        <v>51</v>
      </c>
      <c r="W38" s="171"/>
      <c r="X38" s="170" t="s">
        <v>52</v>
      </c>
      <c r="Y38" s="171"/>
    </row>
    <row r="39" spans="2:25" s="83" customFormat="1" ht="32" customHeight="1" thickBot="1">
      <c r="B39" s="198">
        <f>IF(SUM(F47:Y47,F60:Y60)=0,"",(I36-L36-O36-R36)*60/(B45/IF($X36=0,1,$X36)))</f>
        <v>8.7637051039697518</v>
      </c>
      <c r="C39" s="199"/>
      <c r="D39" s="79"/>
      <c r="E39" s="80" t="s">
        <v>63</v>
      </c>
      <c r="F39" s="81" t="str">
        <f>IF(F47=0,"",F48)</f>
        <v>C.T in P1</v>
      </c>
      <c r="G39" s="82">
        <f>IF(F47=0,"",G48)</f>
        <v>9.230769230769198</v>
      </c>
      <c r="H39" s="81" t="str">
        <f>IF(H47=0,"",H48)</f>
        <v/>
      </c>
      <c r="I39" s="82" t="str">
        <f>IF(H47=0,"",I48)</f>
        <v/>
      </c>
      <c r="J39" s="81" t="str">
        <f>IF(J47=0,"",J48)</f>
        <v>C.T in P3</v>
      </c>
      <c r="K39" s="82">
        <f>IF(J47=0,"",K48)</f>
        <v>8.6690391459074778</v>
      </c>
      <c r="L39" s="81" t="str">
        <f>IF(L47=0,"",L48)</f>
        <v/>
      </c>
      <c r="M39" s="82" t="str">
        <f>IF(L47=0,"",M48)</f>
        <v/>
      </c>
      <c r="N39" s="81" t="str">
        <f>IF(N47=0,"",N48)</f>
        <v>C.T in P5</v>
      </c>
      <c r="O39" s="82">
        <f>IF(N47=0,"",O48)</f>
        <v>8.5795996186844476</v>
      </c>
      <c r="P39" s="81" t="str">
        <f>IF(P47=0,"",P48)</f>
        <v/>
      </c>
      <c r="Q39" s="82" t="str">
        <f>IF(P47=0,"",Q48)</f>
        <v/>
      </c>
      <c r="R39" s="81" t="str">
        <f>IF(R47=0,"",R48)</f>
        <v>C.T in P7</v>
      </c>
      <c r="S39" s="82">
        <f>IF(R47=0,"",S48)</f>
        <v>8.6618004866179898</v>
      </c>
      <c r="T39" s="81" t="str">
        <f>IF(T47=0,"",T48)</f>
        <v/>
      </c>
      <c r="U39" s="82" t="str">
        <f>IF(T47=0,"",U48)</f>
        <v/>
      </c>
      <c r="V39" s="81" t="str">
        <f>IF(V47=0,"",V48)</f>
        <v/>
      </c>
      <c r="W39" s="82" t="str">
        <f>IF(V47=0,"",W48)</f>
        <v/>
      </c>
      <c r="X39" s="81" t="str">
        <f>IF(X47=0,"",X48)</f>
        <v/>
      </c>
      <c r="Y39" s="82" t="str">
        <f>IF(X47=0,"",Y48)</f>
        <v/>
      </c>
    </row>
    <row r="40" spans="2:25" ht="32" customHeight="1">
      <c r="B40" s="176" t="s">
        <v>67</v>
      </c>
      <c r="C40" s="177"/>
      <c r="E40" s="165" t="s">
        <v>22</v>
      </c>
      <c r="F40" s="73" t="s">
        <v>24</v>
      </c>
      <c r="G40" s="74" t="s">
        <v>23</v>
      </c>
      <c r="H40" s="73" t="s">
        <v>24</v>
      </c>
      <c r="I40" s="74" t="s">
        <v>23</v>
      </c>
      <c r="J40" s="73" t="s">
        <v>24</v>
      </c>
      <c r="K40" s="74" t="s">
        <v>23</v>
      </c>
      <c r="L40" s="73" t="s">
        <v>24</v>
      </c>
      <c r="M40" s="74" t="s">
        <v>23</v>
      </c>
      <c r="N40" s="73" t="s">
        <v>24</v>
      </c>
      <c r="O40" s="74" t="s">
        <v>23</v>
      </c>
      <c r="P40" s="73" t="s">
        <v>24</v>
      </c>
      <c r="Q40" s="74" t="s">
        <v>23</v>
      </c>
      <c r="R40" s="73" t="s">
        <v>24</v>
      </c>
      <c r="S40" s="74" t="s">
        <v>23</v>
      </c>
      <c r="T40" s="73" t="s">
        <v>24</v>
      </c>
      <c r="U40" s="74" t="s">
        <v>23</v>
      </c>
      <c r="V40" s="73" t="s">
        <v>24</v>
      </c>
      <c r="W40" s="74" t="s">
        <v>23</v>
      </c>
      <c r="X40" s="73" t="s">
        <v>24</v>
      </c>
      <c r="Y40" s="74" t="s">
        <v>23</v>
      </c>
    </row>
    <row r="41" spans="2:25" ht="32" customHeight="1" thickBot="1">
      <c r="B41" s="178"/>
      <c r="C41" s="179"/>
      <c r="D41" s="2"/>
      <c r="E41" s="165"/>
      <c r="F41" s="84">
        <v>1.4180555555555556</v>
      </c>
      <c r="G41" s="85">
        <v>1.4583333333333333</v>
      </c>
      <c r="H41" s="86">
        <f>IF(I41=0,0,G41)</f>
        <v>1.4583333333333333</v>
      </c>
      <c r="I41" s="85">
        <v>1.4791666666666667</v>
      </c>
      <c r="J41" s="86">
        <f>IF(K41=0,0,I41)</f>
        <v>1.4791666666666667</v>
      </c>
      <c r="K41" s="85">
        <v>1.620138888888889</v>
      </c>
      <c r="L41" s="86">
        <f>IF(M41=0,0,K41)</f>
        <v>1.620138888888889</v>
      </c>
      <c r="M41" s="85">
        <v>1.625</v>
      </c>
      <c r="N41" s="86">
        <f>IF(O41=0,0,M41)</f>
        <v>1.625</v>
      </c>
      <c r="O41" s="85">
        <v>1.7291666666666665</v>
      </c>
      <c r="P41" s="86">
        <f>IF(Q41=0,0,O41)</f>
        <v>1.7291666666666665</v>
      </c>
      <c r="Q41" s="85">
        <v>1.75</v>
      </c>
      <c r="R41" s="86">
        <f>IF(S41=0,0,Q41)</f>
        <v>1.75</v>
      </c>
      <c r="S41" s="85">
        <v>1.8736111111111109</v>
      </c>
      <c r="T41" s="86">
        <f>IF(U41=0,0,S41)</f>
        <v>1.8736111111111109</v>
      </c>
      <c r="U41" s="85">
        <v>1.9583333333333335</v>
      </c>
      <c r="V41" s="86">
        <f>IF(W41=0,0,U41)</f>
        <v>1.9583333333333335</v>
      </c>
      <c r="W41" s="85">
        <v>1.9791666666666665</v>
      </c>
      <c r="X41" s="86">
        <f>IF(Y41=0,0,W41)</f>
        <v>1.9791666666666665</v>
      </c>
      <c r="Y41" s="85">
        <v>2.1041666666666665</v>
      </c>
    </row>
    <row r="42" spans="2:25" ht="32" customHeight="1">
      <c r="D42" s="71"/>
      <c r="E42" s="87" t="s">
        <v>83</v>
      </c>
      <c r="F42" s="172"/>
      <c r="G42" s="173"/>
      <c r="H42" s="172" t="s">
        <v>113</v>
      </c>
      <c r="I42" s="173"/>
      <c r="J42" s="172"/>
      <c r="K42" s="173"/>
      <c r="L42" s="172"/>
      <c r="M42" s="173"/>
      <c r="N42" s="172"/>
      <c r="O42" s="173"/>
      <c r="P42" s="172" t="s">
        <v>113</v>
      </c>
      <c r="Q42" s="173"/>
      <c r="R42" s="172"/>
      <c r="S42" s="173"/>
      <c r="T42" s="172"/>
      <c r="U42" s="173"/>
      <c r="V42" s="172" t="s">
        <v>113</v>
      </c>
      <c r="W42" s="173"/>
      <c r="X42" s="172"/>
      <c r="Y42" s="173"/>
    </row>
    <row r="43" spans="2:25" ht="32" customHeight="1" thickBot="1">
      <c r="D43" s="71"/>
      <c r="E43" s="87" t="s">
        <v>86</v>
      </c>
      <c r="F43" s="166"/>
      <c r="G43" s="167"/>
      <c r="H43" s="166"/>
      <c r="I43" s="167"/>
      <c r="J43" s="166"/>
      <c r="K43" s="167"/>
      <c r="L43" s="166"/>
      <c r="M43" s="167"/>
      <c r="N43" s="166"/>
      <c r="O43" s="167"/>
      <c r="P43" s="166"/>
      <c r="Q43" s="167"/>
      <c r="R43" s="166"/>
      <c r="S43" s="167"/>
      <c r="T43" s="166" t="s">
        <v>113</v>
      </c>
      <c r="U43" s="167"/>
      <c r="V43" s="166"/>
      <c r="W43" s="167"/>
      <c r="X43" s="166" t="s">
        <v>113</v>
      </c>
      <c r="Y43" s="167"/>
    </row>
    <row r="44" spans="2:25" ht="32" customHeight="1" thickBot="1">
      <c r="B44" s="174" t="s">
        <v>20</v>
      </c>
      <c r="C44" s="175"/>
      <c r="D44" s="71"/>
      <c r="E44" s="87" t="s">
        <v>65</v>
      </c>
      <c r="F44" s="168"/>
      <c r="G44" s="169"/>
      <c r="H44" s="168"/>
      <c r="I44" s="169"/>
      <c r="J44" s="168"/>
      <c r="K44" s="169"/>
      <c r="L44" s="168" t="s">
        <v>113</v>
      </c>
      <c r="M44" s="169"/>
      <c r="N44" s="168"/>
      <c r="O44" s="169"/>
      <c r="P44" s="168"/>
      <c r="Q44" s="169"/>
      <c r="R44" s="168"/>
      <c r="S44" s="169"/>
      <c r="T44" s="168"/>
      <c r="U44" s="169"/>
      <c r="V44" s="168"/>
      <c r="W44" s="169"/>
      <c r="X44" s="168"/>
      <c r="Y44" s="169"/>
    </row>
    <row r="45" spans="2:25" ht="32" customHeight="1">
      <c r="B45" s="196">
        <f>SUM(F47:Y47,F60:Y60)</f>
        <v>7935</v>
      </c>
      <c r="C45" s="197"/>
      <c r="D45" s="71"/>
      <c r="E45" s="165" t="s">
        <v>64</v>
      </c>
      <c r="F45" s="88" t="s">
        <v>38</v>
      </c>
      <c r="G45" s="89" t="s">
        <v>39</v>
      </c>
      <c r="H45" s="88" t="s">
        <v>38</v>
      </c>
      <c r="I45" s="89" t="s">
        <v>39</v>
      </c>
      <c r="J45" s="88" t="s">
        <v>38</v>
      </c>
      <c r="K45" s="89" t="s">
        <v>39</v>
      </c>
      <c r="L45" s="88" t="s">
        <v>38</v>
      </c>
      <c r="M45" s="89" t="s">
        <v>39</v>
      </c>
      <c r="N45" s="88" t="s">
        <v>38</v>
      </c>
      <c r="O45" s="89" t="s">
        <v>39</v>
      </c>
      <c r="P45" s="88" t="s">
        <v>38</v>
      </c>
      <c r="Q45" s="89" t="s">
        <v>39</v>
      </c>
      <c r="R45" s="88" t="s">
        <v>38</v>
      </c>
      <c r="S45" s="89" t="s">
        <v>39</v>
      </c>
      <c r="T45" s="88" t="s">
        <v>38</v>
      </c>
      <c r="U45" s="89" t="s">
        <v>39</v>
      </c>
      <c r="V45" s="88" t="s">
        <v>38</v>
      </c>
      <c r="W45" s="89" t="s">
        <v>39</v>
      </c>
      <c r="X45" s="88" t="s">
        <v>38</v>
      </c>
      <c r="Y45" s="89" t="s">
        <v>39</v>
      </c>
    </row>
    <row r="46" spans="2:25" ht="32" customHeight="1">
      <c r="B46" s="90" t="s">
        <v>38</v>
      </c>
      <c r="C46" s="91" t="s">
        <v>39</v>
      </c>
      <c r="D46" s="71"/>
      <c r="E46" s="165"/>
      <c r="F46" s="92">
        <f>(1381-1005)</f>
        <v>376</v>
      </c>
      <c r="G46" s="93">
        <f>6-5</f>
        <v>1</v>
      </c>
      <c r="H46" s="92"/>
      <c r="I46" s="93"/>
      <c r="J46" s="92">
        <v>1402</v>
      </c>
      <c r="K46" s="93">
        <v>3</v>
      </c>
      <c r="L46" s="92"/>
      <c r="M46" s="93"/>
      <c r="N46" s="92">
        <f>837+(3830-3620)</f>
        <v>1047</v>
      </c>
      <c r="O46" s="93">
        <f>1+1</f>
        <v>2</v>
      </c>
      <c r="P46" s="92"/>
      <c r="Q46" s="93"/>
      <c r="R46" s="92">
        <v>1231</v>
      </c>
      <c r="S46" s="93">
        <v>2</v>
      </c>
      <c r="T46" s="92"/>
      <c r="U46" s="93"/>
      <c r="V46" s="92"/>
      <c r="W46" s="93"/>
      <c r="X46" s="92"/>
      <c r="Y46" s="93"/>
    </row>
    <row r="47" spans="2:25" ht="32" customHeight="1" thickBot="1">
      <c r="B47" s="94">
        <f>B45-C47</f>
        <v>7913</v>
      </c>
      <c r="C47" s="95">
        <f>G46+I46+K46+M46+O46+Q46+S46+U46+W46+Y46+G59+I59+K59+M59+O59+Q59+S59+U59+W59+Y59</f>
        <v>22</v>
      </c>
      <c r="D47" s="96"/>
      <c r="E47" s="165"/>
      <c r="F47" s="162">
        <f>F46+G46</f>
        <v>377</v>
      </c>
      <c r="G47" s="163"/>
      <c r="H47" s="162">
        <f>H46+I46</f>
        <v>0</v>
      </c>
      <c r="I47" s="163"/>
      <c r="J47" s="162">
        <f>J46+K46</f>
        <v>1405</v>
      </c>
      <c r="K47" s="163"/>
      <c r="L47" s="162">
        <f>L46+M46</f>
        <v>0</v>
      </c>
      <c r="M47" s="163"/>
      <c r="N47" s="162">
        <f>N46+O46</f>
        <v>1049</v>
      </c>
      <c r="O47" s="163"/>
      <c r="P47" s="162">
        <f>P46+Q46</f>
        <v>0</v>
      </c>
      <c r="Q47" s="163"/>
      <c r="R47" s="162">
        <f>R46+S46</f>
        <v>1233</v>
      </c>
      <c r="S47" s="163"/>
      <c r="T47" s="162">
        <f>T46+U46</f>
        <v>0</v>
      </c>
      <c r="U47" s="163"/>
      <c r="V47" s="162">
        <f>V46+W46</f>
        <v>0</v>
      </c>
      <c r="W47" s="163"/>
      <c r="X47" s="162">
        <f>X46+Y46</f>
        <v>0</v>
      </c>
      <c r="Y47" s="163"/>
    </row>
    <row r="48" spans="2:25" s="97" customFormat="1" ht="34" hidden="1" customHeight="1">
      <c r="D48" s="98"/>
      <c r="F48" s="99" t="s">
        <v>53</v>
      </c>
      <c r="G48" s="100">
        <f>(F49*1440*60)/(F47/IF($X36=0,1,$X36))</f>
        <v>9.230769230769198</v>
      </c>
      <c r="H48" s="99" t="s">
        <v>54</v>
      </c>
      <c r="I48" s="101" t="e">
        <f>(H49*1440*60)/(H47/IF($X36=0,1,$X36))</f>
        <v>#DIV/0!</v>
      </c>
      <c r="J48" s="99" t="s">
        <v>55</v>
      </c>
      <c r="K48" s="101">
        <f>(J49*1440*60)/(J47/IF($X36=0,1,$X36))</f>
        <v>8.6690391459074778</v>
      </c>
      <c r="L48" s="99" t="s">
        <v>56</v>
      </c>
      <c r="M48" s="101" t="e">
        <f>(L49*1440*60)/(L47/IF($X36=0,1,$X36))</f>
        <v>#DIV/0!</v>
      </c>
      <c r="N48" s="99" t="s">
        <v>57</v>
      </c>
      <c r="O48" s="101">
        <f>(N49*1440*60)/(N47/IF($X36=0,1,$X36))</f>
        <v>8.5795996186844476</v>
      </c>
      <c r="P48" s="99" t="s">
        <v>58</v>
      </c>
      <c r="Q48" s="101" t="e">
        <f>(P49*1440*60)/(P47/IF($X36=0,1,$X36))</f>
        <v>#DIV/0!</v>
      </c>
      <c r="R48" s="99" t="s">
        <v>59</v>
      </c>
      <c r="S48" s="101">
        <f>(R49*1440*60)/(R47/IF($X36=0,1,$X36))</f>
        <v>8.6618004866179898</v>
      </c>
      <c r="T48" s="99" t="s">
        <v>60</v>
      </c>
      <c r="U48" s="101" t="e">
        <f>(T49*1440*60)/(T47/IF($X36=0,1,$X36))</f>
        <v>#DIV/0!</v>
      </c>
      <c r="V48" s="99" t="s">
        <v>61</v>
      </c>
      <c r="W48" s="101" t="e">
        <f>(V49*1440*60)/(V47/IF($X36=0,1,$X36))</f>
        <v>#DIV/0!</v>
      </c>
      <c r="X48" s="99" t="s">
        <v>62</v>
      </c>
      <c r="Y48" s="101" t="e">
        <f>(X49*1440*60)/(X47/IF($X36=0,1,$X36))</f>
        <v>#DIV/0!</v>
      </c>
    </row>
    <row r="49" spans="1:25" s="102" customFormat="1" ht="32.5" hidden="1" customHeight="1">
      <c r="C49" s="103"/>
      <c r="F49" s="164">
        <f>G41-F41</f>
        <v>4.0277777777777635E-2</v>
      </c>
      <c r="G49" s="164"/>
      <c r="H49" s="164">
        <f>I41-H41</f>
        <v>2.0833333333333481E-2</v>
      </c>
      <c r="I49" s="164"/>
      <c r="J49" s="164">
        <f>K41-J41</f>
        <v>0.14097222222222228</v>
      </c>
      <c r="K49" s="164"/>
      <c r="L49" s="164">
        <f>M41-L41</f>
        <v>4.8611111111109828E-3</v>
      </c>
      <c r="M49" s="164"/>
      <c r="N49" s="164">
        <f>O41-N41</f>
        <v>0.10416666666666652</v>
      </c>
      <c r="O49" s="164"/>
      <c r="P49" s="164">
        <f>Q41-P41</f>
        <v>2.0833333333333481E-2</v>
      </c>
      <c r="Q49" s="164"/>
      <c r="R49" s="164">
        <f>S41-R41</f>
        <v>0.12361111111111089</v>
      </c>
      <c r="S49" s="164"/>
      <c r="T49" s="164">
        <f>U41-T41</f>
        <v>8.4722222222222587E-2</v>
      </c>
      <c r="U49" s="164"/>
      <c r="V49" s="164">
        <f>W41-V41</f>
        <v>2.0833333333333037E-2</v>
      </c>
      <c r="W49" s="164"/>
      <c r="X49" s="164">
        <f>Y41-X41</f>
        <v>0.125</v>
      </c>
      <c r="Y49" s="164"/>
    </row>
    <row r="50" spans="1:25" s="102" customFormat="1" ht="24.5" customHeight="1" thickBot="1">
      <c r="C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</row>
    <row r="51" spans="1:25" ht="32" customHeight="1" thickBot="1">
      <c r="A51" s="102"/>
      <c r="B51" s="102"/>
      <c r="C51" s="103"/>
      <c r="D51" s="102"/>
      <c r="F51" s="170" t="s">
        <v>91</v>
      </c>
      <c r="G51" s="171"/>
      <c r="H51" s="170" t="s">
        <v>92</v>
      </c>
      <c r="I51" s="171"/>
      <c r="J51" s="170" t="s">
        <v>93</v>
      </c>
      <c r="K51" s="171"/>
      <c r="L51" s="170" t="s">
        <v>94</v>
      </c>
      <c r="M51" s="171"/>
      <c r="N51" s="170" t="s">
        <v>95</v>
      </c>
      <c r="O51" s="171"/>
      <c r="P51" s="170" t="s">
        <v>96</v>
      </c>
      <c r="Q51" s="171"/>
      <c r="R51" s="170" t="s">
        <v>97</v>
      </c>
      <c r="S51" s="171"/>
      <c r="T51" s="170" t="s">
        <v>98</v>
      </c>
      <c r="U51" s="171"/>
      <c r="V51" s="170" t="s">
        <v>99</v>
      </c>
      <c r="W51" s="171"/>
      <c r="X51" s="170" t="s">
        <v>100</v>
      </c>
      <c r="Y51" s="171"/>
    </row>
    <row r="52" spans="1:25" s="83" customFormat="1" ht="32" customHeight="1" thickBot="1">
      <c r="A52" s="102"/>
      <c r="B52" s="105" t="s">
        <v>112</v>
      </c>
      <c r="C52" s="61">
        <v>12</v>
      </c>
      <c r="D52" s="102"/>
      <c r="E52" s="80" t="s">
        <v>63</v>
      </c>
      <c r="F52" s="81" t="str">
        <f>IF(F60=0,"",F61)</f>
        <v/>
      </c>
      <c r="G52" s="82" t="str">
        <f>IF(F60=0,"",G61)</f>
        <v/>
      </c>
      <c r="H52" s="81" t="str">
        <f>IF(H60=0,"",H61)</f>
        <v>C.T in P12</v>
      </c>
      <c r="I52" s="82">
        <f>IF(H60=0,"",I61)</f>
        <v>8.798370672097759</v>
      </c>
      <c r="J52" s="81" t="str">
        <f>IF(J60=0,"",J61)</f>
        <v>C.T in P13</v>
      </c>
      <c r="K52" s="82">
        <f>IF(J60=0,"",K61)</f>
        <v>8.8636363636363544</v>
      </c>
      <c r="L52" s="81" t="str">
        <f>IF(L60=0,"",L61)</f>
        <v>C.T in P14</v>
      </c>
      <c r="M52" s="82">
        <f>IF(L60=0,"",M61)</f>
        <v>8.894878706199508</v>
      </c>
      <c r="N52" s="81" t="str">
        <f>IF(N60=0,"",N61)</f>
        <v/>
      </c>
      <c r="O52" s="82" t="str">
        <f>IF(N60=0,"",O61)</f>
        <v/>
      </c>
      <c r="P52" s="81" t="str">
        <f>IF(P60=0,"",P61)</f>
        <v>C.T in P16</v>
      </c>
      <c r="Q52" s="82">
        <f>IF(P60=0,"",Q61)</f>
        <v>8.9256198347107443</v>
      </c>
      <c r="R52" s="81" t="str">
        <f>IF(R60=0,"",R61)</f>
        <v/>
      </c>
      <c r="S52" s="82" t="str">
        <f>IF(R60=0,"",S61)</f>
        <v/>
      </c>
      <c r="T52" s="81" t="str">
        <f>IF(T60=0,"",T61)</f>
        <v/>
      </c>
      <c r="U52" s="82" t="str">
        <f>IF(T60=0,"",U61)</f>
        <v/>
      </c>
      <c r="V52" s="81" t="str">
        <f>IF(V60=0,"",V61)</f>
        <v/>
      </c>
      <c r="W52" s="82" t="str">
        <f>IF(V60=0,"",W61)</f>
        <v/>
      </c>
      <c r="X52" s="81" t="str">
        <f>IF(X60=0,"",X61)</f>
        <v/>
      </c>
      <c r="Y52" s="82" t="str">
        <f>IF(X60=0,"",Y61)</f>
        <v/>
      </c>
    </row>
    <row r="53" spans="1:25" ht="32" customHeight="1">
      <c r="A53" s="102"/>
      <c r="B53" s="212" t="s">
        <v>114</v>
      </c>
      <c r="C53" s="213"/>
      <c r="D53" s="102"/>
      <c r="E53" s="165" t="s">
        <v>22</v>
      </c>
      <c r="F53" s="73" t="s">
        <v>24</v>
      </c>
      <c r="G53" s="74" t="s">
        <v>23</v>
      </c>
      <c r="H53" s="73" t="s">
        <v>24</v>
      </c>
      <c r="I53" s="74" t="s">
        <v>23</v>
      </c>
      <c r="J53" s="73" t="s">
        <v>24</v>
      </c>
      <c r="K53" s="74" t="s">
        <v>23</v>
      </c>
      <c r="L53" s="73" t="s">
        <v>24</v>
      </c>
      <c r="M53" s="74" t="s">
        <v>23</v>
      </c>
      <c r="N53" s="73" t="s">
        <v>24</v>
      </c>
      <c r="O53" s="74" t="s">
        <v>23</v>
      </c>
      <c r="P53" s="73" t="s">
        <v>24</v>
      </c>
      <c r="Q53" s="74" t="s">
        <v>23</v>
      </c>
      <c r="R53" s="73" t="s">
        <v>24</v>
      </c>
      <c r="S53" s="74" t="s">
        <v>23</v>
      </c>
      <c r="T53" s="73" t="s">
        <v>24</v>
      </c>
      <c r="U53" s="74" t="s">
        <v>23</v>
      </c>
      <c r="V53" s="73" t="s">
        <v>24</v>
      </c>
      <c r="W53" s="74" t="s">
        <v>23</v>
      </c>
      <c r="X53" s="73" t="s">
        <v>24</v>
      </c>
      <c r="Y53" s="74" t="s">
        <v>23</v>
      </c>
    </row>
    <row r="54" spans="1:25" ht="32" customHeight="1" thickBot="1">
      <c r="A54" s="102"/>
      <c r="B54" s="208">
        <f>IF(R36=0,"",(R36*IF(OR(C52=12,C52=10),720,480))/I36)</f>
        <v>3.1149567367119086</v>
      </c>
      <c r="C54" s="209"/>
      <c r="D54" s="102"/>
      <c r="E54" s="165"/>
      <c r="F54" s="86">
        <f>IF(G54=0,0,Y41)</f>
        <v>2.1041666666666665</v>
      </c>
      <c r="G54" s="85">
        <v>2.125</v>
      </c>
      <c r="H54" s="86">
        <f>IF(I54=0,0,G54)</f>
        <v>2.125</v>
      </c>
      <c r="I54" s="85">
        <v>2.375</v>
      </c>
      <c r="J54" s="86">
        <f>IF(K54=0,0,I54)</f>
        <v>2.375</v>
      </c>
      <c r="K54" s="85">
        <v>2.4201388888888888</v>
      </c>
      <c r="L54" s="86">
        <f>IF(M54=0,0,K54)</f>
        <v>2.4201388888888888</v>
      </c>
      <c r="M54" s="85">
        <v>2.4583333333333335</v>
      </c>
      <c r="N54" s="86">
        <f>IF(O54=0,0,M54)</f>
        <v>2.4583333333333335</v>
      </c>
      <c r="O54" s="85">
        <v>2.4791666666666665</v>
      </c>
      <c r="P54" s="86">
        <f>IF(Q54=0,0,O54)</f>
        <v>2.4791666666666665</v>
      </c>
      <c r="Q54" s="85">
        <v>2.5416666666666665</v>
      </c>
      <c r="R54" s="86">
        <f>IF(S54=0,0,Q54)</f>
        <v>0</v>
      </c>
      <c r="S54" s="85"/>
      <c r="T54" s="86">
        <f>IF(U54=0,0,S54)</f>
        <v>0</v>
      </c>
      <c r="U54" s="85"/>
      <c r="V54" s="86">
        <f>IF(W54=0,0,U54)</f>
        <v>0</v>
      </c>
      <c r="W54" s="85"/>
      <c r="X54" s="86">
        <f>IF(Y54=0,0,W54)</f>
        <v>0</v>
      </c>
      <c r="Y54" s="85"/>
    </row>
    <row r="55" spans="1:25" ht="32" customHeight="1">
      <c r="A55" s="102"/>
      <c r="B55" s="210" t="s">
        <v>115</v>
      </c>
      <c r="C55" s="211"/>
      <c r="D55" s="102"/>
      <c r="E55" s="87" t="s">
        <v>83</v>
      </c>
      <c r="F55" s="172" t="s">
        <v>113</v>
      </c>
      <c r="G55" s="173"/>
      <c r="H55" s="172"/>
      <c r="I55" s="173"/>
      <c r="J55" s="172"/>
      <c r="K55" s="173"/>
      <c r="L55" s="172"/>
      <c r="M55" s="173"/>
      <c r="N55" s="172" t="s">
        <v>113</v>
      </c>
      <c r="O55" s="173"/>
      <c r="P55" s="172"/>
      <c r="Q55" s="173"/>
      <c r="R55" s="172"/>
      <c r="S55" s="173"/>
      <c r="T55" s="172"/>
      <c r="U55" s="173"/>
      <c r="V55" s="172"/>
      <c r="W55" s="173"/>
      <c r="X55" s="172"/>
      <c r="Y55" s="173"/>
    </row>
    <row r="56" spans="1:25" ht="32" customHeight="1" thickBot="1">
      <c r="B56" s="208">
        <f>IF(T36=0,"",(T36*IF(OR(C52=12,C52=10),720,480))/I36)</f>
        <v>13.949644195838472</v>
      </c>
      <c r="C56" s="209"/>
      <c r="D56" s="71"/>
      <c r="E56" s="87" t="s">
        <v>86</v>
      </c>
      <c r="F56" s="166"/>
      <c r="G56" s="167"/>
      <c r="H56" s="166"/>
      <c r="I56" s="167"/>
      <c r="J56" s="166"/>
      <c r="K56" s="167"/>
      <c r="L56" s="166"/>
      <c r="M56" s="167"/>
      <c r="N56" s="166"/>
      <c r="O56" s="167"/>
      <c r="P56" s="166"/>
      <c r="Q56" s="167"/>
      <c r="R56" s="166"/>
      <c r="S56" s="167"/>
      <c r="T56" s="166"/>
      <c r="U56" s="167"/>
      <c r="V56" s="166"/>
      <c r="W56" s="167"/>
      <c r="X56" s="166"/>
      <c r="Y56" s="167"/>
    </row>
    <row r="57" spans="1:25" ht="32" customHeight="1" thickBot="1">
      <c r="B57" s="102"/>
      <c r="C57" s="103"/>
      <c r="D57" s="71"/>
      <c r="E57" s="87" t="s">
        <v>65</v>
      </c>
      <c r="F57" s="168"/>
      <c r="G57" s="169"/>
      <c r="H57" s="168"/>
      <c r="I57" s="169"/>
      <c r="J57" s="168"/>
      <c r="K57" s="169"/>
      <c r="L57" s="168"/>
      <c r="M57" s="169"/>
      <c r="N57" s="168"/>
      <c r="O57" s="169"/>
      <c r="P57" s="168"/>
      <c r="Q57" s="169"/>
      <c r="R57" s="168"/>
      <c r="S57" s="169"/>
      <c r="T57" s="168"/>
      <c r="U57" s="169"/>
      <c r="V57" s="168"/>
      <c r="W57" s="169"/>
      <c r="X57" s="168"/>
      <c r="Y57" s="169"/>
    </row>
    <row r="58" spans="1:25" ht="32" customHeight="1">
      <c r="B58" s="102"/>
      <c r="C58" s="103"/>
      <c r="D58" s="71"/>
      <c r="E58" s="165" t="s">
        <v>64</v>
      </c>
      <c r="F58" s="88" t="s">
        <v>38</v>
      </c>
      <c r="G58" s="89" t="s">
        <v>39</v>
      </c>
      <c r="H58" s="88" t="s">
        <v>38</v>
      </c>
      <c r="I58" s="89" t="s">
        <v>39</v>
      </c>
      <c r="J58" s="88" t="s">
        <v>38</v>
      </c>
      <c r="K58" s="89" t="s">
        <v>39</v>
      </c>
      <c r="L58" s="88" t="s">
        <v>38</v>
      </c>
      <c r="M58" s="89" t="s">
        <v>39</v>
      </c>
      <c r="N58" s="88" t="s">
        <v>38</v>
      </c>
      <c r="O58" s="89" t="s">
        <v>39</v>
      </c>
      <c r="P58" s="88" t="s">
        <v>38</v>
      </c>
      <c r="Q58" s="89" t="s">
        <v>39</v>
      </c>
      <c r="R58" s="88" t="s">
        <v>38</v>
      </c>
      <c r="S58" s="89" t="s">
        <v>39</v>
      </c>
      <c r="T58" s="88" t="s">
        <v>38</v>
      </c>
      <c r="U58" s="89" t="s">
        <v>39</v>
      </c>
      <c r="V58" s="88" t="s">
        <v>38</v>
      </c>
      <c r="W58" s="89" t="s">
        <v>39</v>
      </c>
      <c r="X58" s="88" t="s">
        <v>38</v>
      </c>
      <c r="Y58" s="89" t="s">
        <v>39</v>
      </c>
    </row>
    <row r="59" spans="1:25" ht="32" customHeight="1">
      <c r="B59" s="102"/>
      <c r="C59" s="103"/>
      <c r="D59" s="71"/>
      <c r="E59" s="165"/>
      <c r="F59" s="92"/>
      <c r="G59" s="93"/>
      <c r="H59" s="92">
        <v>2442</v>
      </c>
      <c r="I59" s="93">
        <v>13</v>
      </c>
      <c r="J59" s="92">
        <f>2882-2442</f>
        <v>440</v>
      </c>
      <c r="K59" s="93">
        <v>0</v>
      </c>
      <c r="L59" s="92">
        <f>3252-2882</f>
        <v>370</v>
      </c>
      <c r="M59" s="93">
        <v>1</v>
      </c>
      <c r="N59" s="92"/>
      <c r="O59" s="93"/>
      <c r="P59" s="92">
        <f>3857-3252</f>
        <v>605</v>
      </c>
      <c r="Q59" s="93">
        <v>0</v>
      </c>
      <c r="R59" s="92"/>
      <c r="S59" s="93"/>
      <c r="T59" s="92"/>
      <c r="U59" s="93"/>
      <c r="V59" s="92"/>
      <c r="W59" s="93"/>
      <c r="X59" s="92"/>
      <c r="Y59" s="93"/>
    </row>
    <row r="60" spans="1:25" ht="32" customHeight="1" thickBot="1">
      <c r="B60" s="102"/>
      <c r="C60" s="103"/>
      <c r="D60" s="96"/>
      <c r="E60" s="165"/>
      <c r="F60" s="162">
        <f>F59+G59</f>
        <v>0</v>
      </c>
      <c r="G60" s="163"/>
      <c r="H60" s="162">
        <f>H59+I59</f>
        <v>2455</v>
      </c>
      <c r="I60" s="163"/>
      <c r="J60" s="162">
        <f>J59+K59</f>
        <v>440</v>
      </c>
      <c r="K60" s="163"/>
      <c r="L60" s="162">
        <f>L59+M59</f>
        <v>371</v>
      </c>
      <c r="M60" s="163"/>
      <c r="N60" s="162">
        <f>N59+O59</f>
        <v>0</v>
      </c>
      <c r="O60" s="163"/>
      <c r="P60" s="162">
        <f>P59+Q59</f>
        <v>605</v>
      </c>
      <c r="Q60" s="163"/>
      <c r="R60" s="162">
        <f>R59+S59</f>
        <v>0</v>
      </c>
      <c r="S60" s="163"/>
      <c r="T60" s="162">
        <f>T59+U59</f>
        <v>0</v>
      </c>
      <c r="U60" s="163"/>
      <c r="V60" s="162">
        <f>V59+W59</f>
        <v>0</v>
      </c>
      <c r="W60" s="163"/>
      <c r="X60" s="162">
        <f>X59+Y59</f>
        <v>0</v>
      </c>
      <c r="Y60" s="163"/>
    </row>
    <row r="61" spans="1:25" s="97" customFormat="1" ht="34" hidden="1" customHeight="1">
      <c r="B61" s="102"/>
      <c r="C61" s="103"/>
      <c r="D61" s="98"/>
      <c r="F61" s="99" t="s">
        <v>101</v>
      </c>
      <c r="G61" s="100" t="e">
        <f>(F62*1440*60)/(F60/IF($X36=0,1,$X36))</f>
        <v>#DIV/0!</v>
      </c>
      <c r="H61" s="99" t="s">
        <v>102</v>
      </c>
      <c r="I61" s="100">
        <f>(H62*1440*60)/(H60/IF($X36=0,1,$X36))</f>
        <v>8.798370672097759</v>
      </c>
      <c r="J61" s="99" t="s">
        <v>103</v>
      </c>
      <c r="K61" s="100">
        <f>(J62*1440*60)/(J60/IF($X36=0,1,$X36))</f>
        <v>8.8636363636363544</v>
      </c>
      <c r="L61" s="99" t="s">
        <v>104</v>
      </c>
      <c r="M61" s="100">
        <f>(L62*1440*60)/(L60/IF($X36=0,1,$X36))</f>
        <v>8.894878706199508</v>
      </c>
      <c r="N61" s="99" t="s">
        <v>105</v>
      </c>
      <c r="O61" s="100" t="e">
        <f>(N62*1440*60)/(N60/IF($X36=0,1,$X36))</f>
        <v>#DIV/0!</v>
      </c>
      <c r="P61" s="99" t="s">
        <v>106</v>
      </c>
      <c r="Q61" s="100">
        <f>(P62*1440*60)/(P60/IF($X36=0,1,$X36))</f>
        <v>8.9256198347107443</v>
      </c>
      <c r="R61" s="99" t="s">
        <v>107</v>
      </c>
      <c r="S61" s="100" t="e">
        <f>(R62*1440*60)/(R60/IF($X36=0,1,$X36))</f>
        <v>#DIV/0!</v>
      </c>
      <c r="T61" s="99" t="s">
        <v>108</v>
      </c>
      <c r="U61" s="100" t="e">
        <f>(T62*1440*60)/(T60/IF($X36=0,1,$X36))</f>
        <v>#DIV/0!</v>
      </c>
      <c r="V61" s="99" t="s">
        <v>109</v>
      </c>
      <c r="W61" s="100" t="e">
        <f>(V62*1440*60)/(V60/IF($X36=0,1,$X36))</f>
        <v>#DIV/0!</v>
      </c>
      <c r="X61" s="99" t="s">
        <v>110</v>
      </c>
      <c r="Y61" s="100" t="e">
        <f>(X62*1440*60)/(X60/IF($X36=0,1,$X36))</f>
        <v>#DIV/0!</v>
      </c>
    </row>
    <row r="62" spans="1:25" s="102" customFormat="1" ht="32.5" hidden="1" customHeight="1">
      <c r="C62" s="103"/>
      <c r="F62" s="164">
        <f>G54-F54</f>
        <v>2.0833333333333481E-2</v>
      </c>
      <c r="G62" s="164"/>
      <c r="H62" s="164">
        <f>I54-H54</f>
        <v>0.25</v>
      </c>
      <c r="I62" s="164"/>
      <c r="J62" s="164">
        <f>K54-J54</f>
        <v>4.513888888888884E-2</v>
      </c>
      <c r="K62" s="164"/>
      <c r="L62" s="164">
        <f>M54-L54</f>
        <v>3.8194444444444642E-2</v>
      </c>
      <c r="M62" s="164"/>
      <c r="N62" s="164">
        <f>O54-N54</f>
        <v>2.0833333333333037E-2</v>
      </c>
      <c r="O62" s="164"/>
      <c r="P62" s="164">
        <f>Q54-P54</f>
        <v>6.25E-2</v>
      </c>
      <c r="Q62" s="164"/>
      <c r="R62" s="164">
        <f>S54-R54</f>
        <v>0</v>
      </c>
      <c r="S62" s="164"/>
      <c r="T62" s="164">
        <f>U54-T54</f>
        <v>0</v>
      </c>
      <c r="U62" s="164"/>
      <c r="V62" s="164">
        <f>W54-V54</f>
        <v>0</v>
      </c>
      <c r="W62" s="164"/>
      <c r="X62" s="164">
        <f>Y54-X54</f>
        <v>0</v>
      </c>
      <c r="Y62" s="164"/>
    </row>
    <row r="63" spans="1:25" ht="59.5" hidden="1" customHeight="1" outlineLevel="1" thickBot="1">
      <c r="B63" s="65"/>
      <c r="C63" s="66"/>
      <c r="E63" s="2"/>
      <c r="F63" s="67"/>
      <c r="G63" s="68"/>
      <c r="H63" s="2"/>
      <c r="I63" s="69"/>
      <c r="J63" s="69"/>
      <c r="K63" s="2"/>
      <c r="L63" s="70"/>
      <c r="M63" s="2"/>
      <c r="N63" s="2"/>
      <c r="O63" s="2"/>
      <c r="P63" s="2"/>
      <c r="Q63" s="2"/>
      <c r="R63" s="2"/>
      <c r="S63" s="2"/>
      <c r="T63" s="2"/>
      <c r="U63" s="2"/>
      <c r="V63" s="71"/>
    </row>
    <row r="64" spans="1:25" ht="27.5" hidden="1" customHeight="1" outlineLevel="1">
      <c r="B64" s="72">
        <v>3</v>
      </c>
      <c r="F64" s="73" t="s">
        <v>2</v>
      </c>
      <c r="G64" s="74" t="s">
        <v>3</v>
      </c>
      <c r="H64" s="75"/>
      <c r="I64" s="176" t="s">
        <v>21</v>
      </c>
      <c r="J64" s="177"/>
      <c r="K64" s="75"/>
      <c r="L64" s="176" t="s">
        <v>85</v>
      </c>
      <c r="M64" s="177"/>
      <c r="N64" s="75"/>
      <c r="O64" s="176" t="s">
        <v>84</v>
      </c>
      <c r="P64" s="177"/>
      <c r="R64" s="180" t="s">
        <v>88</v>
      </c>
      <c r="S64" s="181"/>
      <c r="T64" s="182" t="s">
        <v>87</v>
      </c>
      <c r="U64" s="183"/>
      <c r="W64" s="75"/>
      <c r="X64" s="184" t="s">
        <v>37</v>
      </c>
      <c r="Y64" s="185"/>
    </row>
    <row r="65" spans="1:25" ht="36.5" hidden="1" customHeight="1" outlineLevel="1" thickBot="1">
      <c r="B65" s="65" t="s">
        <v>4</v>
      </c>
      <c r="C65" s="76"/>
      <c r="F65" s="77">
        <f>F70</f>
        <v>1.75</v>
      </c>
      <c r="G65" s="78">
        <f>IF(Y83&lt;&gt;0,Y83,IF(W83&lt;&gt;0,W83,IF(U83&lt;&gt;0,U83,IF(S83&lt;&gt;0,S83,IF(Q83&lt;&gt;0,Q83,IF(O83&lt;&gt;0,O83,IF(M83&lt;&gt;0,M83,IF(K83&lt;&gt;0,K83,IF(I83&lt;&gt;0,I83,IF(G83&lt;&gt;0,G83,IF(Y70&lt;&gt;0,Y70,IF(W70&lt;&gt;0,W70,IF(U70&lt;&gt;0,U70,IF(S70&lt;&gt;0,S70,IF(Q70&lt;&gt;0,Q70,IF(O70&lt;&gt;0,O70,IF(M70&lt;&gt;0,M70,IF(K70&lt;&gt;0,K70,IF(I70&lt;&gt;0,I70,G70)))))))))))))))))))</f>
        <v>2.375</v>
      </c>
      <c r="I65" s="186">
        <f>SUM(F78:Y78,F91:Y91)*1440</f>
        <v>900</v>
      </c>
      <c r="J65" s="187"/>
      <c r="L65" s="188">
        <f>(IF(R71=0,0,R78)+IF(P71=0,0,P78)+IF(N71=0,0,N78)+IF(L71=0,0,L78)+IF(J71=0,0,J78)+IF(H71=0,0,H78)+IF(T71=0,0,T78)+IF(F71=0,0,F78)+IF(V71=0,0,V78)+IF(X71=0,0,X78)+IF(F84=0,0,F91)+IF(H84=0,0,H91)+IF(J84=0,0,J91)+IF(L84=0,0,L91)+IF(N84=0,0,N91)+IF(P84=0,0,P91)+IF(R84=0,0,R91)+IF(T84=0,0,T91)+IF(V84=0,0,V91)+IF(X84=0,0,X91))*1440</f>
        <v>59.999999999999787</v>
      </c>
      <c r="M65" s="189"/>
      <c r="O65" s="188">
        <f>(IF(R72=0,0,R78)+IF(P72=0,0,P78)+IF(N72=0,0,N78)+IF(L72=0,0,L78)+IF(J72=0,0,J78)+IF(H72=0,0,H78)+IF(T72=0,0,T78)+IF(F72=0,0,F78)+IF(V72=0,0,V78)+IF(X72=0,0,X78)+IF(F85=0,0,F91)+IF(H85=0,0,H91)+IF(J85=0,0,J91)+IF(L85=0,0,L91)+IF(N85=0,0,N91)+IF(P85=0,0,P91)+IF(R85=0,0,R91)+IF(T85=0,0,T91)+IF(V85=0,0,V91)+IF(X85=0,0,X91))*1440</f>
        <v>302.00000000000051</v>
      </c>
      <c r="P65" s="189"/>
      <c r="R65" s="190">
        <f>(IF(R73=0,0,R78)+IF(P73=0,0,P78)+IF(N73=0,0,N78)+IF(L73=0,0,L78)+IF(J73=0,0,J78)+IF(H73=0,0,H78)+IF(T73=0,0,T78)+IF(F73=0,0,F78)+IF(V73=0,0,V78)+IF(X73=0,0,X78)+IF(F86=0,0,F91)+IF(H86=0,0,H91)+IF(J86=0,0,J91)+IF(L86=0,0,L91)+IF(N86=0,0,N91)+IF(P86=0,0,P91)+IF(R86=0,0,R91)+IF(T86=0,0,T91)+IF(V86=0,0,V91)+IF(X86=0,0,X91))*1440</f>
        <v>0</v>
      </c>
      <c r="S65" s="191"/>
      <c r="T65" s="192">
        <f>(I65-L65-O65)-(IF(B70="",MIN(G68,I68,K68,M68,O68,Q68,S68,U68,W68,Y68,G81,I81,K81,M81,O81,Q81,S81,U81,W81,Y81),B70)/60*(B74/IF($X65=0,1,$X65)))</f>
        <v>16.113207547171442</v>
      </c>
      <c r="U65" s="193"/>
      <c r="X65" s="194"/>
      <c r="Y65" s="195"/>
    </row>
    <row r="66" spans="1:25" ht="11.5" hidden="1" customHeight="1" outlineLevel="1" thickBot="1">
      <c r="B66" s="65"/>
      <c r="C66" s="66"/>
      <c r="E66" s="2"/>
      <c r="F66" s="67"/>
      <c r="G66" s="68"/>
      <c r="H66" s="2"/>
      <c r="I66" s="69"/>
      <c r="J66" s="69"/>
      <c r="K66" s="2"/>
      <c r="L66" s="70"/>
      <c r="M66" s="2"/>
      <c r="N66" s="2"/>
      <c r="O66" s="2"/>
      <c r="P66" s="2"/>
      <c r="Q66" s="2"/>
      <c r="R66" s="2"/>
      <c r="S66" s="2"/>
      <c r="T66" s="2"/>
      <c r="U66" s="2"/>
      <c r="V66" s="71"/>
    </row>
    <row r="67" spans="1:25" ht="32" hidden="1" customHeight="1" outlineLevel="1">
      <c r="B67" s="176" t="s">
        <v>40</v>
      </c>
      <c r="C67" s="177"/>
      <c r="F67" s="170" t="s">
        <v>41</v>
      </c>
      <c r="G67" s="171"/>
      <c r="H67" s="170" t="s">
        <v>42</v>
      </c>
      <c r="I67" s="171"/>
      <c r="J67" s="170" t="s">
        <v>27</v>
      </c>
      <c r="K67" s="171"/>
      <c r="L67" s="170" t="s">
        <v>28</v>
      </c>
      <c r="M67" s="171"/>
      <c r="N67" s="170" t="s">
        <v>29</v>
      </c>
      <c r="O67" s="171"/>
      <c r="P67" s="170" t="s">
        <v>30</v>
      </c>
      <c r="Q67" s="171"/>
      <c r="R67" s="170" t="s">
        <v>31</v>
      </c>
      <c r="S67" s="171"/>
      <c r="T67" s="170" t="s">
        <v>32</v>
      </c>
      <c r="U67" s="171"/>
      <c r="V67" s="170" t="s">
        <v>51</v>
      </c>
      <c r="W67" s="171"/>
      <c r="X67" s="170" t="s">
        <v>52</v>
      </c>
      <c r="Y67" s="171"/>
    </row>
    <row r="68" spans="1:25" s="83" customFormat="1" ht="32" hidden="1" customHeight="1" outlineLevel="1" thickBot="1">
      <c r="B68" s="198">
        <f>IF(SUM(F76:Y76,F89:Y89)=0,"",(I65-L65-O65-R65)*60/(B74/IF($X65=0,1,$X65)))</f>
        <v>8.7527114967461994</v>
      </c>
      <c r="C68" s="199"/>
      <c r="D68" s="79"/>
      <c r="E68" s="80" t="s">
        <v>63</v>
      </c>
      <c r="F68" s="81" t="str">
        <f>IF(F76=0,"",F77)</f>
        <v>C.T in P1</v>
      </c>
      <c r="G68" s="82">
        <f>IF(F76=0,"",G77)</f>
        <v>8.5918854415274151</v>
      </c>
      <c r="H68" s="81" t="str">
        <f>IF(H76=0,"",H77)</f>
        <v>C.T in P2</v>
      </c>
      <c r="I68" s="82">
        <f>IF(H76=0,"",I77)</f>
        <v>8.7804878048781116</v>
      </c>
      <c r="J68" s="81" t="str">
        <f>IF(J76=0,"",J77)</f>
        <v>C.T in P3</v>
      </c>
      <c r="K68" s="82">
        <f>IF(J76=0,"",K77)</f>
        <v>8.6138613861385362</v>
      </c>
      <c r="L68" s="81" t="str">
        <f>IF(L76=0,"",L77)</f>
        <v/>
      </c>
      <c r="M68" s="82" t="str">
        <f>IF(L76=0,"",M77)</f>
        <v/>
      </c>
      <c r="N68" s="81" t="str">
        <f>IF(N76=0,"",N77)</f>
        <v/>
      </c>
      <c r="O68" s="82" t="str">
        <f>IF(N76=0,"",O77)</f>
        <v/>
      </c>
      <c r="P68" s="81" t="str">
        <f>IF(P76=0,"",P77)</f>
        <v/>
      </c>
      <c r="Q68" s="82" t="str">
        <f>IF(P76=0,"",Q77)</f>
        <v/>
      </c>
      <c r="R68" s="81" t="str">
        <f>IF(R76=0,"",R77)</f>
        <v/>
      </c>
      <c r="S68" s="82" t="str">
        <f>IF(R76=0,"",S77)</f>
        <v/>
      </c>
      <c r="T68" s="81" t="str">
        <f>IF(T76=0,"",T77)</f>
        <v>C.T in P8</v>
      </c>
      <c r="U68" s="82">
        <f>IF(T76=0,"",U77)</f>
        <v>9.3994778067884788</v>
      </c>
      <c r="V68" s="81" t="str">
        <f>IF(V76=0,"",V77)</f>
        <v>C.T in P9</v>
      </c>
      <c r="W68" s="82">
        <f>IF(V76=0,"",W77)</f>
        <v>8.9108910891089739</v>
      </c>
      <c r="X68" s="81" t="str">
        <f>IF(X76=0,"",X77)</f>
        <v>C.T in P10</v>
      </c>
      <c r="Y68" s="82">
        <f>IF(X76=0,"",Y77)</f>
        <v>8.5918854415274151</v>
      </c>
    </row>
    <row r="69" spans="1:25" ht="32" hidden="1" customHeight="1" outlineLevel="1">
      <c r="B69" s="176" t="s">
        <v>67</v>
      </c>
      <c r="C69" s="177"/>
      <c r="E69" s="165" t="s">
        <v>22</v>
      </c>
      <c r="F69" s="73" t="s">
        <v>24</v>
      </c>
      <c r="G69" s="74" t="s">
        <v>23</v>
      </c>
      <c r="H69" s="73" t="s">
        <v>24</v>
      </c>
      <c r="I69" s="74" t="s">
        <v>23</v>
      </c>
      <c r="J69" s="73" t="s">
        <v>24</v>
      </c>
      <c r="K69" s="74" t="s">
        <v>23</v>
      </c>
      <c r="L69" s="73" t="s">
        <v>24</v>
      </c>
      <c r="M69" s="74" t="s">
        <v>23</v>
      </c>
      <c r="N69" s="73" t="s">
        <v>24</v>
      </c>
      <c r="O69" s="74" t="s">
        <v>23</v>
      </c>
      <c r="P69" s="73" t="s">
        <v>24</v>
      </c>
      <c r="Q69" s="74" t="s">
        <v>23</v>
      </c>
      <c r="R69" s="73" t="s">
        <v>24</v>
      </c>
      <c r="S69" s="74" t="s">
        <v>23</v>
      </c>
      <c r="T69" s="73" t="s">
        <v>24</v>
      </c>
      <c r="U69" s="74" t="s">
        <v>23</v>
      </c>
      <c r="V69" s="73" t="s">
        <v>24</v>
      </c>
      <c r="W69" s="74" t="s">
        <v>23</v>
      </c>
      <c r="X69" s="73" t="s">
        <v>24</v>
      </c>
      <c r="Y69" s="74" t="s">
        <v>23</v>
      </c>
    </row>
    <row r="70" spans="1:25" ht="32" hidden="1" customHeight="1" outlineLevel="1" thickBot="1">
      <c r="B70" s="178"/>
      <c r="C70" s="179"/>
      <c r="D70" s="2"/>
      <c r="E70" s="165"/>
      <c r="F70" s="84">
        <v>1.75</v>
      </c>
      <c r="G70" s="85">
        <v>1.7916666666666665</v>
      </c>
      <c r="H70" s="86">
        <f>IF(I70=0,0,G70)</f>
        <v>1.7916666666666665</v>
      </c>
      <c r="I70" s="85">
        <v>1.8333333333333335</v>
      </c>
      <c r="J70" s="86">
        <f>IF(K70=0,0,I70)</f>
        <v>1.8333333333333335</v>
      </c>
      <c r="K70" s="85">
        <v>1.8736111111111109</v>
      </c>
      <c r="L70" s="86">
        <f>IF(M70=0,0,K70)</f>
        <v>1.8736111111111109</v>
      </c>
      <c r="M70" s="85">
        <v>1.9583333333333335</v>
      </c>
      <c r="N70" s="86">
        <f>IF(O70=0,0,M70)</f>
        <v>1.9583333333333335</v>
      </c>
      <c r="O70" s="85">
        <v>1.9791666666666665</v>
      </c>
      <c r="P70" s="86">
        <f>IF(Q70=0,0,O70)</f>
        <v>1.9791666666666665</v>
      </c>
      <c r="Q70" s="85">
        <v>2.1041666666666665</v>
      </c>
      <c r="R70" s="86">
        <f>IF(S70=0,0,Q70)</f>
        <v>2.1041666666666665</v>
      </c>
      <c r="S70" s="85">
        <v>2.125</v>
      </c>
      <c r="T70" s="86">
        <f>IF(U70=0,0,S70)</f>
        <v>2.125</v>
      </c>
      <c r="U70" s="85">
        <v>2.1666666666666665</v>
      </c>
      <c r="V70" s="86">
        <f>IF(W70=0,0,U70)</f>
        <v>2.1666666666666665</v>
      </c>
      <c r="W70" s="85">
        <v>2.2083333333333335</v>
      </c>
      <c r="X70" s="86">
        <f>IF(Y70=0,0,W70)</f>
        <v>2.2083333333333335</v>
      </c>
      <c r="Y70" s="85">
        <v>2.25</v>
      </c>
    </row>
    <row r="71" spans="1:25" ht="32" hidden="1" customHeight="1" outlineLevel="1">
      <c r="D71" s="71"/>
      <c r="E71" s="87" t="s">
        <v>83</v>
      </c>
      <c r="F71" s="172"/>
      <c r="G71" s="173"/>
      <c r="H71" s="172"/>
      <c r="I71" s="173"/>
      <c r="J71" s="172"/>
      <c r="K71" s="173"/>
      <c r="L71" s="172"/>
      <c r="M71" s="173"/>
      <c r="N71" s="172" t="s">
        <v>113</v>
      </c>
      <c r="O71" s="173"/>
      <c r="P71" s="172"/>
      <c r="Q71" s="173"/>
      <c r="R71" s="172" t="s">
        <v>113</v>
      </c>
      <c r="S71" s="173"/>
      <c r="T71" s="172"/>
      <c r="U71" s="173"/>
      <c r="V71" s="172"/>
      <c r="W71" s="173"/>
      <c r="X71" s="172"/>
      <c r="Y71" s="173"/>
    </row>
    <row r="72" spans="1:25" ht="32" hidden="1" customHeight="1" outlineLevel="1" thickBot="1">
      <c r="D72" s="71"/>
      <c r="E72" s="87" t="s">
        <v>86</v>
      </c>
      <c r="F72" s="166"/>
      <c r="G72" s="167"/>
      <c r="H72" s="166"/>
      <c r="I72" s="167"/>
      <c r="J72" s="166"/>
      <c r="K72" s="167"/>
      <c r="L72" s="166" t="s">
        <v>113</v>
      </c>
      <c r="M72" s="167"/>
      <c r="N72" s="166"/>
      <c r="O72" s="167"/>
      <c r="P72" s="166" t="s">
        <v>113</v>
      </c>
      <c r="Q72" s="167"/>
      <c r="R72" s="166"/>
      <c r="S72" s="167"/>
      <c r="T72" s="166"/>
      <c r="U72" s="167"/>
      <c r="V72" s="166"/>
      <c r="W72" s="167"/>
      <c r="X72" s="166"/>
      <c r="Y72" s="167"/>
    </row>
    <row r="73" spans="1:25" ht="32" hidden="1" customHeight="1" outlineLevel="1" thickBot="1">
      <c r="B73" s="174" t="s">
        <v>20</v>
      </c>
      <c r="C73" s="175"/>
      <c r="D73" s="71"/>
      <c r="E73" s="87" t="s">
        <v>65</v>
      </c>
      <c r="F73" s="168"/>
      <c r="G73" s="169"/>
      <c r="H73" s="168"/>
      <c r="I73" s="169"/>
      <c r="J73" s="168"/>
      <c r="K73" s="169"/>
      <c r="L73" s="168"/>
      <c r="M73" s="169"/>
      <c r="N73" s="168"/>
      <c r="O73" s="169"/>
      <c r="P73" s="168"/>
      <c r="Q73" s="169"/>
      <c r="R73" s="168"/>
      <c r="S73" s="169"/>
      <c r="T73" s="168"/>
      <c r="U73" s="169"/>
      <c r="V73" s="168"/>
      <c r="W73" s="169"/>
      <c r="X73" s="168"/>
      <c r="Y73" s="169"/>
    </row>
    <row r="74" spans="1:25" ht="32" hidden="1" customHeight="1" outlineLevel="1">
      <c r="B74" s="196">
        <f>SUM(F76:Y76,F89:Y89)</f>
        <v>3688</v>
      </c>
      <c r="C74" s="197"/>
      <c r="D74" s="71"/>
      <c r="E74" s="165" t="s">
        <v>64</v>
      </c>
      <c r="F74" s="88" t="s">
        <v>38</v>
      </c>
      <c r="G74" s="89" t="s">
        <v>39</v>
      </c>
      <c r="H74" s="88" t="s">
        <v>38</v>
      </c>
      <c r="I74" s="89" t="s">
        <v>39</v>
      </c>
      <c r="J74" s="88" t="s">
        <v>38</v>
      </c>
      <c r="K74" s="89" t="s">
        <v>39</v>
      </c>
      <c r="L74" s="88" t="s">
        <v>38</v>
      </c>
      <c r="M74" s="89" t="s">
        <v>39</v>
      </c>
      <c r="N74" s="88" t="s">
        <v>38</v>
      </c>
      <c r="O74" s="89" t="s">
        <v>39</v>
      </c>
      <c r="P74" s="88" t="s">
        <v>38</v>
      </c>
      <c r="Q74" s="89" t="s">
        <v>39</v>
      </c>
      <c r="R74" s="88" t="s">
        <v>38</v>
      </c>
      <c r="S74" s="89" t="s">
        <v>39</v>
      </c>
      <c r="T74" s="88" t="s">
        <v>38</v>
      </c>
      <c r="U74" s="89" t="s">
        <v>39</v>
      </c>
      <c r="V74" s="88" t="s">
        <v>38</v>
      </c>
      <c r="W74" s="89" t="s">
        <v>39</v>
      </c>
      <c r="X74" s="88" t="s">
        <v>38</v>
      </c>
      <c r="Y74" s="89" t="s">
        <v>39</v>
      </c>
    </row>
    <row r="75" spans="1:25" ht="32" hidden="1" customHeight="1" outlineLevel="1">
      <c r="B75" s="90" t="s">
        <v>38</v>
      </c>
      <c r="C75" s="91" t="s">
        <v>39</v>
      </c>
      <c r="D75" s="71"/>
      <c r="E75" s="165"/>
      <c r="F75" s="92">
        <f>4248-3830</f>
        <v>418</v>
      </c>
      <c r="G75" s="93">
        <v>1</v>
      </c>
      <c r="H75" s="92">
        <f>4658-4248</f>
        <v>410</v>
      </c>
      <c r="I75" s="93">
        <v>0</v>
      </c>
      <c r="J75" s="92">
        <f>5061-4658</f>
        <v>403</v>
      </c>
      <c r="K75" s="93">
        <v>1</v>
      </c>
      <c r="L75" s="92"/>
      <c r="M75" s="93"/>
      <c r="N75" s="92"/>
      <c r="O75" s="93"/>
      <c r="P75" s="92"/>
      <c r="Q75" s="93"/>
      <c r="R75" s="92"/>
      <c r="S75" s="93"/>
      <c r="T75" s="92">
        <v>374</v>
      </c>
      <c r="U75" s="93">
        <f>383-374</f>
        <v>9</v>
      </c>
      <c r="V75" s="92">
        <f>777-374</f>
        <v>403</v>
      </c>
      <c r="W75" s="93">
        <v>1</v>
      </c>
      <c r="X75" s="92">
        <f>1196-777</f>
        <v>419</v>
      </c>
      <c r="Y75" s="93">
        <v>0</v>
      </c>
    </row>
    <row r="76" spans="1:25" ht="32" hidden="1" customHeight="1" outlineLevel="1" thickBot="1">
      <c r="B76" s="94">
        <f>B74-C76</f>
        <v>3673</v>
      </c>
      <c r="C76" s="95">
        <f>G75+I75+K75+M75+O75+Q75+S75+U75+W75+Y75+G88+I88+K88+M88+O88+Q88+S88+U88+W88+Y88</f>
        <v>15</v>
      </c>
      <c r="D76" s="96"/>
      <c r="E76" s="165"/>
      <c r="F76" s="162">
        <f>F75+G75</f>
        <v>419</v>
      </c>
      <c r="G76" s="163"/>
      <c r="H76" s="162">
        <f>H75+I75</f>
        <v>410</v>
      </c>
      <c r="I76" s="163"/>
      <c r="J76" s="162">
        <f>J75+K75</f>
        <v>404</v>
      </c>
      <c r="K76" s="163"/>
      <c r="L76" s="162">
        <f>L75+M75</f>
        <v>0</v>
      </c>
      <c r="M76" s="163"/>
      <c r="N76" s="162">
        <f>N75+O75</f>
        <v>0</v>
      </c>
      <c r="O76" s="163"/>
      <c r="P76" s="162">
        <f>P75+Q75</f>
        <v>0</v>
      </c>
      <c r="Q76" s="163"/>
      <c r="R76" s="162">
        <f>R75+S75</f>
        <v>0</v>
      </c>
      <c r="S76" s="163"/>
      <c r="T76" s="162">
        <f>T75+U75</f>
        <v>383</v>
      </c>
      <c r="U76" s="163"/>
      <c r="V76" s="162">
        <f>V75+W75</f>
        <v>404</v>
      </c>
      <c r="W76" s="163"/>
      <c r="X76" s="162">
        <f>X75+Y75</f>
        <v>419</v>
      </c>
      <c r="Y76" s="163"/>
    </row>
    <row r="77" spans="1:25" s="97" customFormat="1" ht="34" hidden="1" customHeight="1" outlineLevel="1">
      <c r="D77" s="98"/>
      <c r="F77" s="99" t="s">
        <v>53</v>
      </c>
      <c r="G77" s="100">
        <f>(F78*1440*60)/(F76/IF($X65=0,1,$X65))</f>
        <v>8.5918854415274151</v>
      </c>
      <c r="H77" s="99" t="s">
        <v>54</v>
      </c>
      <c r="I77" s="101">
        <f>(H78*1440*60)/(H76/IF($X65=0,1,$X65))</f>
        <v>8.7804878048781116</v>
      </c>
      <c r="J77" s="99" t="s">
        <v>55</v>
      </c>
      <c r="K77" s="101">
        <f>(J78*1440*60)/(J76/IF($X65=0,1,$X65))</f>
        <v>8.6138613861385362</v>
      </c>
      <c r="L77" s="99" t="s">
        <v>56</v>
      </c>
      <c r="M77" s="101" t="e">
        <f>(L78*1440*60)/(L76/IF($X65=0,1,$X65))</f>
        <v>#DIV/0!</v>
      </c>
      <c r="N77" s="99" t="s">
        <v>57</v>
      </c>
      <c r="O77" s="101" t="e">
        <f>(N78*1440*60)/(N76/IF($X65=0,1,$X65))</f>
        <v>#DIV/0!</v>
      </c>
      <c r="P77" s="99" t="s">
        <v>58</v>
      </c>
      <c r="Q77" s="101" t="e">
        <f>(P78*1440*60)/(P76/IF($X65=0,1,$X65))</f>
        <v>#DIV/0!</v>
      </c>
      <c r="R77" s="99" t="s">
        <v>59</v>
      </c>
      <c r="S77" s="101" t="e">
        <f>(R78*1440*60)/(R76/IF($X65=0,1,$X65))</f>
        <v>#DIV/0!</v>
      </c>
      <c r="T77" s="99" t="s">
        <v>60</v>
      </c>
      <c r="U77" s="101">
        <f>(T78*1440*60)/(T76/IF($X65=0,1,$X65))</f>
        <v>9.3994778067884788</v>
      </c>
      <c r="V77" s="99" t="s">
        <v>61</v>
      </c>
      <c r="W77" s="101">
        <f>(V78*1440*60)/(V76/IF($X65=0,1,$X65))</f>
        <v>8.9108910891089739</v>
      </c>
      <c r="X77" s="99" t="s">
        <v>62</v>
      </c>
      <c r="Y77" s="101">
        <f>(X78*1440*60)/(X76/IF($X65=0,1,$X65))</f>
        <v>8.5918854415274151</v>
      </c>
    </row>
    <row r="78" spans="1:25" s="102" customFormat="1" ht="32.5" hidden="1" customHeight="1" outlineLevel="1">
      <c r="C78" s="103"/>
      <c r="F78" s="164">
        <f>G70-F70</f>
        <v>4.1666666666666519E-2</v>
      </c>
      <c r="G78" s="164"/>
      <c r="H78" s="164">
        <f>I70-H70</f>
        <v>4.1666666666666963E-2</v>
      </c>
      <c r="I78" s="164"/>
      <c r="J78" s="164">
        <f>K70-J70</f>
        <v>4.0277777777777413E-2</v>
      </c>
      <c r="K78" s="164"/>
      <c r="L78" s="164">
        <f>M70-L70</f>
        <v>8.4722222222222587E-2</v>
      </c>
      <c r="M78" s="164"/>
      <c r="N78" s="164">
        <f>O70-N70</f>
        <v>2.0833333333333037E-2</v>
      </c>
      <c r="O78" s="164"/>
      <c r="P78" s="164">
        <f>Q70-P70</f>
        <v>0.125</v>
      </c>
      <c r="Q78" s="164"/>
      <c r="R78" s="164">
        <f>S70-R70</f>
        <v>2.0833333333333481E-2</v>
      </c>
      <c r="S78" s="164"/>
      <c r="T78" s="164">
        <f>U70-T70</f>
        <v>4.1666666666666519E-2</v>
      </c>
      <c r="U78" s="164"/>
      <c r="V78" s="164">
        <f>W70-V70</f>
        <v>4.1666666666666963E-2</v>
      </c>
      <c r="W78" s="164"/>
      <c r="X78" s="164">
        <f>Y70-X70</f>
        <v>4.1666666666666519E-2</v>
      </c>
      <c r="Y78" s="164"/>
    </row>
    <row r="79" spans="1:25" s="102" customFormat="1" ht="7.5" hidden="1" customHeight="1" outlineLevel="1" thickBot="1">
      <c r="C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</row>
    <row r="80" spans="1:25" ht="32" hidden="1" customHeight="1" outlineLevel="1" thickBot="1">
      <c r="A80" s="102"/>
      <c r="B80" s="102"/>
      <c r="C80" s="103"/>
      <c r="D80" s="102"/>
      <c r="F80" s="170" t="s">
        <v>91</v>
      </c>
      <c r="G80" s="171"/>
      <c r="H80" s="170" t="s">
        <v>92</v>
      </c>
      <c r="I80" s="171"/>
      <c r="J80" s="170" t="s">
        <v>93</v>
      </c>
      <c r="K80" s="171"/>
      <c r="L80" s="170" t="s">
        <v>94</v>
      </c>
      <c r="M80" s="171"/>
      <c r="N80" s="170" t="s">
        <v>95</v>
      </c>
      <c r="O80" s="171"/>
      <c r="P80" s="170" t="s">
        <v>96</v>
      </c>
      <c r="Q80" s="171"/>
      <c r="R80" s="170" t="s">
        <v>97</v>
      </c>
      <c r="S80" s="171"/>
      <c r="T80" s="170" t="s">
        <v>98</v>
      </c>
      <c r="U80" s="171"/>
      <c r="V80" s="170" t="s">
        <v>99</v>
      </c>
      <c r="W80" s="171"/>
      <c r="X80" s="170" t="s">
        <v>100</v>
      </c>
      <c r="Y80" s="171"/>
    </row>
    <row r="81" spans="1:25" s="83" customFormat="1" ht="32" hidden="1" customHeight="1" outlineLevel="1" thickBot="1">
      <c r="A81" s="102"/>
      <c r="B81" s="105" t="s">
        <v>112</v>
      </c>
      <c r="C81" s="61"/>
      <c r="D81" s="102"/>
      <c r="E81" s="80" t="s">
        <v>63</v>
      </c>
      <c r="F81" s="81" t="str">
        <f>IF(F89=0,"",F90)</f>
        <v>C.T in P11</v>
      </c>
      <c r="G81" s="82">
        <f>IF(F89=0,"",G90)</f>
        <v>8.8235294117646745</v>
      </c>
      <c r="H81" s="81" t="str">
        <f>IF(H89=0,"",H90)</f>
        <v>C.T in P12</v>
      </c>
      <c r="I81" s="82">
        <f>IF(H89=0,"",I90)</f>
        <v>8.6330935251799179</v>
      </c>
      <c r="J81" s="81" t="str">
        <f>IF(J89=0,"",J90)</f>
        <v>C.T in P13</v>
      </c>
      <c r="K81" s="82">
        <f>IF(J89=0,"",K90)</f>
        <v>8.4905660377358192</v>
      </c>
      <c r="L81" s="81" t="str">
        <f>IF(L89=0,"",L90)</f>
        <v/>
      </c>
      <c r="M81" s="82" t="str">
        <f>IF(L89=0,"",M90)</f>
        <v/>
      </c>
      <c r="N81" s="81" t="str">
        <f>IF(N89=0,"",N90)</f>
        <v/>
      </c>
      <c r="O81" s="82" t="str">
        <f>IF(N89=0,"",O90)</f>
        <v/>
      </c>
      <c r="P81" s="81" t="str">
        <f>IF(P89=0,"",P90)</f>
        <v/>
      </c>
      <c r="Q81" s="82" t="str">
        <f>IF(P89=0,"",Q90)</f>
        <v/>
      </c>
      <c r="R81" s="81" t="str">
        <f>IF(R89=0,"",R90)</f>
        <v/>
      </c>
      <c r="S81" s="82" t="str">
        <f>IF(R89=0,"",S90)</f>
        <v/>
      </c>
      <c r="T81" s="81" t="str">
        <f>IF(T89=0,"",T90)</f>
        <v/>
      </c>
      <c r="U81" s="82" t="str">
        <f>IF(T89=0,"",U90)</f>
        <v/>
      </c>
      <c r="V81" s="81" t="str">
        <f>IF(V89=0,"",V90)</f>
        <v/>
      </c>
      <c r="W81" s="82" t="str">
        <f>IF(V89=0,"",W90)</f>
        <v/>
      </c>
      <c r="X81" s="81" t="str">
        <f>IF(X89=0,"",X90)</f>
        <v/>
      </c>
      <c r="Y81" s="82" t="str">
        <f>IF(X89=0,"",Y90)</f>
        <v/>
      </c>
    </row>
    <row r="82" spans="1:25" ht="32" hidden="1" customHeight="1" outlineLevel="1">
      <c r="A82" s="102"/>
      <c r="B82" s="212" t="s">
        <v>114</v>
      </c>
      <c r="C82" s="213"/>
      <c r="D82" s="102"/>
      <c r="E82" s="165" t="s">
        <v>22</v>
      </c>
      <c r="F82" s="73" t="s">
        <v>24</v>
      </c>
      <c r="G82" s="74" t="s">
        <v>23</v>
      </c>
      <c r="H82" s="73" t="s">
        <v>24</v>
      </c>
      <c r="I82" s="74" t="s">
        <v>23</v>
      </c>
      <c r="J82" s="73" t="s">
        <v>24</v>
      </c>
      <c r="K82" s="74" t="s">
        <v>23</v>
      </c>
      <c r="L82" s="73" t="s">
        <v>24</v>
      </c>
      <c r="M82" s="74" t="s">
        <v>23</v>
      </c>
      <c r="N82" s="73" t="s">
        <v>24</v>
      </c>
      <c r="O82" s="74" t="s">
        <v>23</v>
      </c>
      <c r="P82" s="73" t="s">
        <v>24</v>
      </c>
      <c r="Q82" s="74" t="s">
        <v>23</v>
      </c>
      <c r="R82" s="73" t="s">
        <v>24</v>
      </c>
      <c r="S82" s="74" t="s">
        <v>23</v>
      </c>
      <c r="T82" s="73" t="s">
        <v>24</v>
      </c>
      <c r="U82" s="74" t="s">
        <v>23</v>
      </c>
      <c r="V82" s="73" t="s">
        <v>24</v>
      </c>
      <c r="W82" s="74" t="s">
        <v>23</v>
      </c>
      <c r="X82" s="73" t="s">
        <v>24</v>
      </c>
      <c r="Y82" s="74" t="s">
        <v>23</v>
      </c>
    </row>
    <row r="83" spans="1:25" ht="32" hidden="1" customHeight="1" outlineLevel="1" thickBot="1">
      <c r="A83" s="102"/>
      <c r="B83" s="208" t="str">
        <f>IF(R65=0,"",(R65*IF(OR(C81=12,C81=10),720,480))/I65)</f>
        <v/>
      </c>
      <c r="C83" s="209"/>
      <c r="D83" s="102"/>
      <c r="E83" s="165"/>
      <c r="F83" s="86">
        <f>IF(G83=0,0,Y70)</f>
        <v>2.25</v>
      </c>
      <c r="G83" s="85">
        <v>2.2916666666666665</v>
      </c>
      <c r="H83" s="86">
        <f>IF(I83=0,0,G83)</f>
        <v>2.2916666666666665</v>
      </c>
      <c r="I83" s="85">
        <v>2.3333333333333335</v>
      </c>
      <c r="J83" s="86">
        <f>IF(K83=0,0,I83)</f>
        <v>2.3333333333333335</v>
      </c>
      <c r="K83" s="85">
        <v>2.375</v>
      </c>
      <c r="L83" s="86">
        <f>IF(M83=0,0,K83)</f>
        <v>0</v>
      </c>
      <c r="M83" s="85"/>
      <c r="N83" s="86">
        <f>IF(O83=0,0,M83)</f>
        <v>0</v>
      </c>
      <c r="O83" s="85"/>
      <c r="P83" s="86">
        <f>IF(Q83=0,0,O83)</f>
        <v>0</v>
      </c>
      <c r="Q83" s="85"/>
      <c r="R83" s="86">
        <f>IF(S83=0,0,Q83)</f>
        <v>0</v>
      </c>
      <c r="S83" s="85"/>
      <c r="T83" s="86">
        <f>IF(U83=0,0,S83)</f>
        <v>0</v>
      </c>
      <c r="U83" s="85"/>
      <c r="V83" s="86">
        <f>IF(W83=0,0,U83)</f>
        <v>0</v>
      </c>
      <c r="W83" s="85"/>
      <c r="X83" s="86">
        <f>IF(Y83=0,0,W83)</f>
        <v>0</v>
      </c>
      <c r="Y83" s="85"/>
    </row>
    <row r="84" spans="1:25" ht="32" hidden="1" customHeight="1" outlineLevel="1">
      <c r="A84" s="102"/>
      <c r="B84" s="210" t="s">
        <v>115</v>
      </c>
      <c r="C84" s="211"/>
      <c r="D84" s="102"/>
      <c r="E84" s="87" t="s">
        <v>83</v>
      </c>
      <c r="F84" s="172"/>
      <c r="G84" s="173"/>
      <c r="H84" s="172"/>
      <c r="I84" s="173"/>
      <c r="J84" s="172"/>
      <c r="K84" s="173"/>
      <c r="L84" s="172"/>
      <c r="M84" s="173"/>
      <c r="N84" s="172"/>
      <c r="O84" s="173"/>
      <c r="P84" s="172"/>
      <c r="Q84" s="173"/>
      <c r="R84" s="172"/>
      <c r="S84" s="173"/>
      <c r="T84" s="172"/>
      <c r="U84" s="173"/>
      <c r="V84" s="172"/>
      <c r="W84" s="173"/>
      <c r="X84" s="172"/>
      <c r="Y84" s="173"/>
    </row>
    <row r="85" spans="1:25" ht="32" hidden="1" customHeight="1" outlineLevel="1" thickBot="1">
      <c r="B85" s="208">
        <f>IF(T65=0,"",(T65*IF(OR(C81=12,C81=10),720,480))/I65)</f>
        <v>8.5937106918247697</v>
      </c>
      <c r="C85" s="209"/>
      <c r="D85" s="71"/>
      <c r="E85" s="87" t="s">
        <v>86</v>
      </c>
      <c r="F85" s="166"/>
      <c r="G85" s="167"/>
      <c r="H85" s="166"/>
      <c r="I85" s="167"/>
      <c r="J85" s="166"/>
      <c r="K85" s="167"/>
      <c r="L85" s="166"/>
      <c r="M85" s="167"/>
      <c r="N85" s="166"/>
      <c r="O85" s="167"/>
      <c r="P85" s="166"/>
      <c r="Q85" s="167"/>
      <c r="R85" s="166"/>
      <c r="S85" s="167"/>
      <c r="T85" s="166"/>
      <c r="U85" s="167"/>
      <c r="V85" s="166"/>
      <c r="W85" s="167"/>
      <c r="X85" s="166"/>
      <c r="Y85" s="167"/>
    </row>
    <row r="86" spans="1:25" ht="32" hidden="1" customHeight="1" outlineLevel="1" thickBot="1">
      <c r="B86" s="102"/>
      <c r="C86" s="103"/>
      <c r="D86" s="71"/>
      <c r="E86" s="87" t="s">
        <v>65</v>
      </c>
      <c r="F86" s="168"/>
      <c r="G86" s="169"/>
      <c r="H86" s="168"/>
      <c r="I86" s="169"/>
      <c r="J86" s="168"/>
      <c r="K86" s="169"/>
      <c r="L86" s="168"/>
      <c r="M86" s="169"/>
      <c r="N86" s="168"/>
      <c r="O86" s="169"/>
      <c r="P86" s="168"/>
      <c r="Q86" s="169"/>
      <c r="R86" s="168"/>
      <c r="S86" s="169"/>
      <c r="T86" s="168"/>
      <c r="U86" s="169"/>
      <c r="V86" s="168"/>
      <c r="W86" s="169"/>
      <c r="X86" s="168"/>
      <c r="Y86" s="169"/>
    </row>
    <row r="87" spans="1:25" ht="32" hidden="1" customHeight="1" outlineLevel="1">
      <c r="B87" s="102"/>
      <c r="C87" s="103"/>
      <c r="D87" s="71"/>
      <c r="E87" s="165" t="s">
        <v>64</v>
      </c>
      <c r="F87" s="88" t="s">
        <v>38</v>
      </c>
      <c r="G87" s="89" t="s">
        <v>39</v>
      </c>
      <c r="H87" s="88" t="s">
        <v>38</v>
      </c>
      <c r="I87" s="89" t="s">
        <v>39</v>
      </c>
      <c r="J87" s="88" t="s">
        <v>38</v>
      </c>
      <c r="K87" s="89" t="s">
        <v>39</v>
      </c>
      <c r="L87" s="88" t="s">
        <v>38</v>
      </c>
      <c r="M87" s="89" t="s">
        <v>39</v>
      </c>
      <c r="N87" s="88" t="s">
        <v>38</v>
      </c>
      <c r="O87" s="89" t="s">
        <v>39</v>
      </c>
      <c r="P87" s="88" t="s">
        <v>38</v>
      </c>
      <c r="Q87" s="89" t="s">
        <v>39</v>
      </c>
      <c r="R87" s="88" t="s">
        <v>38</v>
      </c>
      <c r="S87" s="89" t="s">
        <v>39</v>
      </c>
      <c r="T87" s="88" t="s">
        <v>38</v>
      </c>
      <c r="U87" s="89" t="s">
        <v>39</v>
      </c>
      <c r="V87" s="88" t="s">
        <v>38</v>
      </c>
      <c r="W87" s="89" t="s">
        <v>39</v>
      </c>
      <c r="X87" s="88" t="s">
        <v>38</v>
      </c>
      <c r="Y87" s="89" t="s">
        <v>39</v>
      </c>
    </row>
    <row r="88" spans="1:25" ht="32" hidden="1" customHeight="1" outlineLevel="1">
      <c r="B88" s="102"/>
      <c r="C88" s="103"/>
      <c r="D88" s="71"/>
      <c r="E88" s="165"/>
      <c r="F88" s="92">
        <f>1603-1196</f>
        <v>407</v>
      </c>
      <c r="G88" s="93">
        <v>1</v>
      </c>
      <c r="H88" s="92">
        <f>2020-1603</f>
        <v>417</v>
      </c>
      <c r="I88" s="93">
        <v>0</v>
      </c>
      <c r="J88" s="92">
        <f>2442-2020</f>
        <v>422</v>
      </c>
      <c r="K88" s="93">
        <v>2</v>
      </c>
      <c r="L88" s="92"/>
      <c r="M88" s="93"/>
      <c r="N88" s="92"/>
      <c r="O88" s="93"/>
      <c r="P88" s="92"/>
      <c r="Q88" s="93"/>
      <c r="R88" s="92"/>
      <c r="S88" s="93"/>
      <c r="T88" s="92"/>
      <c r="U88" s="93"/>
      <c r="V88" s="92"/>
      <c r="W88" s="93"/>
      <c r="X88" s="92"/>
      <c r="Y88" s="93"/>
    </row>
    <row r="89" spans="1:25" ht="32" hidden="1" customHeight="1" outlineLevel="1" thickBot="1">
      <c r="B89" s="102"/>
      <c r="C89" s="103"/>
      <c r="D89" s="96"/>
      <c r="E89" s="165"/>
      <c r="F89" s="162">
        <f>F88+G88</f>
        <v>408</v>
      </c>
      <c r="G89" s="163"/>
      <c r="H89" s="162">
        <f>H88+I88</f>
        <v>417</v>
      </c>
      <c r="I89" s="163"/>
      <c r="J89" s="162">
        <f>J88+K88</f>
        <v>424</v>
      </c>
      <c r="K89" s="163"/>
      <c r="L89" s="162">
        <f>L88+M88</f>
        <v>0</v>
      </c>
      <c r="M89" s="163"/>
      <c r="N89" s="162">
        <f>N88+O88</f>
        <v>0</v>
      </c>
      <c r="O89" s="163"/>
      <c r="P89" s="162">
        <f>P88+Q88</f>
        <v>0</v>
      </c>
      <c r="Q89" s="163"/>
      <c r="R89" s="162">
        <f>R88+S88</f>
        <v>0</v>
      </c>
      <c r="S89" s="163"/>
      <c r="T89" s="162">
        <f>T88+U88</f>
        <v>0</v>
      </c>
      <c r="U89" s="163"/>
      <c r="V89" s="162">
        <f>V88+W88</f>
        <v>0</v>
      </c>
      <c r="W89" s="163"/>
      <c r="X89" s="162">
        <f>X88+Y88</f>
        <v>0</v>
      </c>
      <c r="Y89" s="163"/>
    </row>
    <row r="90" spans="1:25" s="97" customFormat="1" ht="34" hidden="1" customHeight="1" collapsed="1">
      <c r="B90" s="102"/>
      <c r="C90" s="103"/>
      <c r="D90" s="98"/>
      <c r="F90" s="99" t="s">
        <v>101</v>
      </c>
      <c r="G90" s="100">
        <f>(F91*1440*60)/(F89/IF($X65=0,1,$X65))</f>
        <v>8.8235294117646745</v>
      </c>
      <c r="H90" s="99" t="s">
        <v>102</v>
      </c>
      <c r="I90" s="100">
        <f>(H91*1440*60)/(H89/IF($X65=0,1,$X65))</f>
        <v>8.6330935251799179</v>
      </c>
      <c r="J90" s="99" t="s">
        <v>103</v>
      </c>
      <c r="K90" s="100">
        <f>(J91*1440*60)/(J89/IF($X65=0,1,$X65))</f>
        <v>8.4905660377358192</v>
      </c>
      <c r="L90" s="99" t="s">
        <v>104</v>
      </c>
      <c r="M90" s="100" t="e">
        <f>(L91*1440*60)/(L89/IF($X65=0,1,$X65))</f>
        <v>#DIV/0!</v>
      </c>
      <c r="N90" s="99" t="s">
        <v>105</v>
      </c>
      <c r="O90" s="100" t="e">
        <f>(N91*1440*60)/(N89/IF($X65=0,1,$X65))</f>
        <v>#DIV/0!</v>
      </c>
      <c r="P90" s="99" t="s">
        <v>106</v>
      </c>
      <c r="Q90" s="100" t="e">
        <f>(P91*1440*60)/(P89/IF($X65=0,1,$X65))</f>
        <v>#DIV/0!</v>
      </c>
      <c r="R90" s="99" t="s">
        <v>107</v>
      </c>
      <c r="S90" s="100" t="e">
        <f>(R91*1440*60)/(R89/IF($X65=0,1,$X65))</f>
        <v>#DIV/0!</v>
      </c>
      <c r="T90" s="99" t="s">
        <v>108</v>
      </c>
      <c r="U90" s="100" t="e">
        <f>(T91*1440*60)/(T89/IF($X65=0,1,$X65))</f>
        <v>#DIV/0!</v>
      </c>
      <c r="V90" s="99" t="s">
        <v>109</v>
      </c>
      <c r="W90" s="100" t="e">
        <f>(V91*1440*60)/(V89/IF($X65=0,1,$X65))</f>
        <v>#DIV/0!</v>
      </c>
      <c r="X90" s="99" t="s">
        <v>110</v>
      </c>
      <c r="Y90" s="100" t="e">
        <f>(X91*1440*60)/(X89/IF($X65=0,1,$X65))</f>
        <v>#DIV/0!</v>
      </c>
    </row>
    <row r="91" spans="1:25" s="102" customFormat="1" ht="32.5" hidden="1" customHeight="1">
      <c r="C91" s="103"/>
      <c r="F91" s="164">
        <f>G83-F83</f>
        <v>4.1666666666666519E-2</v>
      </c>
      <c r="G91" s="164"/>
      <c r="H91" s="164">
        <f>I83-H83</f>
        <v>4.1666666666666963E-2</v>
      </c>
      <c r="I91" s="164"/>
      <c r="J91" s="164">
        <f>K83-J83</f>
        <v>4.1666666666666519E-2</v>
      </c>
      <c r="K91" s="164"/>
      <c r="L91" s="164">
        <f>M83-L83</f>
        <v>0</v>
      </c>
      <c r="M91" s="164"/>
      <c r="N91" s="164">
        <f>O83-N83</f>
        <v>0</v>
      </c>
      <c r="O91" s="164"/>
      <c r="P91" s="164">
        <f>Q83-P83</f>
        <v>0</v>
      </c>
      <c r="Q91" s="164"/>
      <c r="R91" s="164">
        <f>S83-R83</f>
        <v>0</v>
      </c>
      <c r="S91" s="164"/>
      <c r="T91" s="164">
        <f>U83-T83</f>
        <v>0</v>
      </c>
      <c r="U91" s="164"/>
      <c r="V91" s="164">
        <f>W83-V83</f>
        <v>0</v>
      </c>
      <c r="W91" s="164"/>
      <c r="X91" s="164">
        <f>Y83-X83</f>
        <v>0</v>
      </c>
      <c r="Y91" s="164"/>
    </row>
    <row r="92" spans="1:25" ht="14.5" thickBot="1"/>
    <row r="93" spans="1:25" ht="26.5" customHeight="1" thickBot="1">
      <c r="B93" s="106" t="s">
        <v>43</v>
      </c>
      <c r="C93" s="7" t="s">
        <v>33</v>
      </c>
    </row>
  </sheetData>
  <mergeCells count="443">
    <mergeCell ref="B83:C83"/>
    <mergeCell ref="B84:C84"/>
    <mergeCell ref="B85:C85"/>
    <mergeCell ref="B24:C24"/>
    <mergeCell ref="B26:C26"/>
    <mergeCell ref="B25:C25"/>
    <mergeCell ref="B27:C27"/>
    <mergeCell ref="B53:C53"/>
    <mergeCell ref="B54:C54"/>
    <mergeCell ref="B55:C55"/>
    <mergeCell ref="B56:C56"/>
    <mergeCell ref="B82:C82"/>
    <mergeCell ref="B68:C68"/>
    <mergeCell ref="B69:C69"/>
    <mergeCell ref="B74:C74"/>
    <mergeCell ref="F4:G4"/>
    <mergeCell ref="H4:L4"/>
    <mergeCell ref="O4:P4"/>
    <mergeCell ref="Q4:U4"/>
    <mergeCell ref="C4:E4"/>
    <mergeCell ref="B44:C44"/>
    <mergeCell ref="B41:C41"/>
    <mergeCell ref="R42:S42"/>
    <mergeCell ref="T42:U42"/>
    <mergeCell ref="P13:Q13"/>
    <mergeCell ref="R13:S13"/>
    <mergeCell ref="T13:U13"/>
    <mergeCell ref="P20:Q20"/>
    <mergeCell ref="R20:S20"/>
    <mergeCell ref="T20:U20"/>
    <mergeCell ref="P26:Q26"/>
    <mergeCell ref="R26:S26"/>
    <mergeCell ref="T26:U26"/>
    <mergeCell ref="P33:Q33"/>
    <mergeCell ref="R33:S33"/>
    <mergeCell ref="T33:U33"/>
    <mergeCell ref="I36:J36"/>
    <mergeCell ref="O36:P36"/>
    <mergeCell ref="B38:C38"/>
    <mergeCell ref="V42:W42"/>
    <mergeCell ref="X42:Y42"/>
    <mergeCell ref="F43:G43"/>
    <mergeCell ref="H43:I43"/>
    <mergeCell ref="J43:K43"/>
    <mergeCell ref="L43:M43"/>
    <mergeCell ref="N43:O43"/>
    <mergeCell ref="X55:Y55"/>
    <mergeCell ref="X47:Y47"/>
    <mergeCell ref="N47:O47"/>
    <mergeCell ref="P47:Q47"/>
    <mergeCell ref="R47:S47"/>
    <mergeCell ref="T47:U47"/>
    <mergeCell ref="V47:W47"/>
    <mergeCell ref="F47:G47"/>
    <mergeCell ref="H47:I47"/>
    <mergeCell ref="J47:K47"/>
    <mergeCell ref="L47:M47"/>
    <mergeCell ref="T49:U49"/>
    <mergeCell ref="P43:Q43"/>
    <mergeCell ref="R43:S43"/>
    <mergeCell ref="T43:U43"/>
    <mergeCell ref="V43:W43"/>
    <mergeCell ref="X43:Y43"/>
    <mergeCell ref="P62:Q62"/>
    <mergeCell ref="R62:S62"/>
    <mergeCell ref="T62:U62"/>
    <mergeCell ref="V62:W62"/>
    <mergeCell ref="X62:Y62"/>
    <mergeCell ref="F62:G62"/>
    <mergeCell ref="H62:I62"/>
    <mergeCell ref="J62:K62"/>
    <mergeCell ref="L62:M62"/>
    <mergeCell ref="N62:O62"/>
    <mergeCell ref="X6:Y6"/>
    <mergeCell ref="I7:J7"/>
    <mergeCell ref="L7:M7"/>
    <mergeCell ref="O7:P7"/>
    <mergeCell ref="R7:S7"/>
    <mergeCell ref="T7:U7"/>
    <mergeCell ref="X7:Y7"/>
    <mergeCell ref="I6:J6"/>
    <mergeCell ref="L6:M6"/>
    <mergeCell ref="O6:P6"/>
    <mergeCell ref="R6:S6"/>
    <mergeCell ref="T6:U6"/>
    <mergeCell ref="X9:Y9"/>
    <mergeCell ref="B10:C10"/>
    <mergeCell ref="B11:C11"/>
    <mergeCell ref="E11:E12"/>
    <mergeCell ref="B12:C12"/>
    <mergeCell ref="N9:O9"/>
    <mergeCell ref="P9:Q9"/>
    <mergeCell ref="R9:S9"/>
    <mergeCell ref="T9:U9"/>
    <mergeCell ref="V9:W9"/>
    <mergeCell ref="B9:C9"/>
    <mergeCell ref="F9:G9"/>
    <mergeCell ref="H9:I9"/>
    <mergeCell ref="J9:K9"/>
    <mergeCell ref="L9:M9"/>
    <mergeCell ref="V13:W13"/>
    <mergeCell ref="X13:Y13"/>
    <mergeCell ref="F13:G13"/>
    <mergeCell ref="H13:I13"/>
    <mergeCell ref="J13:K13"/>
    <mergeCell ref="L13:M13"/>
    <mergeCell ref="N13:O13"/>
    <mergeCell ref="P14:Q14"/>
    <mergeCell ref="R14:S14"/>
    <mergeCell ref="T14:U14"/>
    <mergeCell ref="V14:W14"/>
    <mergeCell ref="X14:Y14"/>
    <mergeCell ref="F14:G14"/>
    <mergeCell ref="H14:I14"/>
    <mergeCell ref="J14:K14"/>
    <mergeCell ref="L14:M14"/>
    <mergeCell ref="N14:O14"/>
    <mergeCell ref="X15:Y15"/>
    <mergeCell ref="B16:C16"/>
    <mergeCell ref="E16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N15:O15"/>
    <mergeCell ref="P15:Q15"/>
    <mergeCell ref="R15:S15"/>
    <mergeCell ref="T15:U15"/>
    <mergeCell ref="V15:W15"/>
    <mergeCell ref="B15:C15"/>
    <mergeCell ref="F15:G15"/>
    <mergeCell ref="H15:I15"/>
    <mergeCell ref="J15:K15"/>
    <mergeCell ref="L15:M15"/>
    <mergeCell ref="V20:W20"/>
    <mergeCell ref="X20:Y20"/>
    <mergeCell ref="F20:G20"/>
    <mergeCell ref="H20:I20"/>
    <mergeCell ref="J20:K20"/>
    <mergeCell ref="L20:M20"/>
    <mergeCell ref="N20:O20"/>
    <mergeCell ref="X22:Y22"/>
    <mergeCell ref="E24:E25"/>
    <mergeCell ref="N22:O22"/>
    <mergeCell ref="P22:Q22"/>
    <mergeCell ref="R22:S22"/>
    <mergeCell ref="T22:U22"/>
    <mergeCell ref="V22:W22"/>
    <mergeCell ref="F22:G22"/>
    <mergeCell ref="H22:I22"/>
    <mergeCell ref="J22:K22"/>
    <mergeCell ref="L22:M22"/>
    <mergeCell ref="V26:W26"/>
    <mergeCell ref="X26:Y26"/>
    <mergeCell ref="F26:G26"/>
    <mergeCell ref="H26:I26"/>
    <mergeCell ref="J26:K26"/>
    <mergeCell ref="L26:M26"/>
    <mergeCell ref="N26:O26"/>
    <mergeCell ref="P27:Q27"/>
    <mergeCell ref="R27:S27"/>
    <mergeCell ref="T27:U27"/>
    <mergeCell ref="V27:W27"/>
    <mergeCell ref="X27:Y27"/>
    <mergeCell ref="F27:G27"/>
    <mergeCell ref="H27:I27"/>
    <mergeCell ref="J27:K27"/>
    <mergeCell ref="L27:M27"/>
    <mergeCell ref="N27:O27"/>
    <mergeCell ref="X28:Y28"/>
    <mergeCell ref="E29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N28:O28"/>
    <mergeCell ref="P28:Q28"/>
    <mergeCell ref="R28:S28"/>
    <mergeCell ref="T28:U28"/>
    <mergeCell ref="V28:W28"/>
    <mergeCell ref="F28:G28"/>
    <mergeCell ref="H28:I28"/>
    <mergeCell ref="J28:K28"/>
    <mergeCell ref="L28:M28"/>
    <mergeCell ref="R38:S38"/>
    <mergeCell ref="T38:U38"/>
    <mergeCell ref="V33:W33"/>
    <mergeCell ref="X33:Y33"/>
    <mergeCell ref="F33:G33"/>
    <mergeCell ref="H33:I33"/>
    <mergeCell ref="J33:K33"/>
    <mergeCell ref="L33:M33"/>
    <mergeCell ref="N33:O33"/>
    <mergeCell ref="I35:J35"/>
    <mergeCell ref="L35:M35"/>
    <mergeCell ref="O35:P35"/>
    <mergeCell ref="R35:S35"/>
    <mergeCell ref="T35:U35"/>
    <mergeCell ref="X35:Y35"/>
    <mergeCell ref="R44:S44"/>
    <mergeCell ref="T44:U44"/>
    <mergeCell ref="V44:W44"/>
    <mergeCell ref="R36:S36"/>
    <mergeCell ref="T36:U36"/>
    <mergeCell ref="X36:Y36"/>
    <mergeCell ref="L36:M36"/>
    <mergeCell ref="B39:C39"/>
    <mergeCell ref="B40:C40"/>
    <mergeCell ref="E40:E41"/>
    <mergeCell ref="F42:G42"/>
    <mergeCell ref="H42:I42"/>
    <mergeCell ref="J42:K42"/>
    <mergeCell ref="L42:M42"/>
    <mergeCell ref="N42:O42"/>
    <mergeCell ref="P42:Q42"/>
    <mergeCell ref="F38:G38"/>
    <mergeCell ref="H38:I38"/>
    <mergeCell ref="J38:K38"/>
    <mergeCell ref="N38:O38"/>
    <mergeCell ref="P38:Q38"/>
    <mergeCell ref="V38:W38"/>
    <mergeCell ref="X38:Y38"/>
    <mergeCell ref="L38:M38"/>
    <mergeCell ref="L51:M51"/>
    <mergeCell ref="N51:O51"/>
    <mergeCell ref="P51:Q51"/>
    <mergeCell ref="R51:S51"/>
    <mergeCell ref="T51:U51"/>
    <mergeCell ref="V51:W51"/>
    <mergeCell ref="X44:Y44"/>
    <mergeCell ref="B45:C45"/>
    <mergeCell ref="E45:E47"/>
    <mergeCell ref="F49:G49"/>
    <mergeCell ref="H49:I49"/>
    <mergeCell ref="J49:K49"/>
    <mergeCell ref="L49:M49"/>
    <mergeCell ref="N49:O49"/>
    <mergeCell ref="P49:Q49"/>
    <mergeCell ref="R49:S49"/>
    <mergeCell ref="V49:W49"/>
    <mergeCell ref="X49:Y49"/>
    <mergeCell ref="F44:G44"/>
    <mergeCell ref="H44:I44"/>
    <mergeCell ref="J44:K44"/>
    <mergeCell ref="L44:M44"/>
    <mergeCell ref="N44:O44"/>
    <mergeCell ref="P44:Q44"/>
    <mergeCell ref="X51:Y51"/>
    <mergeCell ref="E53:E54"/>
    <mergeCell ref="F55:G55"/>
    <mergeCell ref="H55:I55"/>
    <mergeCell ref="J55:K55"/>
    <mergeCell ref="N55:O55"/>
    <mergeCell ref="P55:Q55"/>
    <mergeCell ref="V55:W55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L55:M55"/>
    <mergeCell ref="R55:S55"/>
    <mergeCell ref="T55:U55"/>
    <mergeCell ref="X56:Y56"/>
    <mergeCell ref="F51:G51"/>
    <mergeCell ref="H51:I51"/>
    <mergeCell ref="J51:K51"/>
    <mergeCell ref="E58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X57:Y57"/>
    <mergeCell ref="N57:O57"/>
    <mergeCell ref="P57:Q57"/>
    <mergeCell ref="R57:S57"/>
    <mergeCell ref="T57:U57"/>
    <mergeCell ref="V57:W57"/>
    <mergeCell ref="F57:G57"/>
    <mergeCell ref="H57:I57"/>
    <mergeCell ref="J57:K57"/>
    <mergeCell ref="L57:M57"/>
    <mergeCell ref="L64:M64"/>
    <mergeCell ref="O64:P64"/>
    <mergeCell ref="R64:S64"/>
    <mergeCell ref="T64:U64"/>
    <mergeCell ref="X64:Y64"/>
    <mergeCell ref="I65:J65"/>
    <mergeCell ref="L65:M65"/>
    <mergeCell ref="O65:P65"/>
    <mergeCell ref="R65:S65"/>
    <mergeCell ref="T65:U65"/>
    <mergeCell ref="X65:Y65"/>
    <mergeCell ref="I64:J64"/>
    <mergeCell ref="T71:U71"/>
    <mergeCell ref="V71:W71"/>
    <mergeCell ref="X71:Y71"/>
    <mergeCell ref="B67:C67"/>
    <mergeCell ref="F67:G67"/>
    <mergeCell ref="H67:I67"/>
    <mergeCell ref="J67:K67"/>
    <mergeCell ref="L67:M67"/>
    <mergeCell ref="N67:O67"/>
    <mergeCell ref="P67:Q67"/>
    <mergeCell ref="R67:S67"/>
    <mergeCell ref="E69:E70"/>
    <mergeCell ref="B70:C70"/>
    <mergeCell ref="F71:G71"/>
    <mergeCell ref="H71:I71"/>
    <mergeCell ref="J71:K71"/>
    <mergeCell ref="L71:M71"/>
    <mergeCell ref="N71:O71"/>
    <mergeCell ref="P71:Q71"/>
    <mergeCell ref="R71:S71"/>
    <mergeCell ref="T67:U67"/>
    <mergeCell ref="V67:W67"/>
    <mergeCell ref="X67:Y67"/>
    <mergeCell ref="X72:Y72"/>
    <mergeCell ref="B73:C73"/>
    <mergeCell ref="F73:G73"/>
    <mergeCell ref="H73:I73"/>
    <mergeCell ref="J73:K73"/>
    <mergeCell ref="L73:M73"/>
    <mergeCell ref="N73:O73"/>
    <mergeCell ref="P73:Q73"/>
    <mergeCell ref="R73:S73"/>
    <mergeCell ref="T73:U73"/>
    <mergeCell ref="V73:W73"/>
    <mergeCell ref="X73:Y73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E74:E76"/>
    <mergeCell ref="F76:G76"/>
    <mergeCell ref="H76:I76"/>
    <mergeCell ref="J76:K76"/>
    <mergeCell ref="L76:M76"/>
    <mergeCell ref="N76:O76"/>
    <mergeCell ref="P76:Q76"/>
    <mergeCell ref="R76:S76"/>
    <mergeCell ref="T76:U76"/>
    <mergeCell ref="V76:W76"/>
    <mergeCell ref="X76:Y76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X80:Y80"/>
    <mergeCell ref="E82:E83"/>
    <mergeCell ref="F84:G84"/>
    <mergeCell ref="H84:I84"/>
    <mergeCell ref="J84:K84"/>
    <mergeCell ref="L84:M84"/>
    <mergeCell ref="N84:O84"/>
    <mergeCell ref="P84:Q84"/>
    <mergeCell ref="R84:S84"/>
    <mergeCell ref="T84:U84"/>
    <mergeCell ref="V84:W84"/>
    <mergeCell ref="X84:Y84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5:Y85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X86:Y86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E87:E89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X89:Y89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</mergeCells>
  <phoneticPr fontId="9" type="noConversion"/>
  <conditionalFormatting sqref="B10">
    <cfRule type="cellIs" dxfId="137" priority="154" operator="notEqual">
      <formula>""</formula>
    </cfRule>
  </conditionalFormatting>
  <conditionalFormatting sqref="B16">
    <cfRule type="cellIs" dxfId="136" priority="157" operator="notEqual">
      <formula>0</formula>
    </cfRule>
  </conditionalFormatting>
  <conditionalFormatting sqref="B18">
    <cfRule type="cellIs" dxfId="135" priority="142" operator="notEqual">
      <formula>0</formula>
    </cfRule>
  </conditionalFormatting>
  <conditionalFormatting sqref="B39">
    <cfRule type="cellIs" dxfId="134" priority="89" operator="notEqual">
      <formula>""</formula>
    </cfRule>
  </conditionalFormatting>
  <conditionalFormatting sqref="B45">
    <cfRule type="cellIs" dxfId="133" priority="92" operator="notEqual">
      <formula>0</formula>
    </cfRule>
  </conditionalFormatting>
  <conditionalFormatting sqref="B47">
    <cfRule type="cellIs" dxfId="132" priority="78" operator="notEqual">
      <formula>0</formula>
    </cfRule>
  </conditionalFormatting>
  <conditionalFormatting sqref="B68">
    <cfRule type="cellIs" dxfId="131" priority="43" operator="notEqual">
      <formula>""</formula>
    </cfRule>
  </conditionalFormatting>
  <conditionalFormatting sqref="B74">
    <cfRule type="cellIs" dxfId="130" priority="46" operator="notEqual">
      <formula>0</formula>
    </cfRule>
  </conditionalFormatting>
  <conditionalFormatting sqref="B76">
    <cfRule type="cellIs" dxfId="129" priority="32" operator="notEqual">
      <formula>0</formula>
    </cfRule>
  </conditionalFormatting>
  <conditionalFormatting sqref="C18">
    <cfRule type="cellIs" dxfId="128" priority="143" operator="notEqual">
      <formula>0</formula>
    </cfRule>
  </conditionalFormatting>
  <conditionalFormatting sqref="C47">
    <cfRule type="cellIs" dxfId="127" priority="79" operator="notEqual">
      <formula>0</formula>
    </cfRule>
  </conditionalFormatting>
  <conditionalFormatting sqref="C76">
    <cfRule type="cellIs" dxfId="126" priority="33" operator="notEqual">
      <formula>0</formula>
    </cfRule>
  </conditionalFormatting>
  <conditionalFormatting sqref="F10">
    <cfRule type="expression" dxfId="125" priority="134">
      <formula>OR(F13&lt;&gt;"", F14&lt;&gt;"",F15&lt;&gt;"")</formula>
    </cfRule>
  </conditionalFormatting>
  <conditionalFormatting sqref="F13:F15">
    <cfRule type="cellIs" dxfId="124" priority="156" operator="notEqual">
      <formula>0</formula>
    </cfRule>
  </conditionalFormatting>
  <conditionalFormatting sqref="F15 H15 J15 L15 N15 P15 R15 T15 V15 X15">
    <cfRule type="expression" dxfId="123" priority="151">
      <formula>OR(F13&lt;&gt;"", F14&lt;&gt;"")</formula>
    </cfRule>
  </conditionalFormatting>
  <conditionalFormatting sqref="F16 H16 J16 L16 N16 P16 R16 T16 V16 X16">
    <cfRule type="expression" dxfId="122" priority="148">
      <formula>OR(F13&lt;&gt;"", F14&lt;&gt;"",F15&lt;&gt;"")</formula>
    </cfRule>
  </conditionalFormatting>
  <conditionalFormatting sqref="F17 H17 J17 L17 N17 P17 R17 T17 V17 X17">
    <cfRule type="expression" dxfId="121" priority="146">
      <formula>OR(F13&lt;&gt;"", F14&lt;&gt;"",F15&lt;&gt;"")</formula>
    </cfRule>
  </conditionalFormatting>
  <conditionalFormatting sqref="F18 H18 J18 L18 N18 P18 R18 T18 V18 X18">
    <cfRule type="expression" dxfId="120" priority="144">
      <formula>OR(F13&lt;&gt;"", F14&lt;&gt;"",F15&lt;&gt;"")</formula>
    </cfRule>
  </conditionalFormatting>
  <conditionalFormatting sqref="F23">
    <cfRule type="expression" dxfId="119" priority="105">
      <formula>OR(F26&lt;&gt;"", F27&lt;&gt;"",F28&lt;&gt;"")</formula>
    </cfRule>
  </conditionalFormatting>
  <conditionalFormatting sqref="F26:F28">
    <cfRule type="cellIs" dxfId="118" priority="127" operator="notEqual">
      <formula>0</formula>
    </cfRule>
  </conditionalFormatting>
  <conditionalFormatting sqref="F28 H28 J28 L28 N28 P28 R28 T28 V28 X28">
    <cfRule type="expression" dxfId="117" priority="122">
      <formula>OR(F26&lt;&gt;"", F27&lt;&gt;"")</formula>
    </cfRule>
  </conditionalFormatting>
  <conditionalFormatting sqref="F29 H29 J29 L29 N29 P29 R29 T29 V29 X29">
    <cfRule type="expression" dxfId="116" priority="119">
      <formula>OR(F26&lt;&gt;"", F27&lt;&gt;"",F28&lt;&gt;"")</formula>
    </cfRule>
  </conditionalFormatting>
  <conditionalFormatting sqref="F30 H30 J30 L30 N30 P30 R30 T30 V30 X30">
    <cfRule type="expression" dxfId="115" priority="117">
      <formula>OR(F26&lt;&gt;"", F27&lt;&gt;"",F28&lt;&gt;"")</formula>
    </cfRule>
  </conditionalFormatting>
  <conditionalFormatting sqref="F31 H31 J31 L31 N31 P31 R31 T31 V31 X31">
    <cfRule type="expression" dxfId="114" priority="115">
      <formula>OR(F26&lt;&gt;"", F27&lt;&gt;"",F28&lt;&gt;"")</formula>
    </cfRule>
  </conditionalFormatting>
  <conditionalFormatting sqref="F39">
    <cfRule type="expression" dxfId="113" priority="72">
      <formula>OR(F42&lt;&gt;"", F43&lt;&gt;"",F44&lt;&gt;"")</formula>
    </cfRule>
  </conditionalFormatting>
  <conditionalFormatting sqref="F42:F44">
    <cfRule type="cellIs" dxfId="112" priority="91" operator="notEqual">
      <formula>0</formula>
    </cfRule>
  </conditionalFormatting>
  <conditionalFormatting sqref="F44 H44 J44 L44 N44 P44 R44 T44 V44 X44">
    <cfRule type="expression" dxfId="111" priority="86">
      <formula>OR(F42&lt;&gt;"", F43&lt;&gt;"")</formula>
    </cfRule>
  </conditionalFormatting>
  <conditionalFormatting sqref="F45 H45 J45 L45 N45 P45 R45 T45 V45 X45">
    <cfRule type="expression" dxfId="110" priority="84">
      <formula>OR(F42&lt;&gt;"", F43&lt;&gt;"",F44&lt;&gt;"")</formula>
    </cfRule>
  </conditionalFormatting>
  <conditionalFormatting sqref="F46 H46 J46 L46 N46 P46 R46 T46 V46 X46">
    <cfRule type="expression" dxfId="109" priority="82">
      <formula>OR(F42&lt;&gt;"", F43&lt;&gt;"",F44&lt;&gt;"")</formula>
    </cfRule>
  </conditionalFormatting>
  <conditionalFormatting sqref="F47 H47 J47 L47 N47 P47 R47 T47 V47 X47">
    <cfRule type="expression" dxfId="108" priority="80">
      <formula>OR(F42&lt;&gt;"", F43&lt;&gt;"",F44&lt;&gt;"")</formula>
    </cfRule>
  </conditionalFormatting>
  <conditionalFormatting sqref="F52">
    <cfRule type="expression" dxfId="107" priority="55">
      <formula>OR(F55&lt;&gt;"", F56&lt;&gt;"",F57&lt;&gt;"")</formula>
    </cfRule>
  </conditionalFormatting>
  <conditionalFormatting sqref="F55:F57">
    <cfRule type="cellIs" dxfId="106" priority="66" operator="notEqual">
      <formula>0</formula>
    </cfRule>
  </conditionalFormatting>
  <conditionalFormatting sqref="F57 H57 J57 L57 N57 P57 R57 T57 V57 X57">
    <cfRule type="expression" dxfId="105" priority="65">
      <formula>OR(F55&lt;&gt;"", F56&lt;&gt;"")</formula>
    </cfRule>
  </conditionalFormatting>
  <conditionalFormatting sqref="F58 H58 J58 L58 N58 P58 R58 T58 V58 X58">
    <cfRule type="expression" dxfId="104" priority="64">
      <formula>OR(F55&lt;&gt;"", F56&lt;&gt;"",F57&lt;&gt;"")</formula>
    </cfRule>
  </conditionalFormatting>
  <conditionalFormatting sqref="F59 H59 J59 L59 N59 P59 R59 T59 V59 X59">
    <cfRule type="expression" dxfId="103" priority="62">
      <formula>OR(F55&lt;&gt;"", F56&lt;&gt;"",F57&lt;&gt;"")</formula>
    </cfRule>
  </conditionalFormatting>
  <conditionalFormatting sqref="F60 H60 J60 L60 N60 P60 R60 T60 V60 X60">
    <cfRule type="expression" dxfId="102" priority="60">
      <formula>OR(F55&lt;&gt;"", F56&lt;&gt;"",F57&lt;&gt;"")</formula>
    </cfRule>
  </conditionalFormatting>
  <conditionalFormatting sqref="F68">
    <cfRule type="expression" dxfId="101" priority="26">
      <formula>OR(F71&lt;&gt;"", F72&lt;&gt;"",F73&lt;&gt;"")</formula>
    </cfRule>
  </conditionalFormatting>
  <conditionalFormatting sqref="F71:F73">
    <cfRule type="cellIs" dxfId="100" priority="45" operator="notEqual">
      <formula>0</formula>
    </cfRule>
  </conditionalFormatting>
  <conditionalFormatting sqref="F73 H73 J73 L73 N73 P73 R73 T73 V73 X73">
    <cfRule type="expression" dxfId="99" priority="40">
      <formula>OR(F71&lt;&gt;"", F72&lt;&gt;"")</formula>
    </cfRule>
  </conditionalFormatting>
  <conditionalFormatting sqref="F74 H74 J74 L74 N74 P74 R74 T74 V74 X74">
    <cfRule type="expression" dxfId="98" priority="38">
      <formula>OR(F71&lt;&gt;"", F72&lt;&gt;"",F73&lt;&gt;"")</formula>
    </cfRule>
  </conditionalFormatting>
  <conditionalFormatting sqref="F75 H75 J75 L75 N75 P75 R75 T75 V75 X75">
    <cfRule type="expression" dxfId="97" priority="36">
      <formula>OR(F71&lt;&gt;"", F72&lt;&gt;"",F73&lt;&gt;"")</formula>
    </cfRule>
  </conditionalFormatting>
  <conditionalFormatting sqref="F76 H76 J76 L76 N76 P76 R76 T76 V76 X76">
    <cfRule type="expression" dxfId="96" priority="34">
      <formula>OR(F71&lt;&gt;"", F72&lt;&gt;"",F73&lt;&gt;"")</formula>
    </cfRule>
  </conditionalFormatting>
  <conditionalFormatting sqref="F81">
    <cfRule type="expression" dxfId="95" priority="9">
      <formula>OR(F84&lt;&gt;"", F85&lt;&gt;"",F86&lt;&gt;"")</formula>
    </cfRule>
  </conditionalFormatting>
  <conditionalFormatting sqref="F84:F86">
    <cfRule type="cellIs" dxfId="94" priority="20" operator="notEqual">
      <formula>0</formula>
    </cfRule>
  </conditionalFormatting>
  <conditionalFormatting sqref="F86 H86 J86 L86 N86 P86 R86 T86 V86 X86">
    <cfRule type="expression" dxfId="93" priority="19">
      <formula>OR(F84&lt;&gt;"", F85&lt;&gt;"")</formula>
    </cfRule>
  </conditionalFormatting>
  <conditionalFormatting sqref="F87 H87 J87 L87 N87 P87 R87 T87 V87 X87">
    <cfRule type="expression" dxfId="92" priority="18">
      <formula>OR(F84&lt;&gt;"", F85&lt;&gt;"",F86&lt;&gt;"")</formula>
    </cfRule>
  </conditionalFormatting>
  <conditionalFormatting sqref="F88 H88 J88 L88 N88 P88 R88 T88 V88 X88">
    <cfRule type="expression" dxfId="91" priority="16">
      <formula>OR(F84&lt;&gt;"", F85&lt;&gt;"",F86&lt;&gt;"")</formula>
    </cfRule>
  </conditionalFormatting>
  <conditionalFormatting sqref="F89 H89 J89 L89 N89 P89 R89 T89 V89 X89">
    <cfRule type="expression" dxfId="90" priority="14">
      <formula>OR(F84&lt;&gt;"", F85&lt;&gt;"",F86&lt;&gt;"")</formula>
    </cfRule>
  </conditionalFormatting>
  <conditionalFormatting sqref="F5:G5 I5">
    <cfRule type="cellIs" dxfId="89" priority="592" operator="notEqual">
      <formula>0</formula>
    </cfRule>
  </conditionalFormatting>
  <conditionalFormatting sqref="F7:G8 I7:I8">
    <cfRule type="cellIs" dxfId="88" priority="153" operator="notEqual">
      <formula>0</formula>
    </cfRule>
  </conditionalFormatting>
  <conditionalFormatting sqref="F34:G34 I34">
    <cfRule type="cellIs" dxfId="87" priority="93" operator="notEqual">
      <formula>0</formula>
    </cfRule>
  </conditionalFormatting>
  <conditionalFormatting sqref="F36:G37 I36:I37">
    <cfRule type="cellIs" dxfId="86" priority="88" operator="notEqual">
      <formula>0</formula>
    </cfRule>
  </conditionalFormatting>
  <conditionalFormatting sqref="F63:G63 I63">
    <cfRule type="cellIs" dxfId="85" priority="47" operator="notEqual">
      <formula>0</formula>
    </cfRule>
  </conditionalFormatting>
  <conditionalFormatting sqref="F65:G66 I65:I66">
    <cfRule type="cellIs" dxfId="84" priority="42" operator="notEqual">
      <formula>0</formula>
    </cfRule>
  </conditionalFormatting>
  <conditionalFormatting sqref="F9:Y9">
    <cfRule type="expression" dxfId="83" priority="139">
      <formula>AND(F20&lt;&gt;0, F13="", F14="",  F15="", G10&gt;$B10)</formula>
    </cfRule>
  </conditionalFormatting>
  <conditionalFormatting sqref="F13:Y13">
    <cfRule type="expression" dxfId="82" priority="137">
      <formula>OR(F14&lt;&gt;"",F15&lt;&gt;"")</formula>
    </cfRule>
  </conditionalFormatting>
  <conditionalFormatting sqref="F14:Y14">
    <cfRule type="expression" dxfId="81" priority="136">
      <formula>OR(F13&lt;&gt;"",F15&lt;&gt;"")</formula>
    </cfRule>
  </conditionalFormatting>
  <conditionalFormatting sqref="F22:Y22">
    <cfRule type="expression" dxfId="80" priority="110">
      <formula>AND(F33&lt;&gt;0, F26="", F27="",  F28="", G23&gt;$B10)</formula>
    </cfRule>
  </conditionalFormatting>
  <conditionalFormatting sqref="F26:Y26">
    <cfRule type="expression" dxfId="79" priority="108">
      <formula>OR(F27&lt;&gt;"",F28&lt;&gt;"")</formula>
    </cfRule>
  </conditionalFormatting>
  <conditionalFormatting sqref="F27:Y27">
    <cfRule type="expression" dxfId="78" priority="107">
      <formula>OR(F26&lt;&gt;"",F28&lt;&gt;"")</formula>
    </cfRule>
  </conditionalFormatting>
  <conditionalFormatting sqref="F38:Y38">
    <cfRule type="expression" dxfId="77" priority="77">
      <formula>AND(F49&lt;&gt;0, F42="", F43="",  F44="", G39&gt;$B39)</formula>
    </cfRule>
  </conditionalFormatting>
  <conditionalFormatting sqref="F42:Y42">
    <cfRule type="expression" dxfId="76" priority="75">
      <formula>OR(F43&lt;&gt;"",F44&lt;&gt;"")</formula>
    </cfRule>
  </conditionalFormatting>
  <conditionalFormatting sqref="F43:Y43">
    <cfRule type="expression" dxfId="75" priority="74">
      <formula>OR(F42&lt;&gt;"",F44&lt;&gt;"")</formula>
    </cfRule>
  </conditionalFormatting>
  <conditionalFormatting sqref="F51:Y51">
    <cfRule type="expression" dxfId="74" priority="59">
      <formula>AND(F62&lt;&gt;0, F55="", F56="",  F57="", G52&gt;$B39)</formula>
    </cfRule>
  </conditionalFormatting>
  <conditionalFormatting sqref="F55:Y55">
    <cfRule type="expression" dxfId="73" priority="58">
      <formula>OR(F56&lt;&gt;"",F57&lt;&gt;"")</formula>
    </cfRule>
  </conditionalFormatting>
  <conditionalFormatting sqref="F56:Y56">
    <cfRule type="expression" dxfId="72" priority="57">
      <formula>OR(F55&lt;&gt;"",F57&lt;&gt;"")</formula>
    </cfRule>
  </conditionalFormatting>
  <conditionalFormatting sqref="F67:Y67">
    <cfRule type="expression" dxfId="71" priority="31">
      <formula>AND(F78&lt;&gt;0, F71="", F72="",  F73="", G68&gt;$B68)</formula>
    </cfRule>
  </conditionalFormatting>
  <conditionalFormatting sqref="F71:Y71">
    <cfRule type="expression" dxfId="70" priority="29">
      <formula>OR(F72&lt;&gt;"",F73&lt;&gt;"")</formula>
    </cfRule>
  </conditionalFormatting>
  <conditionalFormatting sqref="F72:Y72">
    <cfRule type="expression" dxfId="69" priority="28">
      <formula>OR(F71&lt;&gt;"",F73&lt;&gt;"")</formula>
    </cfRule>
  </conditionalFormatting>
  <conditionalFormatting sqref="F80:Y80">
    <cfRule type="expression" dxfId="68" priority="13">
      <formula>AND(F91&lt;&gt;0, F84="", F85="",  F86="", G81&gt;$B68)</formula>
    </cfRule>
  </conditionalFormatting>
  <conditionalFormatting sqref="F84:Y84">
    <cfRule type="expression" dxfId="67" priority="12">
      <formula>OR(F85&lt;&gt;"",F86&lt;&gt;"")</formula>
    </cfRule>
  </conditionalFormatting>
  <conditionalFormatting sqref="F85:Y85">
    <cfRule type="expression" dxfId="66" priority="11">
      <formula>OR(F84&lt;&gt;"",F86&lt;&gt;"")</formula>
    </cfRule>
  </conditionalFormatting>
  <conditionalFormatting sqref="G10">
    <cfRule type="expression" dxfId="65" priority="133">
      <formula>OR(F13&lt;&gt;"", F14&lt;&gt;"",F15&lt;&gt;"")</formula>
    </cfRule>
    <cfRule type="cellIs" dxfId="64" priority="135" operator="notEqual">
      <formula>""</formula>
    </cfRule>
  </conditionalFormatting>
  <conditionalFormatting sqref="G16 I16 K16 M16 O16 Q16 S16 U16 W16 Y16">
    <cfRule type="expression" dxfId="63" priority="147">
      <formula>OR(F13&lt;&gt;"", F14&lt;&gt;"",F15&lt;&gt;"")</formula>
    </cfRule>
  </conditionalFormatting>
  <conditionalFormatting sqref="G17 I17 K17 M17 O17 Q17 S17 U17 W17 Y17">
    <cfRule type="expression" dxfId="62" priority="145">
      <formula>OR(F13&lt;&gt;"", F14&lt;&gt;"",F15&lt;&gt;"")</formula>
    </cfRule>
  </conditionalFormatting>
  <conditionalFormatting sqref="G23">
    <cfRule type="expression" dxfId="61" priority="104">
      <formula>OR(F26&lt;&gt;"", F27&lt;&gt;"",F28&lt;&gt;"")</formula>
    </cfRule>
    <cfRule type="cellIs" dxfId="60" priority="106" operator="notEqual">
      <formula>""</formula>
    </cfRule>
  </conditionalFormatting>
  <conditionalFormatting sqref="G29 I29 K29 M29 O29 Q29 S29 U29 W29 Y29">
    <cfRule type="expression" dxfId="59" priority="118">
      <formula>OR(F26&lt;&gt;"", F27&lt;&gt;"",F28&lt;&gt;"")</formula>
    </cfRule>
  </conditionalFormatting>
  <conditionalFormatting sqref="G30 I30 K30 M30 O30 Q30 S30 U30 W30 Y30">
    <cfRule type="expression" dxfId="58" priority="116">
      <formula>OR(F26&lt;&gt;"", F27&lt;&gt;"",F28&lt;&gt;"")</formula>
    </cfRule>
  </conditionalFormatting>
  <conditionalFormatting sqref="G39">
    <cfRule type="expression" dxfId="57" priority="71">
      <formula>OR(F42&lt;&gt;"", F43&lt;&gt;"",F44&lt;&gt;"")</formula>
    </cfRule>
    <cfRule type="cellIs" dxfId="56" priority="73" operator="notEqual">
      <formula>""</formula>
    </cfRule>
  </conditionalFormatting>
  <conditionalFormatting sqref="G45 I45 K45 M45 O45 Q45 S45 U45 W45 Y45">
    <cfRule type="expression" dxfId="55" priority="83">
      <formula>OR(F42&lt;&gt;"", F43&lt;&gt;"",F44&lt;&gt;"")</formula>
    </cfRule>
  </conditionalFormatting>
  <conditionalFormatting sqref="G46 I46 K46 M46 O46 Q46 S46 U46 W46 Y46">
    <cfRule type="expression" dxfId="54" priority="81">
      <formula>OR(F42&lt;&gt;"", F43&lt;&gt;"",F44&lt;&gt;"")</formula>
    </cfRule>
  </conditionalFormatting>
  <conditionalFormatting sqref="G52">
    <cfRule type="expression" dxfId="53" priority="54">
      <formula>OR(F55&lt;&gt;"", F56&lt;&gt;"",F57&lt;&gt;"")</formula>
    </cfRule>
    <cfRule type="cellIs" dxfId="52" priority="56" operator="notEqual">
      <formula>""</formula>
    </cfRule>
  </conditionalFormatting>
  <conditionalFormatting sqref="G58 I58 K58 M58 O58 Q58 S58 U58 W58 Y58">
    <cfRule type="expression" dxfId="51" priority="63">
      <formula>OR(F55&lt;&gt;"", F56&lt;&gt;"",F57&lt;&gt;"")</formula>
    </cfRule>
  </conditionalFormatting>
  <conditionalFormatting sqref="G59 I59 K59 M59 O59 Q59 S59 U59 W59 Y59">
    <cfRule type="expression" dxfId="50" priority="61">
      <formula>OR(F55&lt;&gt;"", F56&lt;&gt;"",F57&lt;&gt;"")</formula>
    </cfRule>
  </conditionalFormatting>
  <conditionalFormatting sqref="G68">
    <cfRule type="expression" dxfId="49" priority="25">
      <formula>OR(F71&lt;&gt;"", F72&lt;&gt;"",F73&lt;&gt;"")</formula>
    </cfRule>
    <cfRule type="cellIs" dxfId="48" priority="27" operator="notEqual">
      <formula>""</formula>
    </cfRule>
  </conditionalFormatting>
  <conditionalFormatting sqref="G74 I74 K74 M74 O74 Q74 S74 U74 W74 Y74">
    <cfRule type="expression" dxfId="47" priority="37">
      <formula>OR(F71&lt;&gt;"", F72&lt;&gt;"",F73&lt;&gt;"")</formula>
    </cfRule>
  </conditionalFormatting>
  <conditionalFormatting sqref="G75 I75 K75 M75 O75 Q75 S75 U75 W75 Y75">
    <cfRule type="expression" dxfId="46" priority="35">
      <formula>OR(F71&lt;&gt;"", F72&lt;&gt;"",F73&lt;&gt;"")</formula>
    </cfRule>
  </conditionalFormatting>
  <conditionalFormatting sqref="G81">
    <cfRule type="expression" dxfId="45" priority="8">
      <formula>OR(F84&lt;&gt;"", F85&lt;&gt;"",F86&lt;&gt;"")</formula>
    </cfRule>
    <cfRule type="cellIs" dxfId="44" priority="10" operator="notEqual">
      <formula>""</formula>
    </cfRule>
  </conditionalFormatting>
  <conditionalFormatting sqref="G87 I87 K87 M87 O87 Q87 S87 U87 W87 Y87">
    <cfRule type="expression" dxfId="43" priority="17">
      <formula>OR(F84&lt;&gt;"", F85&lt;&gt;"",F86&lt;&gt;"")</formula>
    </cfRule>
  </conditionalFormatting>
  <conditionalFormatting sqref="G88 I88 K88 M88 O88 Q88 S88 U88 W88 Y88">
    <cfRule type="expression" dxfId="42" priority="15">
      <formula>OR(F84&lt;&gt;"", F85&lt;&gt;"",F86&lt;&gt;"")</formula>
    </cfRule>
  </conditionalFormatting>
  <conditionalFormatting sqref="H10 J10 L10 N10 P10 R10 T10 V10 X10">
    <cfRule type="expression" dxfId="41" priority="130">
      <formula>OR(H13&lt;&gt;"", H14&lt;&gt;"",H15&lt;&gt;"")</formula>
    </cfRule>
  </conditionalFormatting>
  <conditionalFormatting sqref="H13:H15 J13:J15 L13:L15 N13:N15 P13:P15 R13:R15 T13:T15 V13:V15 X13:X15">
    <cfRule type="cellIs" dxfId="40" priority="132" operator="notEqual">
      <formula>0</formula>
    </cfRule>
  </conditionalFormatting>
  <conditionalFormatting sqref="H23 J23 L23 N23 P23 R23 T23 V23 X23">
    <cfRule type="expression" dxfId="39" priority="101">
      <formula>OR(H26&lt;&gt;"", H27&lt;&gt;"",H28&lt;&gt;"")</formula>
    </cfRule>
  </conditionalFormatting>
  <conditionalFormatting sqref="H26:H28 J26:J28 L26:L28 N26:N28 P26:P28 R26:R28 T26:T28 V26:V28 X26:X28">
    <cfRule type="cellIs" dxfId="38" priority="103" operator="notEqual">
      <formula>0</formula>
    </cfRule>
  </conditionalFormatting>
  <conditionalFormatting sqref="H39 J39 L39 N39 P39 R39 T39 V39 X39">
    <cfRule type="expression" dxfId="37" priority="68">
      <formula>OR(H42&lt;&gt;"", H43&lt;&gt;"",H44&lt;&gt;"")</formula>
    </cfRule>
  </conditionalFormatting>
  <conditionalFormatting sqref="H42:H44 J42:J44 L42:L44 N42:N44 P42:P44 R42:R44 T42:T44 V42:V44 X42:X44">
    <cfRule type="cellIs" dxfId="36" priority="70" operator="notEqual">
      <formula>0</formula>
    </cfRule>
  </conditionalFormatting>
  <conditionalFormatting sqref="H52 J52 L52 N52 P52 R52 T52 V52 X52">
    <cfRule type="expression" dxfId="35" priority="51">
      <formula>OR(H55&lt;&gt;"", H56&lt;&gt;"",H57&lt;&gt;"")</formula>
    </cfRule>
  </conditionalFormatting>
  <conditionalFormatting sqref="H55:H57 J55:J57 L55:L57 N55:N57 P55:P57 R55:R57 T55:T57 V55:V57 X55:X57">
    <cfRule type="cellIs" dxfId="34" priority="53" operator="notEqual">
      <formula>0</formula>
    </cfRule>
  </conditionalFormatting>
  <conditionalFormatting sqref="H68 J68 L68 N68 P68 R68 T68 V68 X68">
    <cfRule type="expression" dxfId="33" priority="22">
      <formula>OR(H71&lt;&gt;"", H72&lt;&gt;"",H73&lt;&gt;"")</formula>
    </cfRule>
  </conditionalFormatting>
  <conditionalFormatting sqref="H71:H73 J71:J73 L71:L73 N71:N73 P71:P73 R71:R73 T71:T73 V71:V73 X71:X73">
    <cfRule type="cellIs" dxfId="32" priority="24" operator="notEqual">
      <formula>0</formula>
    </cfRule>
  </conditionalFormatting>
  <conditionalFormatting sqref="H81 J81 L81 N81 P81 R81 T81 V81 X81">
    <cfRule type="expression" dxfId="31" priority="5">
      <formula>OR(H84&lt;&gt;"", H85&lt;&gt;"",H86&lt;&gt;"")</formula>
    </cfRule>
  </conditionalFormatting>
  <conditionalFormatting sqref="H84:H86 J84:J86 L84:L86 N84:N86 P84:P86 R84:R86 T84:T86 V84:V86 X84:X86">
    <cfRule type="cellIs" dxfId="30" priority="7" operator="notEqual">
      <formula>0</formula>
    </cfRule>
  </conditionalFormatting>
  <conditionalFormatting sqref="I10 K10 M10 O10 Q10 S10 U10 W10 Y10">
    <cfRule type="expression" dxfId="29" priority="129">
      <formula>OR(H13&lt;&gt;"", H14&lt;&gt;"",H15&lt;&gt;"")</formula>
    </cfRule>
    <cfRule type="cellIs" dxfId="28" priority="131" operator="notEqual">
      <formula>""</formula>
    </cfRule>
  </conditionalFormatting>
  <conditionalFormatting sqref="I23 K23 M23 O23 Q23 S23 U23 W23 Y23">
    <cfRule type="expression" dxfId="27" priority="100">
      <formula>OR(H26&lt;&gt;"", H27&lt;&gt;"",H28&lt;&gt;"")</formula>
    </cfRule>
    <cfRule type="cellIs" dxfId="26" priority="102" operator="notEqual">
      <formula>""</formula>
    </cfRule>
  </conditionalFormatting>
  <conditionalFormatting sqref="I39 K39 M39 O39 Q39 S39 U39 W39 Y39">
    <cfRule type="expression" dxfId="25" priority="67">
      <formula>OR(H42&lt;&gt;"", H43&lt;&gt;"",H44&lt;&gt;"")</formula>
    </cfRule>
    <cfRule type="cellIs" dxfId="24" priority="69" operator="notEqual">
      <formula>""</formula>
    </cfRule>
  </conditionalFormatting>
  <conditionalFormatting sqref="I52 K52 M52 O52 Q52 S52 U52 W52 Y52">
    <cfRule type="expression" dxfId="23" priority="50">
      <formula>OR(H55&lt;&gt;"", H56&lt;&gt;"",H57&lt;&gt;"")</formula>
    </cfRule>
    <cfRule type="cellIs" dxfId="22" priority="52" operator="notEqual">
      <formula>""</formula>
    </cfRule>
  </conditionalFormatting>
  <conditionalFormatting sqref="I68 K68 M68 O68 Q68 S68 U68 W68 Y68">
    <cfRule type="expression" dxfId="21" priority="21">
      <formula>OR(H71&lt;&gt;"", H72&lt;&gt;"",H73&lt;&gt;"")</formula>
    </cfRule>
    <cfRule type="cellIs" dxfId="20" priority="23" operator="notEqual">
      <formula>""</formula>
    </cfRule>
  </conditionalFormatting>
  <conditionalFormatting sqref="I81 K81 M81 O81 Q81 S81 U81 W81 Y81">
    <cfRule type="cellIs" dxfId="19" priority="6" operator="notEqual">
      <formula>""</formula>
    </cfRule>
    <cfRule type="expression" dxfId="18" priority="4">
      <formula>OR(H84&lt;&gt;"", H85&lt;&gt;"",H86&lt;&gt;"")</formula>
    </cfRule>
  </conditionalFormatting>
  <conditionalFormatting sqref="L5">
    <cfRule type="cellIs" dxfId="17" priority="593" operator="notEqual">
      <formula>0</formula>
    </cfRule>
  </conditionalFormatting>
  <conditionalFormatting sqref="L7:L8">
    <cfRule type="cellIs" dxfId="16" priority="155" operator="notEqual">
      <formula>0</formula>
    </cfRule>
  </conditionalFormatting>
  <conditionalFormatting sqref="L34">
    <cfRule type="cellIs" dxfId="15" priority="94" operator="notEqual">
      <formula>0</formula>
    </cfRule>
  </conditionalFormatting>
  <conditionalFormatting sqref="L36:L37">
    <cfRule type="cellIs" dxfId="14" priority="90" operator="notEqual">
      <formula>0</formula>
    </cfRule>
  </conditionalFormatting>
  <conditionalFormatting sqref="L63">
    <cfRule type="cellIs" dxfId="13" priority="48" operator="notEqual">
      <formula>0</formula>
    </cfRule>
  </conditionalFormatting>
  <conditionalFormatting sqref="L65:L66">
    <cfRule type="cellIs" dxfId="12" priority="44" operator="notEqual">
      <formula>0</formula>
    </cfRule>
  </conditionalFormatting>
  <conditionalFormatting sqref="O7">
    <cfRule type="cellIs" dxfId="11" priority="138" operator="notEqual">
      <formula>0</formula>
    </cfRule>
  </conditionalFormatting>
  <conditionalFormatting sqref="O36">
    <cfRule type="cellIs" dxfId="10" priority="76" operator="notEqual">
      <formula>0</formula>
    </cfRule>
  </conditionalFormatting>
  <conditionalFormatting sqref="O65">
    <cfRule type="cellIs" dxfId="9" priority="30" operator="notEqual">
      <formula>0</formula>
    </cfRule>
  </conditionalFormatting>
  <conditionalFormatting sqref="R7">
    <cfRule type="cellIs" dxfId="8" priority="150" operator="notEqual">
      <formula>0</formula>
    </cfRule>
  </conditionalFormatting>
  <conditionalFormatting sqref="R36">
    <cfRule type="cellIs" dxfId="7" priority="85" operator="notEqual">
      <formula>0</formula>
    </cfRule>
  </conditionalFormatting>
  <conditionalFormatting sqref="R65">
    <cfRule type="cellIs" dxfId="6" priority="39" operator="notEqual">
      <formula>0</formula>
    </cfRule>
  </conditionalFormatting>
  <conditionalFormatting sqref="T7">
    <cfRule type="cellIs" dxfId="5" priority="96" operator="greaterThan">
      <formula>$R$7</formula>
    </cfRule>
  </conditionalFormatting>
  <conditionalFormatting sqref="T36">
    <cfRule type="cellIs" dxfId="4" priority="2" operator="greaterThan">
      <formula>$R$36</formula>
    </cfRule>
  </conditionalFormatting>
  <conditionalFormatting sqref="T65">
    <cfRule type="cellIs" dxfId="3" priority="1" operator="greaterThan">
      <formula>$R$7</formula>
    </cfRule>
  </conditionalFormatting>
  <conditionalFormatting sqref="X7">
    <cfRule type="cellIs" dxfId="2" priority="152" operator="notEqual">
      <formula>0</formula>
    </cfRule>
  </conditionalFormatting>
  <conditionalFormatting sqref="X36">
    <cfRule type="cellIs" dxfId="1" priority="87" operator="notEqual">
      <formula>0</formula>
    </cfRule>
  </conditionalFormatting>
  <conditionalFormatting sqref="X65">
    <cfRule type="cellIs" dxfId="0" priority="41" operator="notEqual">
      <formula>0</formula>
    </cfRule>
  </conditionalFormatting>
  <dataValidations count="1">
    <dataValidation type="list" showInputMessage="1" showErrorMessage="1" sqref="F13:F15 H13:Y15 F26:F28 H26:Y28 F42:F44 H42:Y44 F55:F57 H55:Y57 F71:F73 H71:Y73 F84:F86 H84:Y86" xr:uid="{EA93057C-6D26-4776-84F7-ED89FEA69132}">
      <formula1>"✔"</formula1>
    </dataValidation>
  </dataValidations>
  <pageMargins left="0.27559055118110237" right="0.19685039370078741" top="0.59055118110236227" bottom="0.19685039370078741" header="0.19685039370078741" footer="0.19685039370078741"/>
  <pageSetup paperSize="9" scale="41" fitToHeight="0" orientation="landscape" cellComments="asDisplayed" verticalDpi="0" r:id="rId1"/>
  <headerFooter>
    <oddHeader>&amp;L&amp;"Audi Type Extended,常规"&amp;18&amp;K000000Audi China  C/OP-5&amp;R&amp;G</oddHeader>
    <oddFooter>&amp;L_x000D_&amp;1#&amp;"Calibri"&amp;10&amp;K000000 Internal</oddFooter>
  </headerFooter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D0BC11-9994-4C92-BC8A-EE04C69396DB}">
          <x14:formula1>
            <xm:f>Sheet1!$B$4:$B$7</xm:f>
          </x14:formula1>
          <xm:sqref>C23 C52 C81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498A-2660-4BA4-901E-C426E310C742}">
  <dimension ref="B2:B7"/>
  <sheetViews>
    <sheetView workbookViewId="0">
      <selection activeCell="I26" sqref="I26"/>
    </sheetView>
  </sheetViews>
  <sheetFormatPr defaultRowHeight="14.5"/>
  <cols>
    <col min="2" max="2" width="22.81640625" bestFit="1" customWidth="1"/>
  </cols>
  <sheetData>
    <row r="2" spans="2:2">
      <c r="B2" s="58" t="s">
        <v>111</v>
      </c>
    </row>
    <row r="3" spans="2:2">
      <c r="B3" s="59"/>
    </row>
    <row r="4" spans="2:2">
      <c r="B4" s="60">
        <v>10</v>
      </c>
    </row>
    <row r="5" spans="2:2">
      <c r="B5" s="60">
        <v>12</v>
      </c>
    </row>
    <row r="6" spans="2:2">
      <c r="B6" s="60">
        <v>15</v>
      </c>
    </row>
    <row r="7" spans="2:2">
      <c r="B7" s="60">
        <v>18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6</vt:i4>
      </vt:variant>
    </vt:vector>
  </HeadingPairs>
  <TitlesOfParts>
    <vt:vector size="10" baseType="lpstr">
      <vt:lpstr>On-site Record</vt:lpstr>
      <vt:lpstr>Cycletime Tracking</vt:lpstr>
      <vt:lpstr>Production Tracking</vt:lpstr>
      <vt:lpstr>Sheet1</vt:lpstr>
      <vt:lpstr>'Cycletime Tracking'!Print_Area</vt:lpstr>
      <vt:lpstr>'On-site Record'!Print_Area</vt:lpstr>
      <vt:lpstr>'Production Tracking'!Print_Area</vt:lpstr>
      <vt:lpstr>'Cycletime Tracking'!Print_Titles</vt:lpstr>
      <vt:lpstr>'On-site Record'!Print_Titles</vt:lpstr>
      <vt:lpstr>'Production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2026-05-21T07:35:00Z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6ea00b-4117-42cd-b507-4f042240423e_Enabled">
    <vt:lpwstr>true</vt:lpwstr>
  </property>
  <property fmtid="{D5CDD505-2E9C-101B-9397-08002B2CF9AE}" pid="3" name="MSIP_Label_126ea00b-4117-42cd-b507-4f042240423e_SetDate">
    <vt:lpwstr>2025-02-17T12:47:32Z</vt:lpwstr>
  </property>
  <property fmtid="{D5CDD505-2E9C-101B-9397-08002B2CF9AE}" pid="4" name="MSIP_Label_126ea00b-4117-42cd-b507-4f042240423e_Method">
    <vt:lpwstr>Standard</vt:lpwstr>
  </property>
  <property fmtid="{D5CDD505-2E9C-101B-9397-08002B2CF9AE}" pid="5" name="MSIP_Label_126ea00b-4117-42cd-b507-4f042240423e_Name">
    <vt:lpwstr>Internal</vt:lpwstr>
  </property>
  <property fmtid="{D5CDD505-2E9C-101B-9397-08002B2CF9AE}" pid="6" name="MSIP_Label_126ea00b-4117-42cd-b507-4f042240423e_SiteId">
    <vt:lpwstr>3d7c7980-9f6d-438d-8e73-5159b3d6b689</vt:lpwstr>
  </property>
  <property fmtid="{D5CDD505-2E9C-101B-9397-08002B2CF9AE}" pid="7" name="MSIP_Label_126ea00b-4117-42cd-b507-4f042240423e_ActionId">
    <vt:lpwstr>b30100f1-f1e6-4696-8f4b-2f7e1cfe230d</vt:lpwstr>
  </property>
  <property fmtid="{D5CDD505-2E9C-101B-9397-08002B2CF9AE}" pid="8" name="MSIP_Label_126ea00b-4117-42cd-b507-4f042240423e_ContentBits">
    <vt:lpwstr>2</vt:lpwstr>
  </property>
</Properties>
</file>