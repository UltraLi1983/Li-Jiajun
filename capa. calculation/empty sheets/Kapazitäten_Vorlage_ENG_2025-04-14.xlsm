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codeName="{643B0D74-A683-FBA9-23B4-8A0AA6E0B6B9}"/>
  <workbookPr codeName="DieseArbeitsmappe"/>
  <mc:AlternateContent xmlns:mc="http://schemas.openxmlformats.org/markup-compatibility/2006">
    <mc:Choice Requires="x15">
      <x15ac:absPath xmlns:x15ac="http://schemas.microsoft.com/office/spreadsheetml/2010/11/ac" url="/Users/lijiajun/Documents/GitHub/python-document/capa. calculation/"/>
    </mc:Choice>
  </mc:AlternateContent>
  <xr:revisionPtr revIDLastSave="0" documentId="13_ncr:1_{9AE75537-ACA8-B749-BA65-EF373DC64EC1}" xr6:coauthVersionLast="47" xr6:coauthVersionMax="47" xr10:uidLastSave="{00000000-0000-0000-0000-000000000000}"/>
  <bookViews>
    <workbookView xWindow="-3120" yWindow="-21000" windowWidth="38400" windowHeight="21000" tabRatio="652" activeTab="3" xr2:uid="{00000000-000D-0000-FFFF-FFFF00000000}"/>
  </bookViews>
  <sheets>
    <sheet name="Datasheet" sheetId="1" r:id="rId1"/>
    <sheet name="Capacity overview" sheetId="15" r:id="rId2"/>
    <sheet name="Capacity Planning" sheetId="20" r:id="rId3"/>
    <sheet name="Capacity Calculation" sheetId="17" r:id="rId4"/>
    <sheet name="Cycle time monitoring" sheetId="21" state="hidden" r:id="rId5"/>
    <sheet name="LOP" sheetId="10" r:id="rId6"/>
    <sheet name="Datenquelle" sheetId="2" state="hidden" r:id="rId7"/>
  </sheets>
  <definedNames>
    <definedName name="_xlnm._FilterDatabase" localSheetId="0" hidden="1">Datasheet!$B$1:$F$37</definedName>
    <definedName name="Abnahme">Datasheet!$F$6</definedName>
    <definedName name="bedingterfuellt">Datenquelle!$D$6</definedName>
    <definedName name="erfuellt">Datenquelle!$D$5</definedName>
    <definedName name="Ergebnis" comment="Audit-Ergebnis in %">'Capacity overview'!$H$59</definedName>
    <definedName name="nichterfuellt">Datenquelle!$D$7</definedName>
    <definedName name="_xlnm.Print_Area" localSheetId="3">'Capacity Calculation'!$A$1:$AG$104</definedName>
    <definedName name="_xlnm.Print_Area" localSheetId="1">'Capacity overview'!$A$1:$J$63</definedName>
    <definedName name="_xlnm.Print_Area" localSheetId="2">'Capacity Planning'!$A$1:$AG$88</definedName>
    <definedName name="_xlnm.Print_Area" localSheetId="0">Datasheet!$A$1:$F$47</definedName>
    <definedName name="_xlnm.Print_Area" localSheetId="5">LOP!$A$1:$I$27</definedName>
    <definedName name="_xlnm.Print_Titles" localSheetId="3">'Capacity Calculation'!$A:$B</definedName>
    <definedName name="_xlnm.Print_Titles" localSheetId="2">'Capacity Planning'!$A:$B</definedName>
    <definedName name="_xlnm.Print_Titles" localSheetId="5">LOP!$1:$5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8" i="17" l="1"/>
  <c r="F54" i="17"/>
  <c r="G54" i="17"/>
  <c r="H54" i="17"/>
  <c r="C66" i="17"/>
  <c r="C62" i="17"/>
  <c r="C72" i="17"/>
  <c r="F21" i="15"/>
  <c r="F28" i="15"/>
  <c r="H28" i="15"/>
  <c r="C55" i="20"/>
  <c r="S55" i="17"/>
  <c r="D55" i="17"/>
  <c r="E55" i="17"/>
  <c r="F55" i="17"/>
  <c r="G55" i="17"/>
  <c r="H55" i="17"/>
  <c r="I55" i="17"/>
  <c r="J55" i="17"/>
  <c r="K55" i="17"/>
  <c r="L55" i="17"/>
  <c r="M55" i="17"/>
  <c r="N55" i="17"/>
  <c r="O55" i="17"/>
  <c r="P55" i="17"/>
  <c r="Q55" i="17"/>
  <c r="R55" i="17"/>
  <c r="T55" i="17"/>
  <c r="U55" i="17"/>
  <c r="V55" i="17"/>
  <c r="W55" i="17"/>
  <c r="X55" i="17"/>
  <c r="Y55" i="17"/>
  <c r="Z55" i="17"/>
  <c r="AA55" i="17"/>
  <c r="AB55" i="17"/>
  <c r="AC55" i="17"/>
  <c r="AD55" i="17"/>
  <c r="AE55" i="17"/>
  <c r="AF55" i="17"/>
  <c r="C55" i="17"/>
  <c r="C58" i="17"/>
  <c r="C57" i="17"/>
  <c r="C54" i="17"/>
  <c r="C48" i="17"/>
  <c r="D48" i="17"/>
  <c r="E48" i="17"/>
  <c r="F48" i="17"/>
  <c r="G48" i="17"/>
  <c r="H48" i="17"/>
  <c r="I48" i="17"/>
  <c r="J48" i="17"/>
  <c r="K48" i="17"/>
  <c r="L48" i="17"/>
  <c r="M48" i="17"/>
  <c r="N48" i="17"/>
  <c r="O48" i="17"/>
  <c r="P48" i="17"/>
  <c r="Q48" i="17"/>
  <c r="R48" i="17"/>
  <c r="S48" i="17"/>
  <c r="T48" i="17"/>
  <c r="U48" i="17"/>
  <c r="V48" i="17"/>
  <c r="W48" i="17"/>
  <c r="X48" i="17"/>
  <c r="Y48" i="17"/>
  <c r="Z48" i="17"/>
  <c r="AA48" i="17"/>
  <c r="AB48" i="17"/>
  <c r="AC48" i="17"/>
  <c r="AD48" i="17"/>
  <c r="AE48" i="17"/>
  <c r="AF48" i="17"/>
  <c r="C53" i="17"/>
  <c r="C71" i="17"/>
  <c r="E68" i="17"/>
  <c r="D68" i="17"/>
  <c r="C69" i="17"/>
  <c r="D69" i="17"/>
  <c r="C27" i="1" l="1"/>
  <c r="C4" i="1"/>
  <c r="E70" i="20"/>
  <c r="F70" i="20"/>
  <c r="G70" i="20"/>
  <c r="B57" i="15" l="1"/>
  <c r="B56" i="15"/>
  <c r="B55" i="15"/>
  <c r="B54" i="15"/>
  <c r="B53" i="15"/>
  <c r="B52" i="15"/>
  <c r="B51" i="15"/>
  <c r="B50" i="15"/>
  <c r="B49" i="15"/>
  <c r="B48" i="15"/>
  <c r="B47" i="15"/>
  <c r="B46" i="15"/>
  <c r="B45" i="15"/>
  <c r="B44" i="15"/>
  <c r="B43" i="15"/>
  <c r="B42" i="15"/>
  <c r="B41" i="15"/>
  <c r="B40" i="15"/>
  <c r="B39" i="15"/>
  <c r="K77" i="20" l="1"/>
  <c r="I87" i="20"/>
  <c r="D60" i="20"/>
  <c r="C59" i="20"/>
  <c r="B103" i="17"/>
  <c r="B102" i="17"/>
  <c r="B101" i="17"/>
  <c r="B100" i="17"/>
  <c r="B99" i="17"/>
  <c r="B98" i="17"/>
  <c r="B97" i="17"/>
  <c r="B96" i="17"/>
  <c r="B95" i="17"/>
  <c r="B94" i="17"/>
  <c r="B93" i="17"/>
  <c r="B92" i="17"/>
  <c r="B91" i="17"/>
  <c r="B90" i="17"/>
  <c r="B89" i="17"/>
  <c r="B88" i="17"/>
  <c r="B87" i="17"/>
  <c r="B86" i="17"/>
  <c r="B85" i="17"/>
  <c r="M53" i="17"/>
  <c r="M54" i="17" s="1"/>
  <c r="N53" i="17"/>
  <c r="N54" i="17" s="1"/>
  <c r="O53" i="17"/>
  <c r="O54" i="17" s="1"/>
  <c r="P53" i="17"/>
  <c r="P54" i="17" s="1"/>
  <c r="O87" i="17" s="1"/>
  <c r="Q53" i="17"/>
  <c r="Q54" i="17" s="1"/>
  <c r="R53" i="17"/>
  <c r="R54" i="17" s="1"/>
  <c r="S53" i="17"/>
  <c r="S54" i="17" s="1"/>
  <c r="T53" i="17"/>
  <c r="T54" i="17" s="1"/>
  <c r="U53" i="17"/>
  <c r="U54" i="17" s="1"/>
  <c r="V53" i="17"/>
  <c r="V54" i="17" s="1"/>
  <c r="W53" i="17"/>
  <c r="W54" i="17" s="1"/>
  <c r="X53" i="17"/>
  <c r="X54" i="17" s="1"/>
  <c r="Y53" i="17"/>
  <c r="Y54" i="17" s="1"/>
  <c r="Z53" i="17"/>
  <c r="Z54" i="17" s="1"/>
  <c r="AA53" i="17"/>
  <c r="AA54" i="17" s="1"/>
  <c r="AB53" i="17"/>
  <c r="AB54" i="17" s="1"/>
  <c r="AC53" i="17"/>
  <c r="AC54" i="17" s="1"/>
  <c r="AD53" i="17"/>
  <c r="AD54" i="17" s="1"/>
  <c r="AE53" i="17"/>
  <c r="AE54" i="17" s="1"/>
  <c r="AF53" i="17"/>
  <c r="AF54" i="17" s="1"/>
  <c r="N57" i="17"/>
  <c r="Z57" i="17"/>
  <c r="AE57" i="17"/>
  <c r="AF57" i="17"/>
  <c r="N40" i="17"/>
  <c r="O40" i="17"/>
  <c r="P40" i="17"/>
  <c r="Q40" i="17"/>
  <c r="R40" i="17"/>
  <c r="S40" i="17"/>
  <c r="T40" i="17"/>
  <c r="U40" i="17"/>
  <c r="V40" i="17"/>
  <c r="W40" i="17"/>
  <c r="X40" i="17"/>
  <c r="Y40" i="17"/>
  <c r="Z40" i="17"/>
  <c r="AA40" i="17"/>
  <c r="AB40" i="17"/>
  <c r="AC40" i="17"/>
  <c r="AD40" i="17"/>
  <c r="AE40" i="17"/>
  <c r="AF40" i="17"/>
  <c r="N35" i="17"/>
  <c r="O35" i="17"/>
  <c r="P35" i="17"/>
  <c r="Q35" i="17"/>
  <c r="R35" i="17"/>
  <c r="S35" i="17"/>
  <c r="T35" i="17"/>
  <c r="U35" i="17"/>
  <c r="V35" i="17"/>
  <c r="W35" i="17"/>
  <c r="X35" i="17"/>
  <c r="Y35" i="17"/>
  <c r="Z35" i="17"/>
  <c r="AA35" i="17"/>
  <c r="AB35" i="17"/>
  <c r="AC35" i="17"/>
  <c r="AD35" i="17"/>
  <c r="AE35" i="17"/>
  <c r="AF35" i="17"/>
  <c r="N29" i="17"/>
  <c r="N30" i="17" s="1"/>
  <c r="O29" i="17"/>
  <c r="O30" i="17" s="1"/>
  <c r="P29" i="17"/>
  <c r="P30" i="17" s="1"/>
  <c r="Q29" i="17"/>
  <c r="Q30" i="17" s="1"/>
  <c r="R29" i="17"/>
  <c r="R30" i="17" s="1"/>
  <c r="S29" i="17"/>
  <c r="S30" i="17" s="1"/>
  <c r="T29" i="17"/>
  <c r="T30" i="17" s="1"/>
  <c r="U29" i="17"/>
  <c r="U30" i="17" s="1"/>
  <c r="V29" i="17"/>
  <c r="V30" i="17" s="1"/>
  <c r="W29" i="17"/>
  <c r="W30" i="17" s="1"/>
  <c r="X29" i="17"/>
  <c r="X30" i="17" s="1"/>
  <c r="Y29" i="17"/>
  <c r="Y30" i="17" s="1"/>
  <c r="Z29" i="17"/>
  <c r="Z30" i="17" s="1"/>
  <c r="AA29" i="17"/>
  <c r="AA30" i="17" s="1"/>
  <c r="AB29" i="17"/>
  <c r="AB30" i="17" s="1"/>
  <c r="AC29" i="17"/>
  <c r="AC30" i="17" s="1"/>
  <c r="AD29" i="17"/>
  <c r="AD30" i="17" s="1"/>
  <c r="AE29" i="17"/>
  <c r="AE30" i="17" s="1"/>
  <c r="AF29" i="17"/>
  <c r="AF30" i="17" s="1"/>
  <c r="AF39" i="20"/>
  <c r="N39" i="20"/>
  <c r="O39" i="20"/>
  <c r="P39" i="20"/>
  <c r="Q39" i="20"/>
  <c r="R39" i="20"/>
  <c r="S39" i="20"/>
  <c r="T39" i="20"/>
  <c r="U39" i="20"/>
  <c r="V39" i="20"/>
  <c r="W39" i="20"/>
  <c r="X39" i="20"/>
  <c r="Y39" i="20"/>
  <c r="Z39" i="20"/>
  <c r="AA39" i="20"/>
  <c r="AB39" i="20"/>
  <c r="AC39" i="20"/>
  <c r="AD39" i="20"/>
  <c r="AE39" i="20"/>
  <c r="N34" i="20"/>
  <c r="N46" i="20" s="1"/>
  <c r="O34" i="20"/>
  <c r="O35" i="20" s="1"/>
  <c r="P34" i="20"/>
  <c r="P35" i="20" s="1"/>
  <c r="Q34" i="20"/>
  <c r="Q46" i="20" s="1"/>
  <c r="R34" i="20"/>
  <c r="R46" i="20" s="1"/>
  <c r="S34" i="20"/>
  <c r="S46" i="20" s="1"/>
  <c r="T34" i="20"/>
  <c r="T35" i="20" s="1"/>
  <c r="T38" i="20" s="1"/>
  <c r="T51" i="20" s="1"/>
  <c r="U34" i="20"/>
  <c r="U46" i="20" s="1"/>
  <c r="V34" i="20"/>
  <c r="V46" i="20" s="1"/>
  <c r="W34" i="20"/>
  <c r="W46" i="20" s="1"/>
  <c r="X34" i="20"/>
  <c r="X46" i="20" s="1"/>
  <c r="Y34" i="20"/>
  <c r="Y46" i="20" s="1"/>
  <c r="Z34" i="20"/>
  <c r="Z46" i="20" s="1"/>
  <c r="AA34" i="20"/>
  <c r="AA46" i="20" s="1"/>
  <c r="AB34" i="20"/>
  <c r="AB35" i="20" s="1"/>
  <c r="AB38" i="20" s="1"/>
  <c r="AB51" i="20" s="1"/>
  <c r="AC34" i="20"/>
  <c r="AC46" i="20" s="1"/>
  <c r="AD34" i="20"/>
  <c r="AD46" i="20" s="1"/>
  <c r="AE34" i="20"/>
  <c r="AE46" i="20" s="1"/>
  <c r="AF34" i="20"/>
  <c r="AF46" i="20" s="1"/>
  <c r="N28" i="20"/>
  <c r="O28" i="20"/>
  <c r="O29" i="20" s="1"/>
  <c r="P28" i="20"/>
  <c r="Q28" i="20"/>
  <c r="Q29" i="20" s="1"/>
  <c r="R28" i="20"/>
  <c r="S28" i="20"/>
  <c r="S29" i="20" s="1"/>
  <c r="T28" i="20"/>
  <c r="T29" i="20" s="1"/>
  <c r="U28" i="20"/>
  <c r="V28" i="20"/>
  <c r="V29" i="20" s="1"/>
  <c r="W28" i="20"/>
  <c r="X28" i="20"/>
  <c r="Y28" i="20"/>
  <c r="Y29" i="20" s="1"/>
  <c r="Z28" i="20"/>
  <c r="Z29" i="20" s="1"/>
  <c r="AA28" i="20"/>
  <c r="AB28" i="20"/>
  <c r="AB29" i="20" s="1"/>
  <c r="AC28" i="20"/>
  <c r="AD28" i="20"/>
  <c r="AE28" i="20"/>
  <c r="AE29" i="20" s="1"/>
  <c r="AE35" i="20" s="1"/>
  <c r="AF28" i="20"/>
  <c r="N29" i="20"/>
  <c r="P29" i="20"/>
  <c r="R29" i="20"/>
  <c r="U29" i="20"/>
  <c r="W29" i="20"/>
  <c r="W35" i="20" s="1"/>
  <c r="X29" i="20"/>
  <c r="X35" i="20" s="1"/>
  <c r="AA29" i="20"/>
  <c r="AC29" i="20"/>
  <c r="AD29" i="20"/>
  <c r="AD35" i="20" s="1"/>
  <c r="AF29" i="20"/>
  <c r="AF35" i="20" s="1"/>
  <c r="AF38" i="20" s="1"/>
  <c r="AF51" i="20" s="1"/>
  <c r="AF50" i="20" s="1"/>
  <c r="D12" i="20"/>
  <c r="Q62" i="17" l="1"/>
  <c r="Q56" i="17" s="1"/>
  <c r="P46" i="20"/>
  <c r="AD57" i="17"/>
  <c r="Y57" i="17"/>
  <c r="V57" i="17"/>
  <c r="R57" i="17"/>
  <c r="S57" i="17"/>
  <c r="T57" i="17"/>
  <c r="AB57" i="17"/>
  <c r="AA57" i="17"/>
  <c r="I103" i="17"/>
  <c r="AC57" i="17"/>
  <c r="X57" i="17"/>
  <c r="W57" i="17"/>
  <c r="U57" i="17"/>
  <c r="K93" i="17"/>
  <c r="Y58" i="17"/>
  <c r="P57" i="17"/>
  <c r="O57" i="17"/>
  <c r="M57" i="17"/>
  <c r="Q57" i="17"/>
  <c r="V35" i="20"/>
  <c r="V40" i="20" s="1"/>
  <c r="N35" i="20"/>
  <c r="N38" i="20" s="1"/>
  <c r="N51" i="20" s="1"/>
  <c r="N50" i="20" s="1"/>
  <c r="AD40" i="20"/>
  <c r="AD38" i="20"/>
  <c r="AD51" i="20" s="1"/>
  <c r="AD50" i="20" s="1"/>
  <c r="X40" i="20"/>
  <c r="X38" i="20"/>
  <c r="X51" i="20" s="1"/>
  <c r="X50" i="20" s="1"/>
  <c r="AB50" i="20"/>
  <c r="F53" i="15"/>
  <c r="T50" i="20"/>
  <c r="F45" i="15"/>
  <c r="W40" i="20"/>
  <c r="W38" i="20"/>
  <c r="W51" i="20" s="1"/>
  <c r="W50" i="20" s="1"/>
  <c r="AE40" i="20"/>
  <c r="AE38" i="20"/>
  <c r="AE51" i="20" s="1"/>
  <c r="AE50" i="20" s="1"/>
  <c r="AB40" i="20"/>
  <c r="T40" i="20"/>
  <c r="Y35" i="20"/>
  <c r="AC35" i="20"/>
  <c r="U35" i="20"/>
  <c r="AB46" i="20"/>
  <c r="T46" i="20"/>
  <c r="AA35" i="20"/>
  <c r="AA38" i="20" s="1"/>
  <c r="AA51" i="20" s="1"/>
  <c r="S35" i="20"/>
  <c r="S38" i="20" s="1"/>
  <c r="S51" i="20" s="1"/>
  <c r="Z35" i="20"/>
  <c r="R35" i="20"/>
  <c r="AF40" i="20"/>
  <c r="O38" i="20"/>
  <c r="O51" i="20" s="1"/>
  <c r="O50" i="20" s="1"/>
  <c r="O40" i="20"/>
  <c r="P40" i="20"/>
  <c r="P38" i="20"/>
  <c r="P51" i="20" s="1"/>
  <c r="P50" i="20" s="1"/>
  <c r="N40" i="20"/>
  <c r="O46" i="20"/>
  <c r="Q35" i="20"/>
  <c r="F57" i="15"/>
  <c r="AD36" i="17"/>
  <c r="AD39" i="17" s="1"/>
  <c r="AD41" i="17" s="1"/>
  <c r="V36" i="17"/>
  <c r="V39" i="17" s="1"/>
  <c r="V41" i="17" s="1"/>
  <c r="N36" i="17"/>
  <c r="N39" i="17" s="1"/>
  <c r="N41" i="17" s="1"/>
  <c r="AC36" i="17"/>
  <c r="AC63" i="17" s="1"/>
  <c r="U36" i="17"/>
  <c r="U63" i="17" s="1"/>
  <c r="U64" i="17" s="1"/>
  <c r="AB36" i="17"/>
  <c r="T36" i="17"/>
  <c r="AA36" i="17"/>
  <c r="S36" i="17"/>
  <c r="S63" i="17" s="1"/>
  <c r="S64" i="17" s="1"/>
  <c r="Z36" i="17"/>
  <c r="R36" i="17"/>
  <c r="Y36" i="17"/>
  <c r="Y63" i="17" s="1"/>
  <c r="Y64" i="17" s="1"/>
  <c r="Q36" i="17"/>
  <c r="AF36" i="17"/>
  <c r="X36" i="17"/>
  <c r="P36" i="17"/>
  <c r="AE36" i="17"/>
  <c r="W36" i="17"/>
  <c r="O36" i="17"/>
  <c r="O63" i="17" s="1"/>
  <c r="O64" i="17" s="1"/>
  <c r="Z62" i="17"/>
  <c r="Z56" i="17" s="1"/>
  <c r="R62" i="17"/>
  <c r="R56" i="17" s="1"/>
  <c r="AF58" i="17"/>
  <c r="X58" i="17"/>
  <c r="P62" i="17"/>
  <c r="P56" i="17" s="1"/>
  <c r="AD62" i="17"/>
  <c r="AD56" i="17" s="1"/>
  <c r="V58" i="17"/>
  <c r="N62" i="17"/>
  <c r="N56" i="17" s="1"/>
  <c r="AB62" i="17"/>
  <c r="AB56" i="17" s="1"/>
  <c r="T62" i="17"/>
  <c r="T56" i="17" s="1"/>
  <c r="AE62" i="17"/>
  <c r="AE56" i="17" s="1"/>
  <c r="W58" i="17"/>
  <c r="O62" i="17"/>
  <c r="O56" i="17" s="1"/>
  <c r="AC62" i="17"/>
  <c r="AC56" i="17" s="1"/>
  <c r="U62" i="17"/>
  <c r="U56" i="17" s="1"/>
  <c r="R58" i="17"/>
  <c r="AA62" i="17"/>
  <c r="AA56" i="17" s="1"/>
  <c r="S62" i="17"/>
  <c r="S56" i="17" s="1"/>
  <c r="AD58" i="17"/>
  <c r="AE58" i="17"/>
  <c r="U58" i="17"/>
  <c r="Z58" i="17"/>
  <c r="P58" i="17"/>
  <c r="Y62" i="17"/>
  <c r="Y56" i="17" s="1"/>
  <c r="O58" i="17"/>
  <c r="AF62" i="17"/>
  <c r="AF56" i="17" s="1"/>
  <c r="X62" i="17"/>
  <c r="X56" i="17" s="1"/>
  <c r="N58" i="17"/>
  <c r="W62" i="17"/>
  <c r="W56" i="17" s="1"/>
  <c r="V62" i="17"/>
  <c r="V56" i="17" s="1"/>
  <c r="T58" i="17"/>
  <c r="S58" i="17"/>
  <c r="S40" i="20" l="1"/>
  <c r="F40" i="15"/>
  <c r="F39" i="15"/>
  <c r="AA58" i="17"/>
  <c r="AB58" i="17"/>
  <c r="AC58" i="17"/>
  <c r="Q58" i="17"/>
  <c r="G44" i="15"/>
  <c r="G46" i="15"/>
  <c r="G40" i="15"/>
  <c r="G50" i="15"/>
  <c r="N63" i="17"/>
  <c r="N64" i="17" s="1"/>
  <c r="F41" i="15"/>
  <c r="F49" i="15"/>
  <c r="V38" i="20"/>
  <c r="V51" i="20" s="1"/>
  <c r="V50" i="20" s="1"/>
  <c r="F55" i="15"/>
  <c r="F48" i="15"/>
  <c r="AA50" i="20"/>
  <c r="F52" i="15"/>
  <c r="U40" i="20"/>
  <c r="U38" i="20"/>
  <c r="U51" i="20" s="1"/>
  <c r="AC40" i="20"/>
  <c r="AC38" i="20"/>
  <c r="AC51" i="20" s="1"/>
  <c r="Z40" i="20"/>
  <c r="Z38" i="20"/>
  <c r="Z51" i="20" s="1"/>
  <c r="R38" i="20"/>
  <c r="R51" i="20" s="1"/>
  <c r="R40" i="20"/>
  <c r="Y38" i="20"/>
  <c r="Y51" i="20" s="1"/>
  <c r="Y40" i="20"/>
  <c r="F56" i="15"/>
  <c r="S50" i="20"/>
  <c r="F44" i="15"/>
  <c r="AA40" i="20"/>
  <c r="Q40" i="20"/>
  <c r="Q38" i="20"/>
  <c r="Q51" i="20" s="1"/>
  <c r="Z39" i="17"/>
  <c r="Z41" i="17" s="1"/>
  <c r="T63" i="17"/>
  <c r="T64" i="17" s="1"/>
  <c r="T39" i="17"/>
  <c r="T41" i="17" s="1"/>
  <c r="AB63" i="17"/>
  <c r="AB64" i="17" s="1"/>
  <c r="AB39" i="17"/>
  <c r="AB41" i="17" s="1"/>
  <c r="U39" i="17"/>
  <c r="U41" i="17" s="1"/>
  <c r="Y39" i="17"/>
  <c r="Y41" i="17" s="1"/>
  <c r="AC39" i="17"/>
  <c r="AC41" i="17" s="1"/>
  <c r="W39" i="17"/>
  <c r="W41" i="17" s="1"/>
  <c r="W63" i="17"/>
  <c r="W64" i="17" s="1"/>
  <c r="AE39" i="17"/>
  <c r="AE41" i="17" s="1"/>
  <c r="S39" i="17"/>
  <c r="S41" i="17" s="1"/>
  <c r="AA63" i="17"/>
  <c r="AA64" i="17" s="1"/>
  <c r="AA39" i="17"/>
  <c r="AA41" i="17" s="1"/>
  <c r="X63" i="17"/>
  <c r="X39" i="17"/>
  <c r="X41" i="17" s="1"/>
  <c r="AF63" i="17"/>
  <c r="AF64" i="17" s="1"/>
  <c r="AF39" i="17"/>
  <c r="AF41" i="17" s="1"/>
  <c r="Z63" i="17"/>
  <c r="Z64" i="17" s="1"/>
  <c r="V63" i="17"/>
  <c r="AE63" i="17"/>
  <c r="AE64" i="17" s="1"/>
  <c r="AD63" i="17"/>
  <c r="R63" i="17"/>
  <c r="R39" i="17"/>
  <c r="R41" i="17" s="1"/>
  <c r="Q39" i="17"/>
  <c r="Q41" i="17" s="1"/>
  <c r="P63" i="17"/>
  <c r="P39" i="17"/>
  <c r="P41" i="17" s="1"/>
  <c r="Q63" i="17"/>
  <c r="Q64" i="17" s="1"/>
  <c r="O39" i="17"/>
  <c r="O41" i="17" s="1"/>
  <c r="AC64" i="17"/>
  <c r="G45" i="15" l="1"/>
  <c r="G56" i="15"/>
  <c r="G52" i="15"/>
  <c r="G54" i="15"/>
  <c r="G53" i="15"/>
  <c r="G51" i="15"/>
  <c r="G48" i="15"/>
  <c r="G57" i="15"/>
  <c r="G42" i="15"/>
  <c r="G39" i="15"/>
  <c r="F47" i="15"/>
  <c r="AC50" i="20"/>
  <c r="F54" i="15"/>
  <c r="U50" i="20"/>
  <c r="F46" i="15"/>
  <c r="F50" i="15"/>
  <c r="Y50" i="20"/>
  <c r="R50" i="20"/>
  <c r="F43" i="15"/>
  <c r="Z50" i="20"/>
  <c r="F51" i="15"/>
  <c r="F42" i="15"/>
  <c r="Q50" i="20"/>
  <c r="AD64" i="17"/>
  <c r="R64" i="17"/>
  <c r="V64" i="17"/>
  <c r="X64" i="17"/>
  <c r="P64" i="17"/>
  <c r="C87" i="20"/>
  <c r="C103" i="17" s="1"/>
  <c r="C86" i="20"/>
  <c r="C102" i="17" s="1"/>
  <c r="C85" i="20"/>
  <c r="C101" i="17" s="1"/>
  <c r="C84" i="20"/>
  <c r="C100" i="17" s="1"/>
  <c r="C83" i="20"/>
  <c r="C99" i="17" s="1"/>
  <c r="C82" i="20"/>
  <c r="C98" i="17" s="1"/>
  <c r="C81" i="20"/>
  <c r="C97" i="17" s="1"/>
  <c r="C80" i="20"/>
  <c r="C96" i="17" s="1"/>
  <c r="C79" i="20"/>
  <c r="C95" i="17" s="1"/>
  <c r="C78" i="20"/>
  <c r="C94" i="17" s="1"/>
  <c r="C77" i="20"/>
  <c r="C93" i="17" s="1"/>
  <c r="C76" i="20"/>
  <c r="C92" i="17" s="1"/>
  <c r="C75" i="20"/>
  <c r="C91" i="17" s="1"/>
  <c r="C74" i="20"/>
  <c r="C90" i="17" s="1"/>
  <c r="C73" i="20"/>
  <c r="C89" i="17" s="1"/>
  <c r="C72" i="20"/>
  <c r="C88" i="17" s="1"/>
  <c r="C71" i="20"/>
  <c r="C87" i="17" s="1"/>
  <c r="C70" i="20"/>
  <c r="C86" i="17" s="1"/>
  <c r="C69" i="20"/>
  <c r="C85" i="17" s="1"/>
  <c r="C68" i="20"/>
  <c r="C84" i="17" s="1"/>
  <c r="C67" i="20"/>
  <c r="C66" i="20"/>
  <c r="C65" i="20"/>
  <c r="C64" i="20"/>
  <c r="C63" i="20"/>
  <c r="C62" i="20"/>
  <c r="C61" i="20"/>
  <c r="C60" i="20"/>
  <c r="D69" i="20"/>
  <c r="D85" i="17" s="1"/>
  <c r="E69" i="20"/>
  <c r="E85" i="17" s="1"/>
  <c r="F69" i="20"/>
  <c r="F85" i="17" s="1"/>
  <c r="G69" i="20"/>
  <c r="G85" i="17" s="1"/>
  <c r="H69" i="20"/>
  <c r="H85" i="17" s="1"/>
  <c r="I69" i="20"/>
  <c r="I85" i="17" s="1"/>
  <c r="J69" i="20"/>
  <c r="J85" i="17" s="1"/>
  <c r="K69" i="20"/>
  <c r="K85" i="17" s="1"/>
  <c r="L69" i="20"/>
  <c r="L85" i="17" s="1"/>
  <c r="M69" i="20"/>
  <c r="M85" i="17" s="1"/>
  <c r="D70" i="20"/>
  <c r="D86" i="17" s="1"/>
  <c r="E86" i="17"/>
  <c r="F86" i="17"/>
  <c r="G86" i="17"/>
  <c r="H70" i="20"/>
  <c r="H86" i="17" s="1"/>
  <c r="I70" i="20"/>
  <c r="I86" i="17" s="1"/>
  <c r="J70" i="20"/>
  <c r="J86" i="17" s="1"/>
  <c r="K70" i="20"/>
  <c r="K86" i="17" s="1"/>
  <c r="L70" i="20"/>
  <c r="L86" i="17" s="1"/>
  <c r="M70" i="20"/>
  <c r="M86" i="17" s="1"/>
  <c r="N70" i="20"/>
  <c r="N86" i="17" s="1"/>
  <c r="D71" i="20"/>
  <c r="D87" i="17" s="1"/>
  <c r="E71" i="20"/>
  <c r="E87" i="17" s="1"/>
  <c r="F71" i="20"/>
  <c r="F87" i="17" s="1"/>
  <c r="G71" i="20"/>
  <c r="G87" i="17" s="1"/>
  <c r="H71" i="20"/>
  <c r="H87" i="17" s="1"/>
  <c r="I71" i="20"/>
  <c r="I87" i="17" s="1"/>
  <c r="J71" i="20"/>
  <c r="J87" i="17" s="1"/>
  <c r="K71" i="20"/>
  <c r="K87" i="17" s="1"/>
  <c r="L71" i="20"/>
  <c r="L87" i="17" s="1"/>
  <c r="M71" i="20"/>
  <c r="M87" i="17" s="1"/>
  <c r="N71" i="20"/>
  <c r="N87" i="17" s="1"/>
  <c r="O71" i="20"/>
  <c r="D72" i="20"/>
  <c r="D88" i="17" s="1"/>
  <c r="E72" i="20"/>
  <c r="E88" i="17" s="1"/>
  <c r="F72" i="20"/>
  <c r="F88" i="17" s="1"/>
  <c r="G72" i="20"/>
  <c r="G88" i="17" s="1"/>
  <c r="H72" i="20"/>
  <c r="H88" i="17" s="1"/>
  <c r="I72" i="20"/>
  <c r="I88" i="17" s="1"/>
  <c r="J72" i="20"/>
  <c r="J88" i="17" s="1"/>
  <c r="K72" i="20"/>
  <c r="K88" i="17" s="1"/>
  <c r="L72" i="20"/>
  <c r="L88" i="17" s="1"/>
  <c r="M72" i="20"/>
  <c r="M88" i="17" s="1"/>
  <c r="N72" i="20"/>
  <c r="N88" i="17" s="1"/>
  <c r="O72" i="20"/>
  <c r="O88" i="17" s="1"/>
  <c r="P72" i="20"/>
  <c r="P88" i="17" s="1"/>
  <c r="D73" i="20"/>
  <c r="D89" i="17" s="1"/>
  <c r="E73" i="20"/>
  <c r="E89" i="17" s="1"/>
  <c r="F73" i="20"/>
  <c r="F89" i="17" s="1"/>
  <c r="G73" i="20"/>
  <c r="G89" i="17" s="1"/>
  <c r="H73" i="20"/>
  <c r="H89" i="17" s="1"/>
  <c r="I73" i="20"/>
  <c r="I89" i="17" s="1"/>
  <c r="J73" i="20"/>
  <c r="J89" i="17" s="1"/>
  <c r="K73" i="20"/>
  <c r="K89" i="17" s="1"/>
  <c r="L73" i="20"/>
  <c r="L89" i="17" s="1"/>
  <c r="M73" i="20"/>
  <c r="M89" i="17" s="1"/>
  <c r="N73" i="20"/>
  <c r="N89" i="17" s="1"/>
  <c r="O73" i="20"/>
  <c r="O89" i="17" s="1"/>
  <c r="P73" i="20"/>
  <c r="P89" i="17" s="1"/>
  <c r="Q73" i="20"/>
  <c r="Q89" i="17" s="1"/>
  <c r="D74" i="20"/>
  <c r="D90" i="17" s="1"/>
  <c r="E74" i="20"/>
  <c r="E90" i="17" s="1"/>
  <c r="F74" i="20"/>
  <c r="F90" i="17" s="1"/>
  <c r="G74" i="20"/>
  <c r="G90" i="17" s="1"/>
  <c r="H74" i="20"/>
  <c r="H90" i="17" s="1"/>
  <c r="I74" i="20"/>
  <c r="I90" i="17" s="1"/>
  <c r="J74" i="20"/>
  <c r="J90" i="17" s="1"/>
  <c r="K74" i="20"/>
  <c r="K90" i="17" s="1"/>
  <c r="L74" i="20"/>
  <c r="L90" i="17" s="1"/>
  <c r="M74" i="20"/>
  <c r="M90" i="17" s="1"/>
  <c r="N74" i="20"/>
  <c r="N90" i="17" s="1"/>
  <c r="O74" i="20"/>
  <c r="O90" i="17" s="1"/>
  <c r="P74" i="20"/>
  <c r="P90" i="17" s="1"/>
  <c r="Q74" i="20"/>
  <c r="Q90" i="17" s="1"/>
  <c r="R74" i="20"/>
  <c r="R90" i="17" s="1"/>
  <c r="D75" i="20"/>
  <c r="D91" i="17" s="1"/>
  <c r="E75" i="20"/>
  <c r="E91" i="17" s="1"/>
  <c r="F75" i="20"/>
  <c r="F91" i="17" s="1"/>
  <c r="G75" i="20"/>
  <c r="G91" i="17" s="1"/>
  <c r="H75" i="20"/>
  <c r="H91" i="17" s="1"/>
  <c r="I75" i="20"/>
  <c r="I91" i="17" s="1"/>
  <c r="J75" i="20"/>
  <c r="J91" i="17" s="1"/>
  <c r="K75" i="20"/>
  <c r="K91" i="17" s="1"/>
  <c r="L75" i="20"/>
  <c r="L91" i="17" s="1"/>
  <c r="M75" i="20"/>
  <c r="M91" i="17" s="1"/>
  <c r="N75" i="20"/>
  <c r="N91" i="17" s="1"/>
  <c r="O75" i="20"/>
  <c r="O91" i="17" s="1"/>
  <c r="P75" i="20"/>
  <c r="P91" i="17" s="1"/>
  <c r="Q75" i="20"/>
  <c r="Q91" i="17" s="1"/>
  <c r="R75" i="20"/>
  <c r="R91" i="17" s="1"/>
  <c r="S75" i="20"/>
  <c r="S91" i="17" s="1"/>
  <c r="D76" i="20"/>
  <c r="D92" i="17" s="1"/>
  <c r="E76" i="20"/>
  <c r="E92" i="17" s="1"/>
  <c r="F76" i="20"/>
  <c r="F92" i="17" s="1"/>
  <c r="G76" i="20"/>
  <c r="G92" i="17" s="1"/>
  <c r="H76" i="20"/>
  <c r="H92" i="17" s="1"/>
  <c r="I76" i="20"/>
  <c r="I92" i="17" s="1"/>
  <c r="J76" i="20"/>
  <c r="J92" i="17" s="1"/>
  <c r="K76" i="20"/>
  <c r="K92" i="17" s="1"/>
  <c r="L76" i="20"/>
  <c r="L92" i="17" s="1"/>
  <c r="M76" i="20"/>
  <c r="M92" i="17" s="1"/>
  <c r="N76" i="20"/>
  <c r="N92" i="17" s="1"/>
  <c r="O76" i="20"/>
  <c r="O92" i="17" s="1"/>
  <c r="P76" i="20"/>
  <c r="P92" i="17" s="1"/>
  <c r="Q76" i="20"/>
  <c r="Q92" i="17" s="1"/>
  <c r="R76" i="20"/>
  <c r="R92" i="17" s="1"/>
  <c r="S76" i="20"/>
  <c r="S92" i="17" s="1"/>
  <c r="T76" i="20"/>
  <c r="T92" i="17" s="1"/>
  <c r="D77" i="20"/>
  <c r="D93" i="17" s="1"/>
  <c r="E77" i="20"/>
  <c r="E93" i="17" s="1"/>
  <c r="F77" i="20"/>
  <c r="F93" i="17" s="1"/>
  <c r="G77" i="20"/>
  <c r="G93" i="17" s="1"/>
  <c r="H77" i="20"/>
  <c r="H93" i="17" s="1"/>
  <c r="I77" i="20"/>
  <c r="I93" i="17" s="1"/>
  <c r="J77" i="20"/>
  <c r="J93" i="17" s="1"/>
  <c r="L77" i="20"/>
  <c r="L93" i="17" s="1"/>
  <c r="M77" i="20"/>
  <c r="M93" i="17" s="1"/>
  <c r="N77" i="20"/>
  <c r="N93" i="17" s="1"/>
  <c r="O77" i="20"/>
  <c r="O93" i="17" s="1"/>
  <c r="P77" i="20"/>
  <c r="P93" i="17" s="1"/>
  <c r="Q77" i="20"/>
  <c r="Q93" i="17" s="1"/>
  <c r="R77" i="20"/>
  <c r="R93" i="17" s="1"/>
  <c r="S77" i="20"/>
  <c r="S93" i="17" s="1"/>
  <c r="T77" i="20"/>
  <c r="T93" i="17" s="1"/>
  <c r="U77" i="20"/>
  <c r="U93" i="17" s="1"/>
  <c r="D78" i="20"/>
  <c r="D94" i="17" s="1"/>
  <c r="E78" i="20"/>
  <c r="E94" i="17" s="1"/>
  <c r="F78" i="20"/>
  <c r="F94" i="17" s="1"/>
  <c r="G78" i="20"/>
  <c r="G94" i="17" s="1"/>
  <c r="H78" i="20"/>
  <c r="H94" i="17" s="1"/>
  <c r="I78" i="20"/>
  <c r="I94" i="17" s="1"/>
  <c r="J78" i="20"/>
  <c r="J94" i="17" s="1"/>
  <c r="K78" i="20"/>
  <c r="K94" i="17" s="1"/>
  <c r="L78" i="20"/>
  <c r="L94" i="17" s="1"/>
  <c r="M78" i="20"/>
  <c r="M94" i="17" s="1"/>
  <c r="N78" i="20"/>
  <c r="N94" i="17" s="1"/>
  <c r="O78" i="20"/>
  <c r="O94" i="17" s="1"/>
  <c r="P78" i="20"/>
  <c r="P94" i="17" s="1"/>
  <c r="Q78" i="20"/>
  <c r="Q94" i="17" s="1"/>
  <c r="R78" i="20"/>
  <c r="R94" i="17" s="1"/>
  <c r="S78" i="20"/>
  <c r="S94" i="17" s="1"/>
  <c r="T78" i="20"/>
  <c r="T94" i="17" s="1"/>
  <c r="U78" i="20"/>
  <c r="U94" i="17" s="1"/>
  <c r="V78" i="20"/>
  <c r="V94" i="17" s="1"/>
  <c r="D79" i="20"/>
  <c r="D95" i="17" s="1"/>
  <c r="E79" i="20"/>
  <c r="E95" i="17" s="1"/>
  <c r="F79" i="20"/>
  <c r="F95" i="17" s="1"/>
  <c r="G79" i="20"/>
  <c r="G95" i="17" s="1"/>
  <c r="H79" i="20"/>
  <c r="H95" i="17" s="1"/>
  <c r="I79" i="20"/>
  <c r="I95" i="17" s="1"/>
  <c r="J79" i="20"/>
  <c r="J95" i="17" s="1"/>
  <c r="K79" i="20"/>
  <c r="K95" i="17" s="1"/>
  <c r="L79" i="20"/>
  <c r="L95" i="17" s="1"/>
  <c r="M79" i="20"/>
  <c r="M95" i="17" s="1"/>
  <c r="N79" i="20"/>
  <c r="N95" i="17" s="1"/>
  <c r="O79" i="20"/>
  <c r="O95" i="17" s="1"/>
  <c r="P79" i="20"/>
  <c r="P95" i="17" s="1"/>
  <c r="Q79" i="20"/>
  <c r="Q95" i="17" s="1"/>
  <c r="R79" i="20"/>
  <c r="R95" i="17" s="1"/>
  <c r="S79" i="20"/>
  <c r="S95" i="17" s="1"/>
  <c r="T79" i="20"/>
  <c r="T95" i="17" s="1"/>
  <c r="U79" i="20"/>
  <c r="U95" i="17" s="1"/>
  <c r="V79" i="20"/>
  <c r="V95" i="17" s="1"/>
  <c r="W79" i="20"/>
  <c r="W95" i="17" s="1"/>
  <c r="D80" i="20"/>
  <c r="D96" i="17" s="1"/>
  <c r="E80" i="20"/>
  <c r="E96" i="17" s="1"/>
  <c r="F80" i="20"/>
  <c r="F96" i="17" s="1"/>
  <c r="G80" i="20"/>
  <c r="G96" i="17" s="1"/>
  <c r="H80" i="20"/>
  <c r="H96" i="17" s="1"/>
  <c r="I80" i="20"/>
  <c r="I96" i="17" s="1"/>
  <c r="J80" i="20"/>
  <c r="J96" i="17" s="1"/>
  <c r="K80" i="20"/>
  <c r="K96" i="17" s="1"/>
  <c r="L80" i="20"/>
  <c r="L96" i="17" s="1"/>
  <c r="M80" i="20"/>
  <c r="M96" i="17" s="1"/>
  <c r="N80" i="20"/>
  <c r="N96" i="17" s="1"/>
  <c r="O80" i="20"/>
  <c r="O96" i="17" s="1"/>
  <c r="P80" i="20"/>
  <c r="P96" i="17" s="1"/>
  <c r="Q80" i="20"/>
  <c r="Q96" i="17" s="1"/>
  <c r="R80" i="20"/>
  <c r="R96" i="17" s="1"/>
  <c r="S80" i="20"/>
  <c r="S96" i="17" s="1"/>
  <c r="T80" i="20"/>
  <c r="T96" i="17" s="1"/>
  <c r="U80" i="20"/>
  <c r="U96" i="17" s="1"/>
  <c r="V80" i="20"/>
  <c r="V96" i="17" s="1"/>
  <c r="W80" i="20"/>
  <c r="W96" i="17" s="1"/>
  <c r="X80" i="20"/>
  <c r="X96" i="17" s="1"/>
  <c r="D81" i="20"/>
  <c r="D97" i="17" s="1"/>
  <c r="E81" i="20"/>
  <c r="E97" i="17" s="1"/>
  <c r="F81" i="20"/>
  <c r="F97" i="17" s="1"/>
  <c r="G81" i="20"/>
  <c r="G97" i="17" s="1"/>
  <c r="H81" i="20"/>
  <c r="H97" i="17" s="1"/>
  <c r="I81" i="20"/>
  <c r="I97" i="17" s="1"/>
  <c r="J81" i="20"/>
  <c r="J97" i="17" s="1"/>
  <c r="K81" i="20"/>
  <c r="K97" i="17" s="1"/>
  <c r="L81" i="20"/>
  <c r="L97" i="17" s="1"/>
  <c r="M81" i="20"/>
  <c r="M97" i="17" s="1"/>
  <c r="N81" i="20"/>
  <c r="N97" i="17" s="1"/>
  <c r="O81" i="20"/>
  <c r="O97" i="17" s="1"/>
  <c r="P81" i="20"/>
  <c r="P97" i="17" s="1"/>
  <c r="Q81" i="20"/>
  <c r="Q97" i="17" s="1"/>
  <c r="R81" i="20"/>
  <c r="R97" i="17" s="1"/>
  <c r="S81" i="20"/>
  <c r="S97" i="17" s="1"/>
  <c r="T81" i="20"/>
  <c r="T97" i="17" s="1"/>
  <c r="U81" i="20"/>
  <c r="U97" i="17" s="1"/>
  <c r="V81" i="20"/>
  <c r="V97" i="17" s="1"/>
  <c r="W81" i="20"/>
  <c r="W97" i="17" s="1"/>
  <c r="X81" i="20"/>
  <c r="X97" i="17" s="1"/>
  <c r="Y81" i="20"/>
  <c r="Y97" i="17" s="1"/>
  <c r="D82" i="20"/>
  <c r="D98" i="17" s="1"/>
  <c r="E82" i="20"/>
  <c r="E98" i="17" s="1"/>
  <c r="F82" i="20"/>
  <c r="F98" i="17" s="1"/>
  <c r="G82" i="20"/>
  <c r="G98" i="17" s="1"/>
  <c r="H82" i="20"/>
  <c r="H98" i="17" s="1"/>
  <c r="I82" i="20"/>
  <c r="I98" i="17" s="1"/>
  <c r="J82" i="20"/>
  <c r="J98" i="17" s="1"/>
  <c r="K82" i="20"/>
  <c r="K98" i="17" s="1"/>
  <c r="L82" i="20"/>
  <c r="L98" i="17" s="1"/>
  <c r="M82" i="20"/>
  <c r="M98" i="17" s="1"/>
  <c r="N82" i="20"/>
  <c r="N98" i="17" s="1"/>
  <c r="O82" i="20"/>
  <c r="O98" i="17" s="1"/>
  <c r="P82" i="20"/>
  <c r="P98" i="17" s="1"/>
  <c r="Q82" i="20"/>
  <c r="Q98" i="17" s="1"/>
  <c r="R82" i="20"/>
  <c r="R98" i="17" s="1"/>
  <c r="S82" i="20"/>
  <c r="S98" i="17" s="1"/>
  <c r="T82" i="20"/>
  <c r="T98" i="17" s="1"/>
  <c r="U82" i="20"/>
  <c r="U98" i="17" s="1"/>
  <c r="V82" i="20"/>
  <c r="V98" i="17" s="1"/>
  <c r="W82" i="20"/>
  <c r="W98" i="17" s="1"/>
  <c r="X82" i="20"/>
  <c r="X98" i="17" s="1"/>
  <c r="Y82" i="20"/>
  <c r="Y98" i="17" s="1"/>
  <c r="Z82" i="20"/>
  <c r="Z98" i="17" s="1"/>
  <c r="D83" i="20"/>
  <c r="D99" i="17" s="1"/>
  <c r="E83" i="20"/>
  <c r="E99" i="17" s="1"/>
  <c r="F83" i="20"/>
  <c r="F99" i="17" s="1"/>
  <c r="G83" i="20"/>
  <c r="G99" i="17" s="1"/>
  <c r="H83" i="20"/>
  <c r="H99" i="17" s="1"/>
  <c r="I83" i="20"/>
  <c r="I99" i="17" s="1"/>
  <c r="J83" i="20"/>
  <c r="J99" i="17" s="1"/>
  <c r="K83" i="20"/>
  <c r="K99" i="17" s="1"/>
  <c r="L83" i="20"/>
  <c r="L99" i="17" s="1"/>
  <c r="M83" i="20"/>
  <c r="M99" i="17" s="1"/>
  <c r="N83" i="20"/>
  <c r="N99" i="17" s="1"/>
  <c r="O83" i="20"/>
  <c r="O99" i="17" s="1"/>
  <c r="P83" i="20"/>
  <c r="P99" i="17" s="1"/>
  <c r="Q83" i="20"/>
  <c r="Q99" i="17" s="1"/>
  <c r="R83" i="20"/>
  <c r="R99" i="17" s="1"/>
  <c r="S83" i="20"/>
  <c r="S99" i="17" s="1"/>
  <c r="T83" i="20"/>
  <c r="T99" i="17" s="1"/>
  <c r="U83" i="20"/>
  <c r="U99" i="17" s="1"/>
  <c r="V83" i="20"/>
  <c r="V99" i="17" s="1"/>
  <c r="W83" i="20"/>
  <c r="W99" i="17" s="1"/>
  <c r="X83" i="20"/>
  <c r="X99" i="17" s="1"/>
  <c r="Y83" i="20"/>
  <c r="Y99" i="17" s="1"/>
  <c r="Z83" i="20"/>
  <c r="Z99" i="17" s="1"/>
  <c r="AA83" i="20"/>
  <c r="AA99" i="17" s="1"/>
  <c r="D84" i="20"/>
  <c r="D100" i="17" s="1"/>
  <c r="E84" i="20"/>
  <c r="E100" i="17" s="1"/>
  <c r="F84" i="20"/>
  <c r="F100" i="17" s="1"/>
  <c r="G84" i="20"/>
  <c r="G100" i="17" s="1"/>
  <c r="H84" i="20"/>
  <c r="H100" i="17" s="1"/>
  <c r="I84" i="20"/>
  <c r="I100" i="17" s="1"/>
  <c r="J84" i="20"/>
  <c r="J100" i="17" s="1"/>
  <c r="K84" i="20"/>
  <c r="K100" i="17" s="1"/>
  <c r="L84" i="20"/>
  <c r="L100" i="17" s="1"/>
  <c r="M84" i="20"/>
  <c r="M100" i="17" s="1"/>
  <c r="N84" i="20"/>
  <c r="N100" i="17" s="1"/>
  <c r="O84" i="20"/>
  <c r="O100" i="17" s="1"/>
  <c r="P84" i="20"/>
  <c r="P100" i="17" s="1"/>
  <c r="Q84" i="20"/>
  <c r="Q100" i="17" s="1"/>
  <c r="R84" i="20"/>
  <c r="R100" i="17" s="1"/>
  <c r="S84" i="20"/>
  <c r="S100" i="17" s="1"/>
  <c r="T84" i="20"/>
  <c r="T100" i="17" s="1"/>
  <c r="U84" i="20"/>
  <c r="U100" i="17" s="1"/>
  <c r="V84" i="20"/>
  <c r="V100" i="17" s="1"/>
  <c r="W84" i="20"/>
  <c r="W100" i="17" s="1"/>
  <c r="X84" i="20"/>
  <c r="X100" i="17" s="1"/>
  <c r="Y84" i="20"/>
  <c r="Y100" i="17" s="1"/>
  <c r="Z84" i="20"/>
  <c r="Z100" i="17" s="1"/>
  <c r="AA84" i="20"/>
  <c r="AA100" i="17" s="1"/>
  <c r="AB84" i="20"/>
  <c r="AB100" i="17" s="1"/>
  <c r="D85" i="20"/>
  <c r="D101" i="17" s="1"/>
  <c r="E85" i="20"/>
  <c r="E101" i="17" s="1"/>
  <c r="F85" i="20"/>
  <c r="F101" i="17" s="1"/>
  <c r="G85" i="20"/>
  <c r="G101" i="17" s="1"/>
  <c r="H85" i="20"/>
  <c r="H101" i="17" s="1"/>
  <c r="I85" i="20"/>
  <c r="I101" i="17" s="1"/>
  <c r="J85" i="20"/>
  <c r="J101" i="17" s="1"/>
  <c r="K85" i="20"/>
  <c r="K101" i="17" s="1"/>
  <c r="L85" i="20"/>
  <c r="L101" i="17" s="1"/>
  <c r="M85" i="20"/>
  <c r="M101" i="17" s="1"/>
  <c r="N85" i="20"/>
  <c r="N101" i="17" s="1"/>
  <c r="O85" i="20"/>
  <c r="O101" i="17" s="1"/>
  <c r="P85" i="20"/>
  <c r="P101" i="17" s="1"/>
  <c r="Q85" i="20"/>
  <c r="Q101" i="17" s="1"/>
  <c r="R85" i="20"/>
  <c r="R101" i="17" s="1"/>
  <c r="S85" i="20"/>
  <c r="S101" i="17" s="1"/>
  <c r="T85" i="20"/>
  <c r="T101" i="17" s="1"/>
  <c r="U85" i="20"/>
  <c r="U101" i="17" s="1"/>
  <c r="V85" i="20"/>
  <c r="V101" i="17" s="1"/>
  <c r="W85" i="20"/>
  <c r="W101" i="17" s="1"/>
  <c r="X85" i="20"/>
  <c r="X101" i="17" s="1"/>
  <c r="Y85" i="20"/>
  <c r="Y101" i="17" s="1"/>
  <c r="Z85" i="20"/>
  <c r="Z101" i="17" s="1"/>
  <c r="AA85" i="20"/>
  <c r="AA101" i="17" s="1"/>
  <c r="AB85" i="20"/>
  <c r="AB101" i="17" s="1"/>
  <c r="AC85" i="20"/>
  <c r="AC101" i="17" s="1"/>
  <c r="D86" i="20"/>
  <c r="D102" i="17" s="1"/>
  <c r="E86" i="20"/>
  <c r="E102" i="17" s="1"/>
  <c r="F86" i="20"/>
  <c r="F102" i="17" s="1"/>
  <c r="G86" i="20"/>
  <c r="G102" i="17" s="1"/>
  <c r="H86" i="20"/>
  <c r="H102" i="17" s="1"/>
  <c r="I86" i="20"/>
  <c r="I102" i="17" s="1"/>
  <c r="J86" i="20"/>
  <c r="J102" i="17" s="1"/>
  <c r="K86" i="20"/>
  <c r="K102" i="17" s="1"/>
  <c r="L86" i="20"/>
  <c r="L102" i="17" s="1"/>
  <c r="M86" i="20"/>
  <c r="M102" i="17" s="1"/>
  <c r="N86" i="20"/>
  <c r="N102" i="17" s="1"/>
  <c r="O86" i="20"/>
  <c r="O102" i="17" s="1"/>
  <c r="P86" i="20"/>
  <c r="P102" i="17" s="1"/>
  <c r="Q86" i="20"/>
  <c r="Q102" i="17" s="1"/>
  <c r="R86" i="20"/>
  <c r="R102" i="17" s="1"/>
  <c r="S86" i="20"/>
  <c r="S102" i="17" s="1"/>
  <c r="T86" i="20"/>
  <c r="T102" i="17" s="1"/>
  <c r="U86" i="20"/>
  <c r="U102" i="17" s="1"/>
  <c r="V86" i="20"/>
  <c r="V102" i="17" s="1"/>
  <c r="W86" i="20"/>
  <c r="W102" i="17" s="1"/>
  <c r="X86" i="20"/>
  <c r="X102" i="17" s="1"/>
  <c r="Y86" i="20"/>
  <c r="Y102" i="17" s="1"/>
  <c r="Z86" i="20"/>
  <c r="Z102" i="17" s="1"/>
  <c r="AA86" i="20"/>
  <c r="AA102" i="17" s="1"/>
  <c r="AB86" i="20"/>
  <c r="AB102" i="17" s="1"/>
  <c r="AC86" i="20"/>
  <c r="AC102" i="17" s="1"/>
  <c r="AD86" i="20"/>
  <c r="AD102" i="17" s="1"/>
  <c r="D87" i="20"/>
  <c r="D103" i="17" s="1"/>
  <c r="E87" i="20"/>
  <c r="E103" i="17" s="1"/>
  <c r="F87" i="20"/>
  <c r="F103" i="17" s="1"/>
  <c r="G87" i="20"/>
  <c r="G103" i="17" s="1"/>
  <c r="H87" i="20"/>
  <c r="H103" i="17" s="1"/>
  <c r="J87" i="20"/>
  <c r="J103" i="17" s="1"/>
  <c r="K87" i="20"/>
  <c r="K103" i="17" s="1"/>
  <c r="L87" i="20"/>
  <c r="L103" i="17" s="1"/>
  <c r="M87" i="20"/>
  <c r="M103" i="17" s="1"/>
  <c r="N87" i="20"/>
  <c r="N103" i="17" s="1"/>
  <c r="O87" i="20"/>
  <c r="O103" i="17" s="1"/>
  <c r="P87" i="20"/>
  <c r="P103" i="17" s="1"/>
  <c r="Q87" i="20"/>
  <c r="Q103" i="17" s="1"/>
  <c r="R87" i="20"/>
  <c r="R103" i="17" s="1"/>
  <c r="S87" i="20"/>
  <c r="S103" i="17" s="1"/>
  <c r="T87" i="20"/>
  <c r="T103" i="17" s="1"/>
  <c r="U87" i="20"/>
  <c r="U103" i="17" s="1"/>
  <c r="V87" i="20"/>
  <c r="V103" i="17" s="1"/>
  <c r="W87" i="20"/>
  <c r="W103" i="17" s="1"/>
  <c r="X87" i="20"/>
  <c r="X103" i="17" s="1"/>
  <c r="Y87" i="20"/>
  <c r="Y103" i="17" s="1"/>
  <c r="Z87" i="20"/>
  <c r="Z103" i="17" s="1"/>
  <c r="AA87" i="20"/>
  <c r="AA103" i="17" s="1"/>
  <c r="AB87" i="20"/>
  <c r="AB103" i="17" s="1"/>
  <c r="AC87" i="20"/>
  <c r="AC103" i="17" s="1"/>
  <c r="AD87" i="20"/>
  <c r="AD103" i="17" s="1"/>
  <c r="AE87" i="20"/>
  <c r="AE103" i="17" s="1"/>
  <c r="B87" i="20"/>
  <c r="B86" i="20"/>
  <c r="B85" i="20"/>
  <c r="B84" i="20"/>
  <c r="B83" i="20"/>
  <c r="B82" i="20"/>
  <c r="B81" i="20"/>
  <c r="B80" i="20"/>
  <c r="B79" i="20"/>
  <c r="B78" i="20"/>
  <c r="B77" i="20"/>
  <c r="B76" i="20"/>
  <c r="B75" i="20"/>
  <c r="B74" i="20"/>
  <c r="B73" i="20"/>
  <c r="B72" i="20"/>
  <c r="B71" i="20"/>
  <c r="B70" i="20"/>
  <c r="B69" i="20"/>
  <c r="L17" i="15"/>
  <c r="M15" i="15"/>
  <c r="M14" i="15"/>
  <c r="M13" i="15"/>
  <c r="N13" i="15" s="1"/>
  <c r="M12" i="15"/>
  <c r="N12" i="15" s="1"/>
  <c r="M11" i="15"/>
  <c r="G15" i="15"/>
  <c r="H15" i="15" s="1"/>
  <c r="G14" i="15"/>
  <c r="H14" i="15" s="1"/>
  <c r="G13" i="15"/>
  <c r="H13" i="15" s="1"/>
  <c r="G12" i="15"/>
  <c r="H12" i="15" s="1"/>
  <c r="G11" i="15"/>
  <c r="H11" i="15" s="1"/>
  <c r="G47" i="15" l="1"/>
  <c r="G43" i="15"/>
  <c r="G41" i="15"/>
  <c r="G55" i="15"/>
  <c r="G49" i="15"/>
  <c r="M17" i="15"/>
  <c r="N11" i="15"/>
  <c r="O11" i="15"/>
  <c r="I15" i="15"/>
  <c r="I14" i="15"/>
  <c r="I13" i="15"/>
  <c r="I12" i="15"/>
  <c r="I11" i="15"/>
  <c r="P11" i="15" l="1"/>
  <c r="J67" i="20" l="1"/>
  <c r="K67" i="20"/>
  <c r="B38" i="15" l="1"/>
  <c r="B37" i="15"/>
  <c r="B36" i="15"/>
  <c r="B34" i="15"/>
  <c r="B35" i="15"/>
  <c r="B33" i="15"/>
  <c r="B32" i="15"/>
  <c r="B31" i="15"/>
  <c r="B30" i="15"/>
  <c r="B29" i="15"/>
  <c r="B28" i="15"/>
  <c r="A1" i="21" l="1"/>
  <c r="O24" i="21"/>
  <c r="F24" i="21"/>
  <c r="E24" i="21"/>
  <c r="O23" i="21"/>
  <c r="F23" i="21"/>
  <c r="E23" i="21"/>
  <c r="O22" i="21"/>
  <c r="F22" i="21"/>
  <c r="E22" i="21"/>
  <c r="O21" i="21"/>
  <c r="F21" i="21"/>
  <c r="E21" i="21"/>
  <c r="O20" i="21"/>
  <c r="F20" i="21"/>
  <c r="E20" i="21"/>
  <c r="O19" i="21"/>
  <c r="F19" i="21"/>
  <c r="E19" i="21"/>
  <c r="O18" i="21"/>
  <c r="F18" i="21"/>
  <c r="E18" i="21"/>
  <c r="O17" i="21"/>
  <c r="F17" i="21"/>
  <c r="E17" i="21"/>
  <c r="O16" i="21"/>
  <c r="F16" i="21"/>
  <c r="E16" i="21"/>
  <c r="O15" i="21"/>
  <c r="F15" i="21"/>
  <c r="E15" i="21"/>
  <c r="O14" i="21"/>
  <c r="F14" i="21"/>
  <c r="E14" i="21"/>
  <c r="O13" i="21"/>
  <c r="F13" i="21"/>
  <c r="E13" i="21"/>
  <c r="O12" i="21"/>
  <c r="F12" i="21"/>
  <c r="E12" i="21"/>
  <c r="O11" i="21"/>
  <c r="F11" i="21"/>
  <c r="E11" i="21"/>
  <c r="O10" i="21"/>
  <c r="F10" i="21"/>
  <c r="E10" i="21"/>
  <c r="F9" i="21"/>
  <c r="F8" i="21"/>
  <c r="F7" i="21"/>
  <c r="E7" i="21"/>
  <c r="E8" i="21" s="1"/>
  <c r="F6" i="21"/>
  <c r="O6" i="21" s="1"/>
  <c r="O7" i="21" l="1"/>
  <c r="O8" i="21"/>
  <c r="E9" i="21"/>
  <c r="O9" i="21" s="1"/>
  <c r="G7" i="15" l="1"/>
  <c r="F7" i="15"/>
  <c r="B22" i="15"/>
  <c r="B21" i="15"/>
  <c r="A1" i="1" l="1"/>
  <c r="C6" i="1" l="1"/>
  <c r="B2" i="10"/>
  <c r="B8" i="15"/>
  <c r="M62" i="17" l="1"/>
  <c r="M56" i="17" s="1"/>
  <c r="M58" i="17"/>
  <c r="C34" i="20"/>
  <c r="C46" i="20" s="1"/>
  <c r="O13" i="15" l="1"/>
  <c r="P13" i="15" s="1"/>
  <c r="O12" i="15"/>
  <c r="N15" i="15"/>
  <c r="O15" i="15"/>
  <c r="P15" i="15" s="1"/>
  <c r="O14" i="15"/>
  <c r="P14" i="15" s="1"/>
  <c r="N14" i="15"/>
  <c r="N17" i="15" l="1"/>
  <c r="I21" i="15" s="1"/>
  <c r="P12" i="15"/>
  <c r="Q15" i="15" s="1"/>
  <c r="O17" i="15"/>
  <c r="F22" i="15" s="1"/>
  <c r="Q13" i="15" l="1"/>
  <c r="P17" i="15"/>
  <c r="I22" i="15" s="1"/>
  <c r="Q11" i="15"/>
  <c r="Q12" i="15"/>
  <c r="Q14" i="15"/>
  <c r="A1" i="10"/>
  <c r="O9" i="15" l="1"/>
  <c r="D61" i="20"/>
  <c r="E61" i="20"/>
  <c r="D62" i="20"/>
  <c r="E62" i="20"/>
  <c r="F62" i="20"/>
  <c r="D63" i="20"/>
  <c r="E63" i="20"/>
  <c r="F63" i="20"/>
  <c r="G63" i="20"/>
  <c r="D64" i="20"/>
  <c r="E64" i="20"/>
  <c r="F64" i="20"/>
  <c r="G64" i="20"/>
  <c r="H64" i="20"/>
  <c r="D65" i="20"/>
  <c r="E65" i="20"/>
  <c r="F65" i="20"/>
  <c r="G65" i="20"/>
  <c r="H65" i="20"/>
  <c r="I65" i="20"/>
  <c r="D66" i="20"/>
  <c r="E66" i="20"/>
  <c r="F66" i="20"/>
  <c r="G66" i="20"/>
  <c r="H66" i="20"/>
  <c r="I66" i="20"/>
  <c r="J66" i="20"/>
  <c r="D67" i="20"/>
  <c r="E67" i="20"/>
  <c r="F67" i="20"/>
  <c r="G67" i="20"/>
  <c r="H67" i="20"/>
  <c r="I67" i="20"/>
  <c r="D68" i="20"/>
  <c r="D84" i="17" s="1"/>
  <c r="E68" i="20"/>
  <c r="E84" i="17" s="1"/>
  <c r="F68" i="20"/>
  <c r="F84" i="17" s="1"/>
  <c r="G68" i="20"/>
  <c r="G84" i="17" s="1"/>
  <c r="H68" i="20"/>
  <c r="H84" i="17" s="1"/>
  <c r="I68" i="20"/>
  <c r="I84" i="17" s="1"/>
  <c r="J68" i="20"/>
  <c r="J84" i="17" s="1"/>
  <c r="K68" i="20"/>
  <c r="K84" i="17" s="1"/>
  <c r="L68" i="20"/>
  <c r="L84" i="17" s="1"/>
  <c r="W52" i="20" l="1"/>
  <c r="X52" i="20"/>
  <c r="AB52" i="20"/>
  <c r="AF52" i="20"/>
  <c r="AC52" i="20"/>
  <c r="O52" i="20"/>
  <c r="AE52" i="20"/>
  <c r="S52" i="20"/>
  <c r="T52" i="20"/>
  <c r="P52" i="20"/>
  <c r="Y52" i="20"/>
  <c r="R52" i="20"/>
  <c r="Q52" i="20"/>
  <c r="N52" i="20"/>
  <c r="U52" i="20"/>
  <c r="V52" i="20"/>
  <c r="AD52" i="20"/>
  <c r="AA52" i="20"/>
  <c r="Z52" i="20"/>
  <c r="B68" i="20"/>
  <c r="B67" i="20"/>
  <c r="B66" i="20"/>
  <c r="B65" i="20"/>
  <c r="B64" i="20"/>
  <c r="B63" i="20"/>
  <c r="B62" i="20"/>
  <c r="B61" i="20"/>
  <c r="B60" i="20"/>
  <c r="B59" i="20"/>
  <c r="M39" i="20"/>
  <c r="L39" i="20"/>
  <c r="K39" i="20"/>
  <c r="J39" i="20"/>
  <c r="I39" i="20"/>
  <c r="H39" i="20"/>
  <c r="G39" i="20"/>
  <c r="F39" i="20"/>
  <c r="E39" i="20"/>
  <c r="D39" i="20"/>
  <c r="C39" i="20"/>
  <c r="M34" i="20"/>
  <c r="M46" i="20" s="1"/>
  <c r="L34" i="20"/>
  <c r="K34" i="20"/>
  <c r="J34" i="20"/>
  <c r="J46" i="20" s="1"/>
  <c r="I34" i="20"/>
  <c r="I46" i="20" s="1"/>
  <c r="H34" i="20"/>
  <c r="G34" i="20"/>
  <c r="G46" i="20" s="1"/>
  <c r="F34" i="20"/>
  <c r="F46" i="20" s="1"/>
  <c r="E34" i="20"/>
  <c r="E46" i="20" s="1"/>
  <c r="D34" i="20"/>
  <c r="D46" i="20" s="1"/>
  <c r="M28" i="20"/>
  <c r="M29" i="20" s="1"/>
  <c r="L28" i="20"/>
  <c r="L29" i="20" s="1"/>
  <c r="K28" i="20"/>
  <c r="K29" i="20" s="1"/>
  <c r="J28" i="20"/>
  <c r="J29" i="20" s="1"/>
  <c r="I28" i="20"/>
  <c r="I29" i="20" s="1"/>
  <c r="H28" i="20"/>
  <c r="H29" i="20" s="1"/>
  <c r="G28" i="20"/>
  <c r="G29" i="20" s="1"/>
  <c r="F28" i="20"/>
  <c r="F29" i="20" s="1"/>
  <c r="E28" i="20"/>
  <c r="E29" i="20" s="1"/>
  <c r="D28" i="20"/>
  <c r="D29" i="20" s="1"/>
  <c r="C28" i="20"/>
  <c r="C29" i="20" s="1"/>
  <c r="C6" i="20"/>
  <c r="E6" i="20" s="1"/>
  <c r="C5" i="20"/>
  <c r="C4" i="20"/>
  <c r="K35" i="20" l="1"/>
  <c r="K38" i="20" s="1"/>
  <c r="K51" i="20" s="1"/>
  <c r="K50" i="20" s="1"/>
  <c r="K46" i="20"/>
  <c r="H35" i="20"/>
  <c r="H38" i="20" s="1"/>
  <c r="H51" i="20" s="1"/>
  <c r="H50" i="20" s="1"/>
  <c r="H46" i="20"/>
  <c r="L35" i="20"/>
  <c r="L38" i="20" s="1"/>
  <c r="L51" i="20" s="1"/>
  <c r="L50" i="20" s="1"/>
  <c r="L46" i="20"/>
  <c r="M35" i="20"/>
  <c r="M38" i="20" s="1"/>
  <c r="M51" i="20" s="1"/>
  <c r="M50" i="20" s="1"/>
  <c r="G35" i="20"/>
  <c r="G38" i="20" s="1"/>
  <c r="G51" i="20" s="1"/>
  <c r="G50" i="20" s="1"/>
  <c r="I35" i="20"/>
  <c r="I38" i="20" s="1"/>
  <c r="I51" i="20" s="1"/>
  <c r="I50" i="20" s="1"/>
  <c r="J35" i="20"/>
  <c r="J38" i="20" s="1"/>
  <c r="J51" i="20" s="1"/>
  <c r="J50" i="20" s="1"/>
  <c r="E35" i="20"/>
  <c r="E38" i="20" s="1"/>
  <c r="E51" i="20" s="1"/>
  <c r="E50" i="20" s="1"/>
  <c r="D35" i="20"/>
  <c r="D38" i="20" s="1"/>
  <c r="D51" i="20" s="1"/>
  <c r="D50" i="20" s="1"/>
  <c r="F35" i="20"/>
  <c r="F38" i="20" s="1"/>
  <c r="F51" i="20" s="1"/>
  <c r="C35" i="20"/>
  <c r="F33" i="15" l="1"/>
  <c r="I40" i="20"/>
  <c r="J40" i="20"/>
  <c r="H40" i="20"/>
  <c r="G40" i="20"/>
  <c r="H52" i="20"/>
  <c r="K40" i="20"/>
  <c r="M40" i="20"/>
  <c r="L40" i="20"/>
  <c r="F40" i="20"/>
  <c r="D40" i="20"/>
  <c r="F50" i="20"/>
  <c r="F38" i="15"/>
  <c r="M52" i="20"/>
  <c r="F35" i="15"/>
  <c r="J52" i="20"/>
  <c r="F37" i="15"/>
  <c r="L52" i="20"/>
  <c r="F36" i="15"/>
  <c r="K52" i="20"/>
  <c r="F34" i="15"/>
  <c r="I52" i="20"/>
  <c r="F32" i="15"/>
  <c r="G52" i="20"/>
  <c r="F31" i="15"/>
  <c r="F52" i="20"/>
  <c r="D52" i="20"/>
  <c r="F29" i="15"/>
  <c r="F30" i="15"/>
  <c r="E52" i="20"/>
  <c r="C38" i="20"/>
  <c r="C51" i="20" s="1"/>
  <c r="C50" i="20" s="1"/>
  <c r="E40" i="20"/>
  <c r="C40" i="20"/>
  <c r="C52" i="20" l="1"/>
  <c r="B84" i="17"/>
  <c r="B83" i="17"/>
  <c r="B82" i="17"/>
  <c r="B81" i="17"/>
  <c r="B80" i="17"/>
  <c r="B79" i="17"/>
  <c r="B78" i="17"/>
  <c r="I29" i="17"/>
  <c r="I30" i="17" s="1"/>
  <c r="J29" i="17"/>
  <c r="J30" i="17" s="1"/>
  <c r="K29" i="17"/>
  <c r="K30" i="17" s="1"/>
  <c r="L29" i="17"/>
  <c r="L30" i="17" s="1"/>
  <c r="M29" i="17"/>
  <c r="M30" i="17" s="1"/>
  <c r="I35" i="17"/>
  <c r="I36" i="17" s="1"/>
  <c r="I63" i="17" s="1"/>
  <c r="J35" i="17"/>
  <c r="J36" i="17" s="1"/>
  <c r="K35" i="17"/>
  <c r="L35" i="17"/>
  <c r="M35" i="17"/>
  <c r="I40" i="17"/>
  <c r="J40" i="17"/>
  <c r="K40" i="17"/>
  <c r="L40" i="17"/>
  <c r="M40" i="17"/>
  <c r="I53" i="17"/>
  <c r="I57" i="17" s="1"/>
  <c r="J53" i="17"/>
  <c r="J57" i="17" s="1"/>
  <c r="K53" i="17"/>
  <c r="K57" i="17" s="1"/>
  <c r="L53" i="17"/>
  <c r="L57" i="17" s="1"/>
  <c r="I39" i="17" l="1"/>
  <c r="I41" i="17" s="1"/>
  <c r="M36" i="17"/>
  <c r="L36" i="17"/>
  <c r="K36" i="17"/>
  <c r="K58" i="17"/>
  <c r="K62" i="17"/>
  <c r="K56" i="17" s="1"/>
  <c r="J58" i="17"/>
  <c r="J62" i="17"/>
  <c r="J56" i="17" s="1"/>
  <c r="I58" i="17"/>
  <c r="I62" i="17"/>
  <c r="I56" i="17" s="1"/>
  <c r="J63" i="17"/>
  <c r="L58" i="17"/>
  <c r="L62" i="17"/>
  <c r="L56" i="17" s="1"/>
  <c r="I54" i="17"/>
  <c r="K54" i="17"/>
  <c r="C82" i="17" s="1"/>
  <c r="J54" i="17"/>
  <c r="L54" i="17"/>
  <c r="J39" i="17"/>
  <c r="J41" i="17" s="1"/>
  <c r="C81" i="17" l="1"/>
  <c r="D81" i="17"/>
  <c r="H81" i="17"/>
  <c r="E81" i="17"/>
  <c r="I81" i="17"/>
  <c r="F81" i="17"/>
  <c r="G81" i="17"/>
  <c r="D82" i="17"/>
  <c r="G82" i="17"/>
  <c r="F82" i="17"/>
  <c r="J82" i="17"/>
  <c r="I82" i="17"/>
  <c r="E82" i="17"/>
  <c r="H82" i="17"/>
  <c r="C80" i="17"/>
  <c r="F80" i="17"/>
  <c r="D80" i="17"/>
  <c r="E80" i="17"/>
  <c r="G80" i="17"/>
  <c r="H80" i="17"/>
  <c r="C83" i="17"/>
  <c r="K83" i="17"/>
  <c r="J83" i="17"/>
  <c r="F83" i="17"/>
  <c r="G83" i="17"/>
  <c r="D83" i="17"/>
  <c r="I83" i="17"/>
  <c r="E83" i="17"/>
  <c r="H83" i="17"/>
  <c r="L63" i="17"/>
  <c r="L39" i="17"/>
  <c r="L41" i="17" s="1"/>
  <c r="M63" i="17"/>
  <c r="M39" i="17"/>
  <c r="M41" i="17" s="1"/>
  <c r="K63" i="17"/>
  <c r="K39" i="17"/>
  <c r="K41" i="17" s="1"/>
  <c r="J64" i="17"/>
  <c r="I64" i="17"/>
  <c r="M64" i="17" l="1"/>
  <c r="K64" i="17"/>
  <c r="G36" i="15" s="1"/>
  <c r="L64" i="17"/>
  <c r="G35" i="15"/>
  <c r="G34" i="15"/>
  <c r="G38" i="15" l="1"/>
  <c r="G37" i="15"/>
  <c r="N9" i="15"/>
  <c r="C7" i="20"/>
  <c r="M65" i="17" l="1"/>
  <c r="U65" i="17"/>
  <c r="Y65" i="17"/>
  <c r="W65" i="17"/>
  <c r="S65" i="17"/>
  <c r="AC65" i="17"/>
  <c r="AE65" i="17"/>
  <c r="T65" i="17"/>
  <c r="AF65" i="17"/>
  <c r="Z65" i="17"/>
  <c r="AA65" i="17"/>
  <c r="AB65" i="17"/>
  <c r="R65" i="17"/>
  <c r="AD65" i="17"/>
  <c r="X65" i="17"/>
  <c r="V65" i="17"/>
  <c r="I65" i="17"/>
  <c r="J65" i="17"/>
  <c r="K65" i="17"/>
  <c r="O65" i="17"/>
  <c r="N65" i="17"/>
  <c r="Q65" i="17"/>
  <c r="P65" i="17"/>
  <c r="L65" i="17"/>
  <c r="AF55" i="20"/>
  <c r="O57" i="15" s="1"/>
  <c r="AE55" i="20"/>
  <c r="O56" i="15" s="1"/>
  <c r="R55" i="20"/>
  <c r="O43" i="15" s="1"/>
  <c r="U55" i="20"/>
  <c r="O46" i="15" s="1"/>
  <c r="AB55" i="20"/>
  <c r="O53" i="15" s="1"/>
  <c r="W55" i="20"/>
  <c r="O48" i="15" s="1"/>
  <c r="Z55" i="20"/>
  <c r="O51" i="15" s="1"/>
  <c r="AC55" i="20"/>
  <c r="O54" i="15" s="1"/>
  <c r="V55" i="20"/>
  <c r="O47" i="15" s="1"/>
  <c r="P55" i="20"/>
  <c r="O41" i="15" s="1"/>
  <c r="T55" i="20"/>
  <c r="O45" i="15" s="1"/>
  <c r="M55" i="20"/>
  <c r="O55" i="20"/>
  <c r="O40" i="15" s="1"/>
  <c r="AD55" i="20"/>
  <c r="O55" i="15" s="1"/>
  <c r="X55" i="20"/>
  <c r="O49" i="15" s="1"/>
  <c r="Y55" i="20"/>
  <c r="O50" i="15" s="1"/>
  <c r="N55" i="20"/>
  <c r="O39" i="15" s="1"/>
  <c r="AA55" i="20"/>
  <c r="O52" i="15" s="1"/>
  <c r="S55" i="20"/>
  <c r="O44" i="15" s="1"/>
  <c r="Q55" i="20"/>
  <c r="O42" i="15" s="1"/>
  <c r="L55" i="20"/>
  <c r="I55" i="20"/>
  <c r="H55" i="20"/>
  <c r="O33" i="15" s="1"/>
  <c r="K55" i="20"/>
  <c r="E55" i="20"/>
  <c r="E56" i="20" s="1"/>
  <c r="J55" i="20"/>
  <c r="G55" i="20"/>
  <c r="D55" i="20"/>
  <c r="F55" i="20"/>
  <c r="F56" i="20" s="1"/>
  <c r="C8" i="17"/>
  <c r="AF71" i="17" l="1"/>
  <c r="AE71" i="17"/>
  <c r="O71" i="17"/>
  <c r="V71" i="17"/>
  <c r="X71" i="17"/>
  <c r="N71" i="17"/>
  <c r="AC71" i="17"/>
  <c r="AB71" i="17"/>
  <c r="S71" i="17"/>
  <c r="R71" i="17"/>
  <c r="Y71" i="17"/>
  <c r="P71" i="17"/>
  <c r="W71" i="17"/>
  <c r="T71" i="17"/>
  <c r="AA71" i="17"/>
  <c r="Z71" i="17"/>
  <c r="AD71" i="17"/>
  <c r="Q71" i="17"/>
  <c r="U71" i="17"/>
  <c r="M71" i="17"/>
  <c r="M72" i="17" s="1"/>
  <c r="L71" i="17"/>
  <c r="L72" i="17" s="1"/>
  <c r="I71" i="17"/>
  <c r="I72" i="17" s="1"/>
  <c r="K71" i="17"/>
  <c r="K72" i="17" s="1"/>
  <c r="J71" i="17"/>
  <c r="J72" i="17" s="1"/>
  <c r="H71" i="17"/>
  <c r="H72" i="17" s="1"/>
  <c r="F53" i="20"/>
  <c r="H56" i="20"/>
  <c r="H53" i="20"/>
  <c r="Y56" i="20"/>
  <c r="Y53" i="20"/>
  <c r="AC53" i="20"/>
  <c r="AC56" i="20"/>
  <c r="L56" i="20"/>
  <c r="O37" i="15"/>
  <c r="L53" i="20"/>
  <c r="AD53" i="20"/>
  <c r="AD56" i="20"/>
  <c r="W56" i="20"/>
  <c r="W53" i="20"/>
  <c r="Q56" i="20"/>
  <c r="Q53" i="20"/>
  <c r="O56" i="20"/>
  <c r="O53" i="20"/>
  <c r="AB53" i="20"/>
  <c r="AB56" i="20"/>
  <c r="I56" i="20"/>
  <c r="I53" i="20"/>
  <c r="G56" i="20"/>
  <c r="O32" i="15"/>
  <c r="G53" i="20"/>
  <c r="M56" i="20"/>
  <c r="O38" i="15"/>
  <c r="M53" i="20"/>
  <c r="U56" i="20"/>
  <c r="U53" i="20"/>
  <c r="X53" i="20"/>
  <c r="X56" i="20"/>
  <c r="J56" i="20"/>
  <c r="O35" i="15"/>
  <c r="J53" i="20"/>
  <c r="S56" i="20"/>
  <c r="S53" i="20"/>
  <c r="T56" i="20"/>
  <c r="T53" i="20"/>
  <c r="R53" i="20"/>
  <c r="R56" i="20"/>
  <c r="Z56" i="20"/>
  <c r="Z53" i="20"/>
  <c r="AA56" i="20"/>
  <c r="AA53" i="20"/>
  <c r="P56" i="20"/>
  <c r="P53" i="20"/>
  <c r="AE56" i="20"/>
  <c r="AE53" i="20"/>
  <c r="O34" i="15"/>
  <c r="K56" i="20"/>
  <c r="O36" i="15"/>
  <c r="K53" i="20"/>
  <c r="N53" i="20"/>
  <c r="N56" i="20"/>
  <c r="V53" i="20"/>
  <c r="V56" i="20"/>
  <c r="AF56" i="20"/>
  <c r="AF53" i="20"/>
  <c r="C56" i="20"/>
  <c r="O28" i="15"/>
  <c r="D56" i="20"/>
  <c r="O29" i="15"/>
  <c r="O31" i="15"/>
  <c r="O30" i="15"/>
  <c r="E53" i="20"/>
  <c r="C53" i="20"/>
  <c r="D53" i="20"/>
  <c r="D35" i="17"/>
  <c r="E35" i="17"/>
  <c r="F35" i="17"/>
  <c r="G35" i="17"/>
  <c r="H35" i="17"/>
  <c r="C35" i="17"/>
  <c r="N36" i="15" l="1"/>
  <c r="M36" i="15" s="1"/>
  <c r="L36" i="15" s="1"/>
  <c r="N38" i="15"/>
  <c r="N35" i="15"/>
  <c r="M35" i="15" s="1"/>
  <c r="L35" i="15" s="1"/>
  <c r="N37" i="15"/>
  <c r="M37" i="15" s="1"/>
  <c r="L37" i="15" s="1"/>
  <c r="N34" i="15"/>
  <c r="AC72" i="17"/>
  <c r="N54" i="15"/>
  <c r="M54" i="15" s="1"/>
  <c r="L54" i="15" s="1"/>
  <c r="Z72" i="17"/>
  <c r="N51" i="15"/>
  <c r="M51" i="15" s="1"/>
  <c r="L51" i="15" s="1"/>
  <c r="AB72" i="17"/>
  <c r="N53" i="15"/>
  <c r="M53" i="15" s="1"/>
  <c r="L53" i="15" s="1"/>
  <c r="T72" i="17"/>
  <c r="N45" i="15"/>
  <c r="M45" i="15" s="1"/>
  <c r="L45" i="15" s="1"/>
  <c r="N39" i="15"/>
  <c r="M39" i="15" s="1"/>
  <c r="L39" i="15" s="1"/>
  <c r="N72" i="17"/>
  <c r="W72" i="17"/>
  <c r="N48" i="15"/>
  <c r="M48" i="15" s="1"/>
  <c r="L48" i="15" s="1"/>
  <c r="X72" i="17"/>
  <c r="N49" i="15"/>
  <c r="M49" i="15" s="1"/>
  <c r="L49" i="15" s="1"/>
  <c r="P72" i="17"/>
  <c r="N41" i="15"/>
  <c r="M41" i="15" s="1"/>
  <c r="L41" i="15" s="1"/>
  <c r="V72" i="17"/>
  <c r="N47" i="15"/>
  <c r="M47" i="15" s="1"/>
  <c r="L47" i="15" s="1"/>
  <c r="U72" i="17"/>
  <c r="N46" i="15"/>
  <c r="M46" i="15" s="1"/>
  <c r="L46" i="15" s="1"/>
  <c r="Y72" i="17"/>
  <c r="N50" i="15"/>
  <c r="M50" i="15" s="1"/>
  <c r="L50" i="15" s="1"/>
  <c r="O72" i="17"/>
  <c r="N40" i="15"/>
  <c r="M40" i="15" s="1"/>
  <c r="L40" i="15" s="1"/>
  <c r="AA72" i="17"/>
  <c r="N52" i="15"/>
  <c r="M52" i="15" s="1"/>
  <c r="L52" i="15" s="1"/>
  <c r="Q72" i="17"/>
  <c r="N42" i="15"/>
  <c r="M42" i="15" s="1"/>
  <c r="L42" i="15" s="1"/>
  <c r="R72" i="17"/>
  <c r="N43" i="15"/>
  <c r="M43" i="15" s="1"/>
  <c r="L43" i="15" s="1"/>
  <c r="AE72" i="17"/>
  <c r="N56" i="15"/>
  <c r="M56" i="15" s="1"/>
  <c r="L56" i="15" s="1"/>
  <c r="AD72" i="17"/>
  <c r="N55" i="15"/>
  <c r="M55" i="15" s="1"/>
  <c r="L55" i="15" s="1"/>
  <c r="S72" i="17"/>
  <c r="N44" i="15"/>
  <c r="M44" i="15" s="1"/>
  <c r="L44" i="15" s="1"/>
  <c r="N57" i="15"/>
  <c r="M57" i="15" s="1"/>
  <c r="L57" i="15" s="1"/>
  <c r="AF72" i="17"/>
  <c r="M38" i="15"/>
  <c r="L38" i="15" s="1"/>
  <c r="M34" i="15"/>
  <c r="L34" i="15" s="1"/>
  <c r="N33" i="15"/>
  <c r="M33" i="15" s="1"/>
  <c r="L33" i="15" s="1"/>
  <c r="D40" i="17"/>
  <c r="E40" i="17"/>
  <c r="F40" i="17"/>
  <c r="G40" i="17"/>
  <c r="H40" i="17"/>
  <c r="C40" i="17"/>
  <c r="D53" i="17"/>
  <c r="E53" i="17"/>
  <c r="F53" i="17"/>
  <c r="F57" i="17" s="1"/>
  <c r="G53" i="17"/>
  <c r="G57" i="17" s="1"/>
  <c r="H53" i="17"/>
  <c r="H57" i="17" s="1"/>
  <c r="D29" i="17"/>
  <c r="D30" i="17" s="1"/>
  <c r="E29" i="17"/>
  <c r="E30" i="17" s="1"/>
  <c r="E36" i="17" s="1"/>
  <c r="E63" i="17" s="1"/>
  <c r="F29" i="17"/>
  <c r="F30" i="17" s="1"/>
  <c r="F36" i="17" s="1"/>
  <c r="F63" i="17" s="1"/>
  <c r="G29" i="17"/>
  <c r="G30" i="17" s="1"/>
  <c r="G36" i="17" s="1"/>
  <c r="G39" i="17" s="1"/>
  <c r="G41" i="17" s="1"/>
  <c r="H29" i="17"/>
  <c r="H30" i="17" s="1"/>
  <c r="H36" i="17" s="1"/>
  <c r="C56" i="17"/>
  <c r="C29" i="17"/>
  <c r="C30" i="17" s="1"/>
  <c r="H63" i="17" l="1"/>
  <c r="H39" i="17"/>
  <c r="H41" i="17" s="1"/>
  <c r="F58" i="17"/>
  <c r="F62" i="17"/>
  <c r="F56" i="17" s="1"/>
  <c r="G58" i="17"/>
  <c r="G62" i="17"/>
  <c r="G56" i="17" s="1"/>
  <c r="G63" i="17"/>
  <c r="E57" i="17"/>
  <c r="E62" i="17"/>
  <c r="E56" i="17" s="1"/>
  <c r="H58" i="17"/>
  <c r="H62" i="17"/>
  <c r="H56" i="17" s="1"/>
  <c r="D62" i="17"/>
  <c r="D56" i="17" s="1"/>
  <c r="D54" i="17"/>
  <c r="C75" i="17" s="1"/>
  <c r="D57" i="17"/>
  <c r="E54" i="17"/>
  <c r="D76" i="17" s="1"/>
  <c r="E77" i="17"/>
  <c r="F39" i="17"/>
  <c r="F41" i="17" s="1"/>
  <c r="E39" i="17"/>
  <c r="E41" i="17" s="1"/>
  <c r="D36" i="17"/>
  <c r="D63" i="17" s="1"/>
  <c r="C36" i="17"/>
  <c r="C63" i="17" s="1"/>
  <c r="E58" i="17" l="1"/>
  <c r="C76" i="17"/>
  <c r="C77" i="17"/>
  <c r="D77" i="17"/>
  <c r="C78" i="17"/>
  <c r="E78" i="17"/>
  <c r="F78" i="17"/>
  <c r="D78" i="17"/>
  <c r="C79" i="17"/>
  <c r="E79" i="17"/>
  <c r="F79" i="17"/>
  <c r="G79" i="17"/>
  <c r="G71" i="17" s="1"/>
  <c r="D79" i="17"/>
  <c r="D58" i="17"/>
  <c r="G64" i="17"/>
  <c r="G32" i="15" s="1"/>
  <c r="F64" i="17"/>
  <c r="G31" i="15" s="1"/>
  <c r="H64" i="17"/>
  <c r="G33" i="15" s="1"/>
  <c r="E64" i="17"/>
  <c r="G30" i="15" s="1"/>
  <c r="D39" i="17"/>
  <c r="D41" i="17" s="1"/>
  <c r="C39" i="17"/>
  <c r="C41" i="17" s="1"/>
  <c r="F71" i="17" l="1"/>
  <c r="F72" i="17" s="1"/>
  <c r="H65" i="17"/>
  <c r="G65" i="17"/>
  <c r="E71" i="17"/>
  <c r="E72" i="17" s="1"/>
  <c r="G72" i="17"/>
  <c r="N32" i="15"/>
  <c r="M32" i="15" s="1"/>
  <c r="L32" i="15" s="1"/>
  <c r="D71" i="17"/>
  <c r="D72" i="17" s="1"/>
  <c r="F65" i="17"/>
  <c r="E65" i="17"/>
  <c r="D64" i="17"/>
  <c r="G29" i="15" s="1"/>
  <c r="C64" i="17"/>
  <c r="N31" i="15" l="1"/>
  <c r="M31" i="15" s="1"/>
  <c r="L31" i="15" s="1"/>
  <c r="N30" i="15"/>
  <c r="M30" i="15" s="1"/>
  <c r="L30" i="15" s="1"/>
  <c r="D65" i="17"/>
  <c r="C65" i="17"/>
  <c r="G28" i="15"/>
  <c r="B77" i="17"/>
  <c r="B76" i="17"/>
  <c r="B75" i="17"/>
  <c r="C6" i="17"/>
  <c r="E6" i="17" l="1"/>
  <c r="C24" i="15" s="1"/>
  <c r="N29" i="15"/>
  <c r="M29" i="15" s="1"/>
  <c r="L29" i="15" s="1"/>
  <c r="N28" i="15" l="1"/>
  <c r="M28" i="15" s="1"/>
  <c r="L28" i="15" s="1"/>
  <c r="C5" i="17"/>
  <c r="C4" i="17"/>
  <c r="V62" i="15"/>
  <c r="D5" i="15"/>
  <c r="D4" i="15"/>
  <c r="G17" i="15" l="1"/>
  <c r="H17" i="15" l="1"/>
  <c r="C7" i="17" l="1"/>
  <c r="I68" i="17" l="1"/>
  <c r="I66" i="17" s="1"/>
  <c r="Q68" i="17"/>
  <c r="Q66" i="17" s="1"/>
  <c r="Y68" i="17"/>
  <c r="Y66" i="17" s="1"/>
  <c r="E69" i="17"/>
  <c r="J68" i="17"/>
  <c r="R68" i="17"/>
  <c r="R66" i="17" s="1"/>
  <c r="Z68" i="17"/>
  <c r="Z66" i="17" s="1"/>
  <c r="K68" i="17"/>
  <c r="S68" i="17"/>
  <c r="S66" i="17" s="1"/>
  <c r="AA68" i="17"/>
  <c r="AA66" i="17" s="1"/>
  <c r="M68" i="17"/>
  <c r="M66" i="17" s="1"/>
  <c r="U68" i="17"/>
  <c r="U66" i="17" s="1"/>
  <c r="AC68" i="17"/>
  <c r="AC66" i="17" s="1"/>
  <c r="X68" i="17"/>
  <c r="X66" i="17" s="1"/>
  <c r="D29" i="15"/>
  <c r="H29" i="15" s="1"/>
  <c r="L68" i="17"/>
  <c r="D37" i="15" s="1"/>
  <c r="T68" i="17"/>
  <c r="T66" i="17" s="1"/>
  <c r="AB68" i="17"/>
  <c r="AB66" i="17" s="1"/>
  <c r="F68" i="17"/>
  <c r="D31" i="15" s="1"/>
  <c r="H31" i="15" s="1"/>
  <c r="N68" i="17"/>
  <c r="N66" i="17" s="1"/>
  <c r="V68" i="17"/>
  <c r="V66" i="17" s="1"/>
  <c r="AD68" i="17"/>
  <c r="AD66" i="17" s="1"/>
  <c r="H68" i="17"/>
  <c r="P68" i="17"/>
  <c r="P66" i="17" s="1"/>
  <c r="AF68" i="17"/>
  <c r="G68" i="17"/>
  <c r="O68" i="17"/>
  <c r="O66" i="17" s="1"/>
  <c r="W68" i="17"/>
  <c r="W66" i="17" s="1"/>
  <c r="AE68" i="17"/>
  <c r="AE66" i="17" s="1"/>
  <c r="D57" i="15"/>
  <c r="AF69" i="17" l="1"/>
  <c r="AF66" i="17"/>
  <c r="K69" i="17"/>
  <c r="K66" i="17"/>
  <c r="K57" i="15"/>
  <c r="H57" i="15"/>
  <c r="J69" i="17"/>
  <c r="J66" i="17"/>
  <c r="H69" i="17"/>
  <c r="H66" i="17"/>
  <c r="G69" i="17"/>
  <c r="G66" i="17"/>
  <c r="F66" i="17"/>
  <c r="E66" i="17"/>
  <c r="D32" i="15"/>
  <c r="D30" i="15"/>
  <c r="H30" i="15" s="1"/>
  <c r="M69" i="17"/>
  <c r="D38" i="15"/>
  <c r="K38" i="15" s="1"/>
  <c r="L69" i="17"/>
  <c r="L66" i="17"/>
  <c r="D35" i="15"/>
  <c r="D36" i="15"/>
  <c r="K37" i="15"/>
  <c r="H37" i="15"/>
  <c r="D28" i="15"/>
  <c r="F69" i="17"/>
  <c r="D51" i="15"/>
  <c r="Z69" i="17"/>
  <c r="AE69" i="17"/>
  <c r="D56" i="15"/>
  <c r="D47" i="15"/>
  <c r="V69" i="17"/>
  <c r="D54" i="15"/>
  <c r="AC69" i="17"/>
  <c r="W69" i="17"/>
  <c r="D48" i="15"/>
  <c r="D39" i="15"/>
  <c r="N69" i="17"/>
  <c r="D46" i="15"/>
  <c r="U69" i="17"/>
  <c r="O69" i="17"/>
  <c r="D40" i="15"/>
  <c r="D55" i="15"/>
  <c r="K55" i="15" s="1"/>
  <c r="AD69" i="17"/>
  <c r="AB69" i="17"/>
  <c r="D53" i="15"/>
  <c r="D52" i="15"/>
  <c r="AA69" i="17"/>
  <c r="Y69" i="17"/>
  <c r="D50" i="15"/>
  <c r="D49" i="15"/>
  <c r="X69" i="17"/>
  <c r="D45" i="15"/>
  <c r="T69" i="17"/>
  <c r="D44" i="15"/>
  <c r="S69" i="17"/>
  <c r="Q69" i="17"/>
  <c r="D42" i="15"/>
  <c r="D43" i="15"/>
  <c r="R69" i="17"/>
  <c r="P69" i="17"/>
  <c r="D41" i="15"/>
  <c r="D34" i="15"/>
  <c r="I69" i="17"/>
  <c r="D33" i="15"/>
  <c r="K31" i="15"/>
  <c r="D66" i="17"/>
  <c r="H38" i="15" l="1"/>
  <c r="K36" i="15"/>
  <c r="H36" i="15"/>
  <c r="K35" i="15"/>
  <c r="H35" i="15"/>
  <c r="K34" i="15"/>
  <c r="H34" i="15"/>
  <c r="K33" i="15"/>
  <c r="H33" i="15"/>
  <c r="K32" i="15"/>
  <c r="H32" i="15"/>
  <c r="K30" i="15"/>
  <c r="K56" i="15"/>
  <c r="H56" i="15"/>
  <c r="H55" i="15"/>
  <c r="K54" i="15"/>
  <c r="H54" i="15"/>
  <c r="K53" i="15"/>
  <c r="H53" i="15"/>
  <c r="K48" i="15"/>
  <c r="H48" i="15"/>
  <c r="K49" i="15"/>
  <c r="H49" i="15"/>
  <c r="K51" i="15"/>
  <c r="H51" i="15"/>
  <c r="K50" i="15"/>
  <c r="H50" i="15"/>
  <c r="K52" i="15"/>
  <c r="H52" i="15"/>
  <c r="K44" i="15"/>
  <c r="H44" i="15"/>
  <c r="K46" i="15"/>
  <c r="H46" i="15"/>
  <c r="K45" i="15"/>
  <c r="H45" i="15"/>
  <c r="K47" i="15"/>
  <c r="H47" i="15"/>
  <c r="K43" i="15"/>
  <c r="H43" i="15"/>
  <c r="K42" i="15"/>
  <c r="A42" i="15" s="1"/>
  <c r="H42" i="15"/>
  <c r="K39" i="15"/>
  <c r="H39" i="15"/>
  <c r="K41" i="15"/>
  <c r="H41" i="15"/>
  <c r="K40" i="15"/>
  <c r="A40" i="15" s="1"/>
  <c r="H40" i="15"/>
  <c r="K29" i="15"/>
  <c r="K28" i="15"/>
  <c r="T29" i="1"/>
  <c r="T31" i="1"/>
  <c r="T38" i="1"/>
  <c r="T40" i="1"/>
  <c r="T42" i="1"/>
  <c r="T44" i="1"/>
  <c r="T46" i="1"/>
  <c r="A43" i="15" l="1"/>
  <c r="A41" i="15"/>
  <c r="A39" i="15"/>
  <c r="A47" i="15"/>
  <c r="A55" i="15"/>
  <c r="A48" i="15"/>
  <c r="A56" i="15"/>
  <c r="A49" i="15"/>
  <c r="A50" i="15"/>
  <c r="A51" i="15"/>
  <c r="A53" i="15"/>
  <c r="A44" i="15"/>
  <c r="A52" i="15"/>
  <c r="A45" i="15"/>
  <c r="A46" i="15"/>
  <c r="A54" i="15"/>
  <c r="A31" i="15"/>
  <c r="A34" i="15"/>
  <c r="A35" i="15"/>
  <c r="A36" i="15"/>
  <c r="A32" i="15"/>
  <c r="A33" i="15"/>
  <c r="A38" i="15"/>
  <c r="A37" i="15"/>
  <c r="A57" i="15"/>
  <c r="A28" i="15"/>
  <c r="A29" i="15"/>
  <c r="A30" i="15"/>
  <c r="H59" i="15" l="1"/>
  <c r="C36" i="1" s="1"/>
  <c r="G59" i="15"/>
  <c r="C34" i="1" s="1"/>
  <c r="F59" i="15"/>
  <c r="D59" i="15"/>
  <c r="C33" i="1" s="1"/>
  <c r="E33" i="1" l="1"/>
  <c r="D58"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Floesser, Philipp (N/BN-L4)</author>
    <author>Floesser, Philipp (N/PL-72)</author>
  </authors>
  <commentList>
    <comment ref="N2" authorId="0" shapeId="0" xr:uid="{00000000-0006-0000-0100-000001000000}">
      <text>
        <r>
          <rPr>
            <b/>
            <sz val="9"/>
            <color indexed="81"/>
            <rFont val="Segoe UI"/>
            <family val="2"/>
          </rPr>
          <t xml:space="preserve">relevant what has been first achieved:
</t>
        </r>
        <r>
          <rPr>
            <sz val="9"/>
            <color indexed="81"/>
            <rFont val="Segoe UI"/>
            <family val="2"/>
          </rPr>
          <t>E.g. Pre-check: Either manufacture for 1 hour or produce the nominated capacity for 1 hour</t>
        </r>
      </text>
    </comment>
    <comment ref="O4" authorId="0" shapeId="0" xr:uid="{00000000-0006-0000-0100-000002000000}">
      <text>
        <r>
          <rPr>
            <b/>
            <sz val="9"/>
            <color indexed="81"/>
            <rFont val="Segoe UI"/>
            <family val="2"/>
          </rPr>
          <t>Nominated Volume / (15 shifts x 7 hours)
= Nominated volume /105</t>
        </r>
      </text>
    </comment>
    <comment ref="O5" authorId="0" shapeId="0" xr:uid="{00000000-0006-0000-0100-000003000000}">
      <text>
        <r>
          <rPr>
            <b/>
            <sz val="9"/>
            <color indexed="81"/>
            <rFont val="Segoe UI"/>
            <family val="2"/>
          </rPr>
          <t>4x Nominated Volume / (15 shifts x 7 hours)
= 4x Nominated volume /105</t>
        </r>
      </text>
    </comment>
    <comment ref="O6" authorId="0" shapeId="0" xr:uid="{00000000-0006-0000-0100-000004000000}">
      <text>
        <r>
          <rPr>
            <b/>
            <sz val="9"/>
            <color indexed="81"/>
            <rFont val="Segoe UI"/>
            <family val="2"/>
          </rPr>
          <t>8 x Nominated Volume / (15 shifts x 7 hours)
= 8 x Nominated volume /105</t>
        </r>
      </text>
    </comment>
    <comment ref="E10" authorId="1" shapeId="0" xr:uid="{00000000-0006-0000-0100-000005000000}">
      <text>
        <r>
          <rPr>
            <b/>
            <sz val="9"/>
            <color indexed="81"/>
            <rFont val="Tahoma"/>
            <family val="2"/>
          </rPr>
          <t>"Einbaurate":</t>
        </r>
        <r>
          <rPr>
            <sz val="9"/>
            <color indexed="81"/>
            <rFont val="Tahoma"/>
            <family val="2"/>
          </rPr>
          <t xml:space="preserve">
% of new vehicles equipped with this part</t>
        </r>
      </text>
    </comment>
    <comment ref="F10" authorId="1" shapeId="0" xr:uid="{00000000-0006-0000-0100-000006000000}">
      <text>
        <r>
          <rPr>
            <b/>
            <sz val="9"/>
            <color indexed="81"/>
            <rFont val="Tahoma"/>
            <family val="2"/>
          </rPr>
          <t xml:space="preserve">"Verbaurate":
</t>
        </r>
        <r>
          <rPr>
            <sz val="9"/>
            <color indexed="81"/>
            <rFont val="Tahoma"/>
            <family val="2"/>
          </rPr>
          <t>Number of parts used in one vehicle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Floesser, Philipp (N/BN-L4)</author>
    <author>Floesser, Philipp (N/PL-72)</author>
  </authors>
  <commentList>
    <comment ref="B17" authorId="0" shapeId="0" xr:uid="{00000000-0006-0000-0200-000001000000}">
      <text>
        <r>
          <rPr>
            <sz val="9"/>
            <color indexed="81"/>
            <rFont val="Segoe UI"/>
            <family val="2"/>
          </rPr>
          <t>Explicit process name</t>
        </r>
      </text>
    </comment>
    <comment ref="B19" authorId="1" shapeId="0" xr:uid="{00000000-0006-0000-0200-000002000000}">
      <text>
        <r>
          <rPr>
            <sz val="9"/>
            <color indexed="81"/>
            <rFont val="Tahoma"/>
            <family val="2"/>
          </rPr>
          <t>If the exanimated capacity is parallel available on different tooling</t>
        </r>
      </text>
    </comment>
    <comment ref="B32" authorId="1" shapeId="0" xr:uid="{00000000-0006-0000-0200-000003000000}">
      <text>
        <r>
          <rPr>
            <sz val="9"/>
            <color rgb="FF000000"/>
            <rFont val="Tahoma"/>
            <family val="2"/>
          </rPr>
          <t xml:space="preserve">System availability considers:
</t>
        </r>
        <r>
          <rPr>
            <sz val="9"/>
            <color rgb="FF000000"/>
            <rFont val="Tahoma"/>
            <family val="2"/>
          </rPr>
          <t xml:space="preserve">- maintenance
</t>
        </r>
        <r>
          <rPr>
            <sz val="9"/>
            <color rgb="FF000000"/>
            <rFont val="Tahoma"/>
            <family val="2"/>
          </rPr>
          <t xml:space="preserve">- setup time
</t>
        </r>
        <r>
          <rPr>
            <sz val="9"/>
            <color rgb="FF000000"/>
            <rFont val="Tahoma"/>
            <family val="2"/>
          </rPr>
          <t xml:space="preserve">- downtime
</t>
        </r>
        <r>
          <rPr>
            <sz val="9"/>
            <color rgb="FF000000"/>
            <rFont val="Tahoma"/>
            <family val="2"/>
          </rPr>
          <t xml:space="preserve">- other non-production times (excl. breaks)
</t>
        </r>
        <r>
          <rPr>
            <sz val="9"/>
            <color rgb="FF000000"/>
            <rFont val="Tahoma"/>
            <family val="2"/>
          </rPr>
          <t xml:space="preserve">- breaks, then line 33 musst be filled
</t>
        </r>
        <r>
          <rPr>
            <sz val="9"/>
            <color rgb="FF000000"/>
            <rFont val="Tahoma"/>
            <family val="2"/>
          </rPr>
          <t xml:space="preserve">
</t>
        </r>
        <r>
          <rPr>
            <sz val="9"/>
            <color rgb="FF000000"/>
            <rFont val="Tahoma"/>
            <family val="2"/>
          </rPr>
          <t>No OEE, because scrap and productivity will be considered in the evaluation itself</t>
        </r>
      </text>
    </comment>
    <comment ref="B33" authorId="1" shapeId="0" xr:uid="{00000000-0006-0000-0200-000004000000}">
      <text>
        <r>
          <rPr>
            <sz val="9"/>
            <color indexed="81"/>
            <rFont val="Tahoma"/>
            <family val="2"/>
          </rPr>
          <t>If supplier considers the time for breaks in his OEE calculation</t>
        </r>
      </text>
    </comment>
    <comment ref="B37" authorId="0" shapeId="0" xr:uid="{00000000-0006-0000-0200-000005000000}">
      <text>
        <r>
          <rPr>
            <sz val="9"/>
            <color indexed="81"/>
            <rFont val="Segoe UI"/>
            <family val="2"/>
          </rPr>
          <t>For the project reserved capacity on the production line.
Relevant if different projects are produced on one line.</t>
        </r>
      </text>
    </comment>
    <comment ref="B43" authorId="0" shapeId="0" xr:uid="{00000000-0006-0000-0200-000006000000}">
      <text>
        <r>
          <rPr>
            <sz val="9"/>
            <color rgb="FF000000"/>
            <rFont val="Segoe UI"/>
            <family val="2"/>
            <charset val="1"/>
          </rPr>
          <t>Cycletime without performance rate: pure cycle time without micro stopps etc.</t>
        </r>
      </text>
    </comment>
    <comment ref="B44" authorId="0" shapeId="0" xr:uid="{00000000-0006-0000-0200-000007000000}">
      <text>
        <r>
          <rPr>
            <sz val="9"/>
            <color rgb="FF000000"/>
            <rFont val="Segoe UI"/>
            <family val="2"/>
            <charset val="1"/>
          </rPr>
          <t xml:space="preserve">reduces the planned cycle time by e.g. micro stopps etc
</t>
        </r>
        <r>
          <rPr>
            <sz val="9"/>
            <color rgb="FF000000"/>
            <rFont val="Segoe UI"/>
            <family val="2"/>
            <charset val="1"/>
          </rPr>
          <t xml:space="preserve">
</t>
        </r>
        <r>
          <rPr>
            <sz val="9"/>
            <color rgb="FF000000"/>
            <rFont val="Segoe UI"/>
            <family val="2"/>
            <charset val="1"/>
          </rPr>
          <t xml:space="preserve">planned cycle time * performance rate = 
</t>
        </r>
        <r>
          <rPr>
            <sz val="9"/>
            <color rgb="FF000000"/>
            <rFont val="Segoe UI"/>
            <family val="2"/>
            <charset val="1"/>
          </rPr>
          <t>real implemented cycle time</t>
        </r>
      </text>
    </comment>
    <comment ref="B46" authorId="0" shapeId="0" xr:uid="{00000000-0006-0000-0200-000008000000}">
      <text>
        <r>
          <rPr>
            <sz val="9"/>
            <color rgb="FF000000"/>
            <rFont val="Segoe UI"/>
            <family val="2"/>
            <charset val="1"/>
          </rPr>
          <t>OEE =  availability rate * performance rate * quality rate</t>
        </r>
      </text>
    </comment>
    <comment ref="B47" authorId="0" shapeId="0" xr:uid="{00000000-0006-0000-0200-000009000000}">
      <text>
        <r>
          <rPr>
            <sz val="9"/>
            <color indexed="81"/>
            <rFont val="Segoe UI"/>
            <family val="2"/>
          </rPr>
          <t>No impact on calculation, only for information</t>
        </r>
      </text>
    </comment>
    <comment ref="B50" authorId="0" shapeId="0" xr:uid="{00000000-0006-0000-0200-00000A000000}">
      <text>
        <r>
          <rPr>
            <sz val="9"/>
            <color indexed="81"/>
            <rFont val="Segoe UI"/>
            <family val="2"/>
          </rPr>
          <t>Shift-output on exclusive production of the listed project ("100% capacity for this project in one shift")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Floesser, Philipp (N/BN-L4)</author>
    <author>Floesser, Philipp (N/PL-72)</author>
    <author>Schwaderer, Tilo (N/BS-4)</author>
  </authors>
  <commentList>
    <comment ref="B18" authorId="0" shapeId="0" xr:uid="{00000000-0006-0000-0300-000001000000}">
      <text>
        <r>
          <rPr>
            <sz val="9"/>
            <color indexed="81"/>
            <rFont val="Segoe UI"/>
            <family val="2"/>
          </rPr>
          <t>Explicit process name</t>
        </r>
      </text>
    </comment>
    <comment ref="B20" authorId="1" shapeId="0" xr:uid="{00000000-0006-0000-0300-000002000000}">
      <text>
        <r>
          <rPr>
            <sz val="9"/>
            <color indexed="81"/>
            <rFont val="Tahoma"/>
            <family val="2"/>
          </rPr>
          <t>Number of tools used for capacity assessment.
Relevant for cycle time and performance rate.</t>
        </r>
      </text>
    </comment>
    <comment ref="B33" authorId="1" shapeId="0" xr:uid="{00000000-0006-0000-0300-000003000000}">
      <text>
        <r>
          <rPr>
            <sz val="9"/>
            <color indexed="81"/>
            <rFont val="Tahoma"/>
            <family val="2"/>
          </rPr>
          <t>System availability considers:
- maintenance
- setup time
- downtime
- other non-production times (excl. breaks)
- breaks, then line 33 musst be filled
No OEE, because scrap and productivity will be considered in the evaluation itself</t>
        </r>
      </text>
    </comment>
    <comment ref="B34" authorId="1" shapeId="0" xr:uid="{00000000-0006-0000-0300-000004000000}">
      <text>
        <r>
          <rPr>
            <sz val="9"/>
            <color indexed="81"/>
            <rFont val="Tahoma"/>
            <family val="2"/>
          </rPr>
          <t>If supplier considers the time for breaks in his OEE calculation</t>
        </r>
      </text>
    </comment>
    <comment ref="B38" authorId="0" shapeId="0" xr:uid="{00000000-0006-0000-0300-000005000000}">
      <text>
        <r>
          <rPr>
            <sz val="9"/>
            <color indexed="81"/>
            <rFont val="Segoe UI"/>
            <family val="2"/>
          </rPr>
          <t>For the project reserved capacity on the production line.
Relevant if different projects are produced on one line.</t>
        </r>
      </text>
    </comment>
    <comment ref="B44" authorId="0" shapeId="0" xr:uid="{00000000-0006-0000-0300-000006000000}">
      <text>
        <r>
          <rPr>
            <sz val="9"/>
            <color indexed="81"/>
            <rFont val="Segoe UI"/>
            <family val="2"/>
          </rPr>
          <t>Total production time inkl. breaks and other interruptions</t>
        </r>
      </text>
    </comment>
    <comment ref="B45" authorId="2" shapeId="0" xr:uid="{3B9CA767-6799-4735-A769-A91E24C5697D}">
      <text>
        <r>
          <rPr>
            <sz val="9"/>
            <color indexed="81"/>
            <rFont val="Segoe UI"/>
            <family val="2"/>
          </rPr>
          <t>not considered for calculation of availibility rate observed and OEE</t>
        </r>
      </text>
    </comment>
    <comment ref="B46" authorId="2" shapeId="0" xr:uid="{78A78257-C8AA-415A-B549-6C46FE0B3135}">
      <text>
        <r>
          <rPr>
            <sz val="9"/>
            <color indexed="81"/>
            <rFont val="Segoe UI"/>
            <family val="2"/>
          </rPr>
          <t>considered for calculation of availibility rate obseved and OEE</t>
        </r>
      </text>
    </comment>
    <comment ref="B47" authorId="2" shapeId="0" xr:uid="{A02CB024-B1CA-4E2E-ADE1-4080382A4C79}">
      <text>
        <r>
          <rPr>
            <sz val="9"/>
            <color indexed="81"/>
            <rFont val="Segoe UI"/>
            <family val="2"/>
          </rPr>
          <t>considered for calculation of availibility rate observed and OEE</t>
        </r>
      </text>
    </comment>
    <comment ref="B55" authorId="0" shapeId="0" xr:uid="{00000000-0006-0000-0300-000007000000}">
      <text>
        <r>
          <rPr>
            <sz val="9"/>
            <color indexed="81"/>
            <rFont val="Segoe UI"/>
            <family val="2"/>
          </rPr>
          <t>= Net production time / total production time</t>
        </r>
      </text>
    </comment>
    <comment ref="B56" authorId="0" shapeId="0" xr:uid="{00000000-0006-0000-0300-000008000000}">
      <text>
        <r>
          <rPr>
            <sz val="9"/>
            <color indexed="81"/>
            <rFont val="Segoe UI"/>
            <family val="2"/>
          </rPr>
          <t>= actual output (produced parts/min) / planned output (planned parts (=cycletime * cavities)/min)
ATTANTION: Planning sheet must be filled!</t>
        </r>
      </text>
    </comment>
    <comment ref="B57" authorId="0" shapeId="0" xr:uid="{00000000-0006-0000-0300-000009000000}">
      <text>
        <r>
          <rPr>
            <sz val="9"/>
            <color indexed="81"/>
            <rFont val="Segoe UI"/>
            <family val="2"/>
          </rPr>
          <t>= ok parts / (ok parts + not ok parts)</t>
        </r>
      </text>
    </comment>
    <comment ref="B58" authorId="0" shapeId="0" xr:uid="{00000000-0006-0000-0300-00000A000000}">
      <text>
        <r>
          <rPr>
            <sz val="9"/>
            <color indexed="81"/>
            <rFont val="Segoe UI"/>
            <family val="2"/>
          </rPr>
          <t>OEE incl. Breaks = Performance rate * availability rate * quality rate</t>
        </r>
      </text>
    </comment>
    <comment ref="B59" authorId="0" shapeId="0" xr:uid="{00000000-0006-0000-0300-00000B000000}">
      <text>
        <r>
          <rPr>
            <sz val="9"/>
            <color indexed="81"/>
            <rFont val="Segoe UI"/>
            <family val="2"/>
          </rPr>
          <t>No impact on calculation, only for information</t>
        </r>
      </text>
    </comment>
    <comment ref="B63" authorId="0" shapeId="0" xr:uid="{00000000-0006-0000-0300-00000C000000}">
      <text>
        <r>
          <rPr>
            <sz val="9"/>
            <color indexed="81"/>
            <rFont val="Segoe UI"/>
            <family val="2"/>
          </rPr>
          <t>Shift-output on exclusive production of the listed project ("100% capacity for this project in one shift")</t>
        </r>
      </text>
    </comment>
  </commentList>
</comments>
</file>

<file path=xl/sharedStrings.xml><?xml version="1.0" encoding="utf-8"?>
<sst xmlns="http://schemas.openxmlformats.org/spreadsheetml/2006/main" count="593" uniqueCount="513">
  <si>
    <t>Land</t>
  </si>
  <si>
    <t>LKZ</t>
  </si>
  <si>
    <t xml:space="preserve"> </t>
  </si>
  <si>
    <t>Afghanistan</t>
  </si>
  <si>
    <t>Andorra</t>
  </si>
  <si>
    <t>Angola</t>
  </si>
  <si>
    <t>Bahrain</t>
  </si>
  <si>
    <t>Bangladesh</t>
  </si>
  <si>
    <t>Barbados</t>
  </si>
  <si>
    <t>Belize</t>
  </si>
  <si>
    <t>Benin</t>
  </si>
  <si>
    <t>Bhutan</t>
  </si>
  <si>
    <t>Brunei</t>
  </si>
  <si>
    <t>Burundi</t>
  </si>
  <si>
    <t>China</t>
  </si>
  <si>
    <t>Costa Rica</t>
  </si>
  <si>
    <t>Ecuador</t>
  </si>
  <si>
    <t>El Salvador</t>
  </si>
  <si>
    <t>Eritrea</t>
  </si>
  <si>
    <t>Gambia</t>
  </si>
  <si>
    <t>Ghana</t>
  </si>
  <si>
    <t>Grenada</t>
  </si>
  <si>
    <t>Guatemala</t>
  </si>
  <si>
    <t>Guinea</t>
  </si>
  <si>
    <t>Guyana</t>
  </si>
  <si>
    <t>Haiti</t>
  </si>
  <si>
    <t>Honduras</t>
  </si>
  <si>
    <t>Hong Kong</t>
  </si>
  <si>
    <t>Iran</t>
  </si>
  <si>
    <t>Israel</t>
  </si>
  <si>
    <t>Japan</t>
  </si>
  <si>
    <t>Kanada</t>
  </si>
  <si>
    <t>Kiribati</t>
  </si>
  <si>
    <t>Lesotho</t>
  </si>
  <si>
    <t>Liberia</t>
  </si>
  <si>
    <t>Liechtenstein</t>
  </si>
  <si>
    <t>Luxemburg</t>
  </si>
  <si>
    <t>Malawi</t>
  </si>
  <si>
    <t>Malaysia</t>
  </si>
  <si>
    <t>Mali</t>
  </si>
  <si>
    <t>Malta</t>
  </si>
  <si>
    <t>Mauritius</t>
  </si>
  <si>
    <t>Mexiko</t>
  </si>
  <si>
    <t>Monaco</t>
  </si>
  <si>
    <t>Namibia</t>
  </si>
  <si>
    <t>Nauru</t>
  </si>
  <si>
    <t>Nepal</t>
  </si>
  <si>
    <t>Nicaragua</t>
  </si>
  <si>
    <t>Niger</t>
  </si>
  <si>
    <t>Nigeria</t>
  </si>
  <si>
    <t>Oman</t>
  </si>
  <si>
    <t>Pakistan</t>
  </si>
  <si>
    <t>Palau</t>
  </si>
  <si>
    <t>Panama</t>
  </si>
  <si>
    <t>Paraguay</t>
  </si>
  <si>
    <t>Peru</t>
  </si>
  <si>
    <t>Portugal</t>
  </si>
  <si>
    <t>Puerto Rico</t>
  </si>
  <si>
    <t>Qatar</t>
  </si>
  <si>
    <t>Saint Lucia</t>
  </si>
  <si>
    <t>Samoa</t>
  </si>
  <si>
    <t>San Marino</t>
  </si>
  <si>
    <t>Senegal</t>
  </si>
  <si>
    <t>Sierra Leone</t>
  </si>
  <si>
    <t>Somalia</t>
  </si>
  <si>
    <t>Sri Lanka</t>
  </si>
  <si>
    <t>Sudan</t>
  </si>
  <si>
    <t>Taiwan</t>
  </si>
  <si>
    <t>Thailand</t>
  </si>
  <si>
    <t>Togo</t>
  </si>
  <si>
    <t>Tonga</t>
  </si>
  <si>
    <t>Turkmenistan</t>
  </si>
  <si>
    <t>Tuvalu</t>
  </si>
  <si>
    <t>Uganda</t>
  </si>
  <si>
    <t>Ukraine</t>
  </si>
  <si>
    <t>Uruguay</t>
  </si>
  <si>
    <t>Vanuatu</t>
  </si>
  <si>
    <t>Venezuela</t>
  </si>
  <si>
    <t>Zimbabwe</t>
  </si>
  <si>
    <t>Datenblatt</t>
  </si>
  <si>
    <t>Bezeichnung</t>
  </si>
  <si>
    <t>Status</t>
  </si>
  <si>
    <t>Fzg</t>
  </si>
  <si>
    <t>EBR</t>
  </si>
  <si>
    <t>VR</t>
  </si>
  <si>
    <t>Run@Rate</t>
  </si>
  <si>
    <t>Namen</t>
  </si>
  <si>
    <t>Fahrzeugprojekt</t>
  </si>
  <si>
    <t xml:space="preserve">
</t>
  </si>
  <si>
    <t xml:space="preserve">
</t>
  </si>
  <si>
    <t>Version</t>
  </si>
  <si>
    <t>OEE (Overall Equipment Effectiveness) (beobachtet)</t>
  </si>
  <si>
    <t>General information</t>
  </si>
  <si>
    <t>Date of evaluation:</t>
  </si>
  <si>
    <t>Reason for evaluation</t>
  </si>
  <si>
    <t>Supplier type</t>
  </si>
  <si>
    <t xml:space="preserve">Supplier to be evaluated: </t>
  </si>
  <si>
    <t>Part number:</t>
  </si>
  <si>
    <t>Parts description:</t>
  </si>
  <si>
    <t>Location</t>
  </si>
  <si>
    <t>Country:</t>
  </si>
  <si>
    <t>Address (zip, city, street, No.):</t>
  </si>
  <si>
    <t>Project manager:</t>
  </si>
  <si>
    <t>Supplier number:</t>
  </si>
  <si>
    <t>DUNS-No.:</t>
  </si>
  <si>
    <t>Name of assessor:</t>
  </si>
  <si>
    <t>Department:</t>
  </si>
  <si>
    <t>Please Select…</t>
  </si>
  <si>
    <t>Information about the supplier inspection</t>
  </si>
  <si>
    <t>Date of visit:</t>
  </si>
  <si>
    <t>OEM participants:</t>
  </si>
  <si>
    <t>Supplier participants:</t>
  </si>
  <si>
    <t>Required quantity:</t>
  </si>
  <si>
    <t>Result of capacity evaluation:</t>
  </si>
  <si>
    <t>Information about the supplier</t>
  </si>
  <si>
    <t>Employees:</t>
  </si>
  <si>
    <t>Parent company:</t>
  </si>
  <si>
    <t>Other locations:</t>
  </si>
  <si>
    <t>References/
current supply relationships:</t>
  </si>
  <si>
    <t>Imprint</t>
  </si>
  <si>
    <t>Author</t>
  </si>
  <si>
    <t>Capacity evaluation - overview</t>
  </si>
  <si>
    <t>Overview</t>
  </si>
  <si>
    <t>Shifts/week (nominated)</t>
  </si>
  <si>
    <t>Project</t>
  </si>
  <si>
    <t>Description</t>
  </si>
  <si>
    <t>Veh./week</t>
  </si>
  <si>
    <t>Net requirement</t>
  </si>
  <si>
    <t>Parts/week</t>
  </si>
  <si>
    <t>%-share</t>
  </si>
  <si>
    <t>Nominated Volume</t>
  </si>
  <si>
    <r>
      <rPr>
        <b/>
        <sz val="8"/>
        <rFont val="Calibri"/>
        <family val="2"/>
      </rPr>
      <t>Ø</t>
    </r>
    <r>
      <rPr>
        <b/>
        <sz val="8"/>
        <rFont val="Audi Type"/>
        <family val="2"/>
      </rPr>
      <t xml:space="preserve"> installation rate demands:</t>
    </r>
  </si>
  <si>
    <r>
      <rPr>
        <b/>
        <sz val="8"/>
        <rFont val="Calibri"/>
        <family val="2"/>
      </rPr>
      <t>Ø</t>
    </r>
    <r>
      <rPr>
        <b/>
        <sz val="8"/>
        <rFont val="Audi Type"/>
        <family val="2"/>
      </rPr>
      <t xml:space="preserve"> installation rate nomination:</t>
    </r>
  </si>
  <si>
    <t>Veh excl. Flex.</t>
  </si>
  <si>
    <t>Net requ.</t>
  </si>
  <si>
    <t>Veh incl. Flex.</t>
  </si>
  <si>
    <t>(not on printout)</t>
  </si>
  <si>
    <t>Overall requirement:</t>
  </si>
  <si>
    <t>Nominated total volume</t>
  </si>
  <si>
    <t>Cars/week:</t>
  </si>
  <si>
    <t>Parts/week:</t>
  </si>
  <si>
    <t>Capacity</t>
  </si>
  <si>
    <t>Process step</t>
  </si>
  <si>
    <t>planned</t>
  </si>
  <si>
    <t>proved</t>
  </si>
  <si>
    <t>capacity (parts/week)</t>
  </si>
  <si>
    <t>capacity request</t>
  </si>
  <si>
    <t>requirements met</t>
  </si>
  <si>
    <t>requirements partially met</t>
  </si>
  <si>
    <t>requirements not met</t>
  </si>
  <si>
    <t>Bottleneck capacity</t>
  </si>
  <si>
    <t>Remarks</t>
  </si>
  <si>
    <t>Summary</t>
  </si>
  <si>
    <t>Nominated capacity for OEM:</t>
  </si>
  <si>
    <t>Production process - planning</t>
  </si>
  <si>
    <t>Process 1</t>
  </si>
  <si>
    <t>Process 4</t>
  </si>
  <si>
    <t>Process 5</t>
  </si>
  <si>
    <t>Process 6</t>
  </si>
  <si>
    <t>Process 7</t>
  </si>
  <si>
    <t>Process 8</t>
  </si>
  <si>
    <t>Process 9</t>
  </si>
  <si>
    <t>Process 10</t>
  </si>
  <si>
    <t>Process 11</t>
  </si>
  <si>
    <t>Process 12</t>
  </si>
  <si>
    <t>General data</t>
  </si>
  <si>
    <t>Process name</t>
  </si>
  <si>
    <t>Tool designation</t>
  </si>
  <si>
    <t>Number of (identical) tools</t>
  </si>
  <si>
    <r>
      <t>% of parts handled in this process step [</t>
    </r>
    <r>
      <rPr>
        <i/>
        <sz val="10"/>
        <rFont val="Audi Type"/>
        <family val="2"/>
      </rPr>
      <t>%</t>
    </r>
    <r>
      <rPr>
        <sz val="10"/>
        <rFont val="Audi Type"/>
        <family val="2"/>
      </rPr>
      <t>]</t>
    </r>
  </si>
  <si>
    <t>Remark</t>
  </si>
  <si>
    <t>Number of cavities</t>
  </si>
  <si>
    <t>Established production time</t>
  </si>
  <si>
    <t>Shifts/day</t>
  </si>
  <si>
    <t>Shifts/week</t>
  </si>
  <si>
    <r>
      <t>Minutes/shift (excluding breaks, net working time) [</t>
    </r>
    <r>
      <rPr>
        <i/>
        <sz val="10"/>
        <rFont val="Audi Type"/>
        <family val="2"/>
      </rPr>
      <t>min</t>
    </r>
    <r>
      <rPr>
        <sz val="10"/>
        <rFont val="Audi Type"/>
        <family val="2"/>
      </rPr>
      <t>]</t>
    </r>
  </si>
  <si>
    <r>
      <t>Hours/shift (excluding breaks) [</t>
    </r>
    <r>
      <rPr>
        <i/>
        <sz val="10"/>
        <rFont val="Audi Type"/>
        <family val="2"/>
      </rPr>
      <t>h</t>
    </r>
    <r>
      <rPr>
        <sz val="10"/>
        <rFont val="Audi Type"/>
        <family val="2"/>
      </rPr>
      <t>]</t>
    </r>
  </si>
  <si>
    <r>
      <t>Hours/week (excluding breaks) [</t>
    </r>
    <r>
      <rPr>
        <i/>
        <sz val="10"/>
        <rFont val="Audi Type"/>
        <family val="2"/>
      </rPr>
      <t>h/week</t>
    </r>
    <r>
      <rPr>
        <sz val="10"/>
        <rFont val="Audi Type"/>
        <family val="2"/>
      </rPr>
      <t>]</t>
    </r>
  </si>
  <si>
    <t>Process data</t>
  </si>
  <si>
    <r>
      <t>System availability (excluding breaks) [</t>
    </r>
    <r>
      <rPr>
        <i/>
        <sz val="10"/>
        <rFont val="Audi Type"/>
        <family val="2"/>
      </rPr>
      <t>%</t>
    </r>
    <r>
      <rPr>
        <sz val="10"/>
        <rFont val="Audi Type"/>
        <family val="2"/>
      </rPr>
      <t>]</t>
    </r>
  </si>
  <si>
    <t>In total available production time [h/week]</t>
  </si>
  <si>
    <t>Available capacity for OEM [%]</t>
  </si>
  <si>
    <t>Available production time for OEM [h/week]</t>
  </si>
  <si>
    <r>
      <t>Capacity used for other projects [</t>
    </r>
    <r>
      <rPr>
        <i/>
        <sz val="10"/>
        <rFont val="Audi Type"/>
        <family val="2"/>
      </rPr>
      <t>%</t>
    </r>
    <r>
      <rPr>
        <sz val="10"/>
        <rFont val="Audi Type"/>
        <family val="2"/>
      </rPr>
      <t>]</t>
    </r>
  </si>
  <si>
    <t>Production time used for other projects [h/week]</t>
  </si>
  <si>
    <t>Production planning</t>
  </si>
  <si>
    <r>
      <t>Planned cycletime (w/o performance rate) [</t>
    </r>
    <r>
      <rPr>
        <i/>
        <sz val="10"/>
        <rFont val="Audi Type"/>
        <family val="2"/>
      </rPr>
      <t>sec</t>
    </r>
    <r>
      <rPr>
        <sz val="10"/>
        <rFont val="Audi Type"/>
        <family val="2"/>
      </rPr>
      <t>]</t>
    </r>
  </si>
  <si>
    <t>Planned performance rate [%]</t>
  </si>
  <si>
    <t>Planned scrap rate [%]</t>
  </si>
  <si>
    <t>Planned OEE (Overall Equipment Effectiveness) [%]</t>
  </si>
  <si>
    <t>Number of employees</t>
  </si>
  <si>
    <t>Result capacity planning</t>
  </si>
  <si>
    <t>Capacity: parts/shift</t>
  </si>
  <si>
    <t>Capacity: parts/week</t>
  </si>
  <si>
    <t>Capacity: cars/week</t>
  </si>
  <si>
    <t>Deviation to required capacity</t>
  </si>
  <si>
    <t>For nomination required amount of parts</t>
  </si>
  <si>
    <t>For nomination required amount of cars</t>
  </si>
  <si>
    <t>Scrap rate on following process steps</t>
  </si>
  <si>
    <t>For evaluation required capacity:</t>
  </si>
  <si>
    <t>Distribute the available capacity for OEM equally (acording run@rate) on the marked processes:</t>
  </si>
  <si>
    <t>Hours</t>
  </si>
  <si>
    <t>Minutes</t>
  </si>
  <si>
    <r>
      <t xml:space="preserve">Hours </t>
    </r>
    <r>
      <rPr>
        <sz val="10"/>
        <rFont val="Arial"/>
        <family val="2"/>
      </rPr>
      <t xml:space="preserve">↔ </t>
    </r>
    <r>
      <rPr>
        <sz val="10"/>
        <rFont val="Audi Type"/>
        <family val="2"/>
      </rPr>
      <t>Minutes:</t>
    </r>
  </si>
  <si>
    <t>Start [hh:mm]</t>
  </si>
  <si>
    <t>End [hh:mm]</t>
  </si>
  <si>
    <t>Start/End ↔ Minutes:</t>
  </si>
  <si>
    <r>
      <rPr>
        <b/>
        <sz val="8"/>
        <color theme="9"/>
        <rFont val="Audi Type"/>
        <family val="2"/>
      </rPr>
      <t xml:space="preserve">Select following options in QPNi:
</t>
    </r>
    <r>
      <rPr>
        <sz val="8"/>
        <rFont val="Audi Type"/>
        <family val="2"/>
      </rPr>
      <t>"Acceptance w/o non-productive time" &amp; "Calculation flexibility with max. shifts"</t>
    </r>
  </si>
  <si>
    <r>
      <t>Production time [</t>
    </r>
    <r>
      <rPr>
        <i/>
        <sz val="10"/>
        <rFont val="Audi Type"/>
        <family val="2"/>
      </rPr>
      <t>min</t>
    </r>
    <r>
      <rPr>
        <sz val="10"/>
        <rFont val="Audi Type"/>
        <family val="2"/>
      </rPr>
      <t>]</t>
    </r>
  </si>
  <si>
    <r>
      <t>Production time (net, excl. break/interruptions) [</t>
    </r>
    <r>
      <rPr>
        <i/>
        <sz val="10"/>
        <rFont val="Audi Type"/>
        <family val="2"/>
      </rPr>
      <t>min</t>
    </r>
    <r>
      <rPr>
        <sz val="10"/>
        <rFont val="Audi Type"/>
        <family val="2"/>
      </rPr>
      <t>]</t>
    </r>
  </si>
  <si>
    <t>Produced parts</t>
  </si>
  <si>
    <t>ok</t>
  </si>
  <si>
    <t>ok with rework</t>
  </si>
  <si>
    <t>not ok</t>
  </si>
  <si>
    <t>total produced parts</t>
  </si>
  <si>
    <r>
      <t>Scrap [</t>
    </r>
    <r>
      <rPr>
        <i/>
        <sz val="10"/>
        <rFont val="Audi Type"/>
        <family val="2"/>
      </rPr>
      <t>%</t>
    </r>
    <r>
      <rPr>
        <sz val="10"/>
        <rFont val="Audi Type"/>
        <family val="2"/>
      </rPr>
      <t>]</t>
    </r>
  </si>
  <si>
    <t>Availability rate (observed)</t>
  </si>
  <si>
    <t>Performance rate (observed)</t>
  </si>
  <si>
    <t>Quality rate (observed)</t>
  </si>
  <si>
    <t>Cycle time (incl. Performance rate)</t>
  </si>
  <si>
    <t>Result capacity</t>
  </si>
  <si>
    <t>For evaluation required amount of parts</t>
  </si>
  <si>
    <t>For evaluation required amount of vehicles</t>
  </si>
  <si>
    <t>No.</t>
  </si>
  <si>
    <t>Description/comment</t>
  </si>
  <si>
    <t>Action</t>
  </si>
  <si>
    <t>Responsible</t>
  </si>
  <si>
    <t>Date</t>
  </si>
  <si>
    <t>Verification</t>
  </si>
  <si>
    <t>Topic and deviation</t>
  </si>
  <si>
    <t>Precise wording of the action to correct the deviation</t>
  </si>
  <si>
    <t>Contact person at supplier</t>
  </si>
  <si>
    <t>Corrected until</t>
  </si>
  <si>
    <t>Proof of effectiveness (e.g. trainings certificate, working order,…)</t>
  </si>
  <si>
    <t>The supplier analyses the reasons for the deviations and defines countermeasures, immediate measures and corrective actions including responsibilities and planned dates of introduction. This information must be sent back to the assessor within 14 days.</t>
  </si>
  <si>
    <t>System availability [%]</t>
  </si>
  <si>
    <r>
      <t xml:space="preserve">Project volume
</t>
    </r>
    <r>
      <rPr>
        <i/>
        <sz val="8"/>
        <rFont val="Audi Type"/>
        <family val="2"/>
      </rPr>
      <t>(cars/week)</t>
    </r>
  </si>
  <si>
    <r>
      <t>In system availability considered time for breaks per shift [</t>
    </r>
    <r>
      <rPr>
        <i/>
        <sz val="10"/>
        <rFont val="Audi Type"/>
        <family val="2"/>
      </rPr>
      <t>min</t>
    </r>
    <r>
      <rPr>
        <sz val="10"/>
        <rFont val="Audi Type"/>
        <family val="2"/>
      </rPr>
      <t>]</t>
    </r>
  </si>
  <si>
    <t>Capacity Calculation</t>
  </si>
  <si>
    <t>Production process</t>
  </si>
  <si>
    <t>Belgium</t>
  </si>
  <si>
    <t>Germany</t>
  </si>
  <si>
    <t>France</t>
  </si>
  <si>
    <t>United Kingdom</t>
  </si>
  <si>
    <t>Italy</t>
  </si>
  <si>
    <t>Netherlands</t>
  </si>
  <si>
    <t>Austria</t>
  </si>
  <si>
    <t>Poland</t>
  </si>
  <si>
    <t>Romania</t>
  </si>
  <si>
    <t>Spain</t>
  </si>
  <si>
    <t>Czech Republic</t>
  </si>
  <si>
    <t>Hungary</t>
  </si>
  <si>
    <t>Requirement (parts/week)</t>
  </si>
  <si>
    <t>lodged flex.:</t>
  </si>
  <si>
    <t>1 = inkl. Flex, 2 = exkl. Flex</t>
  </si>
  <si>
    <t xml:space="preserve">Min. </t>
  </si>
  <si>
    <t xml:space="preserve">  Standard assessment time</t>
  </si>
  <si>
    <t>Minimum production time</t>
  </si>
  <si>
    <t xml:space="preserve">   Minimum
   quantity</t>
  </si>
  <si>
    <t>Pre-check / SFN1</t>
  </si>
  <si>
    <t>Porcess acceptance / SFN2</t>
  </si>
  <si>
    <t>Performance test / SFN3</t>
  </si>
  <si>
    <t>1 hour</t>
  </si>
  <si>
    <t>4 hours</t>
  </si>
  <si>
    <t>8 hours</t>
  </si>
  <si>
    <t xml:space="preserve">Variant- and setup changes, if any, must be sufficiently taken into account
</t>
  </si>
  <si>
    <t xml:space="preserve">  Nominated volume in 4 hours</t>
  </si>
  <si>
    <t xml:space="preserve">  Nominated volume in 1 hour</t>
  </si>
  <si>
    <t xml:space="preserve">  Nominated volume in 8 hours</t>
  </si>
  <si>
    <t>IST</t>
  </si>
  <si>
    <t>SOLL</t>
  </si>
  <si>
    <t>MUSS</t>
  </si>
  <si>
    <t>OEE</t>
  </si>
  <si>
    <t>etc.</t>
  </si>
  <si>
    <t>Deployment date</t>
  </si>
  <si>
    <t>Change / action</t>
  </si>
  <si>
    <t xml:space="preserve">Selected process: </t>
  </si>
  <si>
    <t>Cycle time
[sec/cycle]</t>
  </si>
  <si>
    <t>Change of
cycle time
[sec/cycle]</t>
  </si>
  <si>
    <t>Availability rate</t>
  </si>
  <si>
    <t>Performance rate</t>
  </si>
  <si>
    <t>Quality rate</t>
  </si>
  <si>
    <t>Available capacity for project [%]</t>
  </si>
  <si>
    <t>Minutes per shift</t>
  </si>
  <si>
    <t>shifts per week</t>
  </si>
  <si>
    <t>Peak production supplier
[pcs/week]</t>
  </si>
  <si>
    <t>Audi demands
[pcs/week]</t>
  </si>
  <si>
    <t>Initial situation</t>
  </si>
  <si>
    <t>1. action: reduction of scrap parts</t>
  </si>
  <si>
    <t>2. action: reduction of cycle time</t>
  </si>
  <si>
    <t>Output quantity
[pcs/week]</t>
  </si>
  <si>
    <t>Nominierung exkl. Flex</t>
  </si>
  <si>
    <t>Nominierung inkl. Flex</t>
  </si>
  <si>
    <t>Notw. Kapa für Prozess, Abnahme</t>
  </si>
  <si>
    <t>Notw. Kapa für Prozess, Plan</t>
  </si>
  <si>
    <t>Bulgaria</t>
  </si>
  <si>
    <t>Macedonia</t>
  </si>
  <si>
    <t>Moldova</t>
  </si>
  <si>
    <t>Serbia</t>
  </si>
  <si>
    <t>Slovakia</t>
  </si>
  <si>
    <t>Slovenia</t>
  </si>
  <si>
    <t>Turkey</t>
  </si>
  <si>
    <t>Albania</t>
  </si>
  <si>
    <t>Algeria</t>
  </si>
  <si>
    <t>Antigua and Barbuda</t>
  </si>
  <si>
    <t>Argentina</t>
  </si>
  <si>
    <t>Armenia</t>
  </si>
  <si>
    <t>Australia</t>
  </si>
  <si>
    <t>Azerbaijan</t>
  </si>
  <si>
    <t>Bahamas</t>
  </si>
  <si>
    <t>Belarus</t>
  </si>
  <si>
    <t>Bolivia</t>
  </si>
  <si>
    <t>Bosnia and Herzegovina</t>
  </si>
  <si>
    <t>Botswana</t>
  </si>
  <si>
    <t>Brazil</t>
  </si>
  <si>
    <t>Burkina Faso</t>
  </si>
  <si>
    <t>Burma</t>
  </si>
  <si>
    <t>Cambodia</t>
  </si>
  <si>
    <t>Cameroon</t>
  </si>
  <si>
    <t>Cape Verde</t>
  </si>
  <si>
    <t>Centralafrican Republic</t>
  </si>
  <si>
    <t>Chad</t>
  </si>
  <si>
    <t>Colombia</t>
  </si>
  <si>
    <t>Comoros</t>
  </si>
  <si>
    <t>Congo</t>
  </si>
  <si>
    <t>Congo, Democratic Republic</t>
  </si>
  <si>
    <t>Croatia</t>
  </si>
  <si>
    <t>Cuba</t>
  </si>
  <si>
    <t>Cyprus</t>
  </si>
  <si>
    <t>Denmark</t>
  </si>
  <si>
    <t>Djibouti</t>
  </si>
  <si>
    <t>Dominica</t>
  </si>
  <si>
    <t>Dominican Republic</t>
  </si>
  <si>
    <t>Egypt</t>
  </si>
  <si>
    <t>Equatorial Guinea</t>
  </si>
  <si>
    <t>Estonia</t>
  </si>
  <si>
    <t>Ethiopia</t>
  </si>
  <si>
    <t>Fiji</t>
  </si>
  <si>
    <t>Finland</t>
  </si>
  <si>
    <t>French Guyana</t>
  </si>
  <si>
    <t>Gabon</t>
  </si>
  <si>
    <t>Georgia</t>
  </si>
  <si>
    <t>Greece</t>
  </si>
  <si>
    <t>Guinea-Bissau</t>
  </si>
  <si>
    <t>Iceland</t>
  </si>
  <si>
    <t>India</t>
  </si>
  <si>
    <t>Indonesia</t>
  </si>
  <si>
    <t>Iraq</t>
  </si>
  <si>
    <t>Ireland</t>
  </si>
  <si>
    <t>Ivory Coast</t>
  </si>
  <si>
    <t>Jamaica</t>
  </si>
  <si>
    <t>Jordan</t>
  </si>
  <si>
    <t>Kazakhstan</t>
  </si>
  <si>
    <t>Kenya</t>
  </si>
  <si>
    <t>Kuweit</t>
  </si>
  <si>
    <t>Kyrgyzstan</t>
  </si>
  <si>
    <t>Lao, People´s Democatic Republic</t>
  </si>
  <si>
    <t>Latvia</t>
  </si>
  <si>
    <t>Lebanon</t>
  </si>
  <si>
    <t>Libya</t>
  </si>
  <si>
    <t>Lithuania</t>
  </si>
  <si>
    <t>Luxembourg</t>
  </si>
  <si>
    <t>Madagascar</t>
  </si>
  <si>
    <t>Maledives</t>
  </si>
  <si>
    <t>Marshall Islands</t>
  </si>
  <si>
    <t>Mauritania</t>
  </si>
  <si>
    <t>Micronesia</t>
  </si>
  <si>
    <t>Mongolia</t>
  </si>
  <si>
    <t>Morocco</t>
  </si>
  <si>
    <t>Mozambique</t>
  </si>
  <si>
    <t>Myanmar</t>
  </si>
  <si>
    <t>New Zealand</t>
  </si>
  <si>
    <t>North Korea</t>
  </si>
  <si>
    <t>North Macedonia</t>
  </si>
  <si>
    <t>Norway</t>
  </si>
  <si>
    <t>Palestine</t>
  </si>
  <si>
    <t>Papua New Guinea</t>
  </si>
  <si>
    <t>Philippines</t>
  </si>
  <si>
    <t>Russia</t>
  </si>
  <si>
    <t>Rwanda</t>
  </si>
  <si>
    <t>Saint Vincent and Grenadines</t>
  </si>
  <si>
    <t>Sao Tome and Principe</t>
  </si>
  <si>
    <t>Saudi Arabia</t>
  </si>
  <si>
    <t>Seychelles</t>
  </si>
  <si>
    <t>Singapore</t>
  </si>
  <si>
    <t>Solomon Islands</t>
  </si>
  <si>
    <t>South Africa</t>
  </si>
  <si>
    <t>South Korea</t>
  </si>
  <si>
    <t>South Sudan</t>
  </si>
  <si>
    <t>Suriname</t>
  </si>
  <si>
    <t>Swaziland</t>
  </si>
  <si>
    <t>Sweden</t>
  </si>
  <si>
    <t>Switzerland</t>
  </si>
  <si>
    <t>Syria</t>
  </si>
  <si>
    <t>Tajikistan</t>
  </si>
  <si>
    <t>Tanzania</t>
  </si>
  <si>
    <t>Timor-Leste</t>
  </si>
  <si>
    <t>Trinidad and Tobago</t>
  </si>
  <si>
    <t>Tunesia</t>
  </si>
  <si>
    <t>United Arab Emirates</t>
  </si>
  <si>
    <t>USA</t>
  </si>
  <si>
    <t>Uzbekistan</t>
  </si>
  <si>
    <t>Vatican</t>
  </si>
  <si>
    <t>Viet Nam</t>
  </si>
  <si>
    <t>Yemen</t>
  </si>
  <si>
    <t>Zambia</t>
  </si>
  <si>
    <t>Tilo Schwaderer, N/BS-4</t>
  </si>
  <si>
    <t>Verified capacity:
(Pre-Check max. "yellow"!)</t>
  </si>
  <si>
    <t>* filename + storage path max. 256 characters</t>
  </si>
  <si>
    <t>For saving or printing please choose one of the following PDF export options *:</t>
  </si>
  <si>
    <t>AU 316x</t>
  </si>
  <si>
    <t>AU 316/2</t>
  </si>
  <si>
    <t>AU 316/4</t>
  </si>
  <si>
    <t>AU651 PA</t>
  </si>
  <si>
    <t>AU651 PA NWB</t>
  </si>
  <si>
    <t>AU651 PA LWB</t>
  </si>
  <si>
    <t>AU651 PA XL</t>
  </si>
  <si>
    <t>AU51x PA</t>
  </si>
  <si>
    <t>AU516 PA</t>
  </si>
  <si>
    <t>AU513 PA</t>
  </si>
  <si>
    <t>AU536/3 PA</t>
  </si>
  <si>
    <t>AU536/0 PA</t>
  </si>
  <si>
    <t>PPE41 Q6-etr + Macan</t>
  </si>
  <si>
    <t>Macan</t>
  </si>
  <si>
    <t>AU 416/2 alle</t>
  </si>
  <si>
    <t>AU 416/2 Q6 e-tron</t>
  </si>
  <si>
    <t>AU 416/2 Q6 e-tr RS</t>
  </si>
  <si>
    <t>AU 416/3 Q6 e-tr SB</t>
  </si>
  <si>
    <t>AU 416/3 Q6 e SB RS</t>
  </si>
  <si>
    <t>AU 38x PA alle</t>
  </si>
  <si>
    <t>AU 38x PA Sportback</t>
  </si>
  <si>
    <t>AU 38x PA PHEV</t>
  </si>
  <si>
    <t>AU 38x PA Allstreet</t>
  </si>
  <si>
    <t>AU 38x PA Limo</t>
  </si>
  <si>
    <t>AU 38x PA RS SB</t>
  </si>
  <si>
    <t>AU 38x PA RS Limo</t>
  </si>
  <si>
    <t>MLB58(W) B10+C9</t>
  </si>
  <si>
    <t>AU 40x B10</t>
  </si>
  <si>
    <t>AU 401 B10 Limo</t>
  </si>
  <si>
    <t>AU 401 B10 RS Limo</t>
  </si>
  <si>
    <t>AU 402 B10 Avant</t>
  </si>
  <si>
    <t>AU 402 B10 RS Avant</t>
  </si>
  <si>
    <t>PPE41A - AU513/x</t>
  </si>
  <si>
    <t>AU513/4</t>
  </si>
  <si>
    <t>AU513/4 RS</t>
  </si>
  <si>
    <t>AU512/4</t>
  </si>
  <si>
    <t>AU512/4 RS</t>
  </si>
  <si>
    <t>AU 436 / MLB42a(W)</t>
  </si>
  <si>
    <t>AU436/0</t>
  </si>
  <si>
    <t>AU436/1</t>
  </si>
  <si>
    <t>AU513/2 PA</t>
  </si>
  <si>
    <t>AU336+SE336</t>
  </si>
  <si>
    <t>AU336/x</t>
  </si>
  <si>
    <t>AU336/0</t>
  </si>
  <si>
    <t>AU336/1</t>
  </si>
  <si>
    <t>SE336/0</t>
  </si>
  <si>
    <t>AU 59x C9</t>
  </si>
  <si>
    <t>AU 591 C9 Limo</t>
  </si>
  <si>
    <t>AU 591 C9 RS Limo</t>
  </si>
  <si>
    <t>AU 592 C9 Avant</t>
  </si>
  <si>
    <t>AU 592 C9 RS Avant</t>
  </si>
  <si>
    <t>AU 592/4 C9 Allroad</t>
  </si>
  <si>
    <t>PPE China</t>
  </si>
  <si>
    <t>AU416/2 Q6 e-tron China</t>
  </si>
  <si>
    <t>AU416/3 Q6 e-tron China</t>
  </si>
  <si>
    <t>AU511/4 A6 e-tron China</t>
  </si>
  <si>
    <t>MLB53a(W) Q7NF+Q9</t>
  </si>
  <si>
    <t>AU546 Q7NF  inkl. RS</t>
  </si>
  <si>
    <t>AU546 Q7 RS</t>
  </si>
  <si>
    <t>AU616 Q9 inkl. RS</t>
  </si>
  <si>
    <t>AU616 Q9 RS</t>
  </si>
  <si>
    <t>AU316/x</t>
  </si>
  <si>
    <t>AU316/2</t>
  </si>
  <si>
    <t>AU316/4</t>
  </si>
  <si>
    <t>SSP51H</t>
  </si>
  <si>
    <t>AU526/1</t>
  </si>
  <si>
    <t>AU526/1 BR</t>
  </si>
  <si>
    <t>AU310/6</t>
  </si>
  <si>
    <t>Bentley D-LUV</t>
  </si>
  <si>
    <t>Bentley D-SUV</t>
  </si>
  <si>
    <t>PPE41H</t>
  </si>
  <si>
    <t>Audi Landjet</t>
  </si>
  <si>
    <t>Sonstiges</t>
  </si>
  <si>
    <t>Process 2</t>
  </si>
  <si>
    <t>Process 3</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</si>
  <si>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</si>
  <si>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</si>
  <si>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</si>
  <si>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</si>
  <si>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</si>
  <si>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</si>
  <si>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</si>
  <si>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</si>
  <si>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</si>
  <si>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</si>
  <si>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</si>
  <si>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</si>
  <si>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</si>
  <si>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</si>
  <si>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</si>
  <si>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</si>
  <si>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</si>
  <si>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phoneticPr fontId="76" type="noConversion"/>
  </si>
  <si>
    <t>Capacity planning</t>
    <phoneticPr fontId="76" type="noConversion"/>
  </si>
  <si>
    <t>Part Number:</t>
    <phoneticPr fontId="76" type="noConversion"/>
  </si>
  <si>
    <t>Parts description:</t>
    <phoneticPr fontId="76" type="noConversion"/>
  </si>
  <si>
    <t>Shifts/week (Nominated)</t>
    <phoneticPr fontId="76" type="noConversion"/>
  </si>
  <si>
    <t>Nominated capacity for OEM:</t>
    <phoneticPr fontId="76" type="noConversion"/>
  </si>
  <si>
    <t>Please Select…</t>
    <phoneticPr fontId="76" type="noConversion"/>
  </si>
  <si>
    <t>Available capacity for project [%]</t>
    <phoneticPr fontId="76" type="noConversion"/>
  </si>
  <si>
    <t>Planned breaks included in production time [min]</t>
  </si>
  <si>
    <t>Planned interruptions (set up time etc.)</t>
  </si>
  <si>
    <t>Not planned interruptions (downtime)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</si>
</sst>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176" formatCode="_-* #,##0.00\ _€_-;\-* #,##0.00\ _€_-;_-* &quot;-&quot;??\ _€_-;_-@_-"/>
    <numFmt numFmtId="177" formatCode="0\ &quot;Teile/Woche&quot;"/>
    <numFmt numFmtId="178" formatCode="#"/>
    <numFmt numFmtId="179" formatCode="_-* #,##0\ _€_-;\-* #,##0\ _€_-;_-* &quot;-&quot;??\ _€_-;_-@_-"/>
    <numFmt numFmtId="180" formatCode="0\ &quot;Schichten/Woche&quot;"/>
    <numFmt numFmtId="181" formatCode="#,##0\ &quot;Stk/Woche&quot;"/>
    <numFmt numFmtId="182" formatCode="0\ &quot;min&quot;"/>
    <numFmt numFmtId="183" formatCode="0.00\ &quot;h&quot;"/>
    <numFmt numFmtId="184" formatCode="#,##0\ &quot;min&quot;"/>
    <numFmt numFmtId="185" formatCode="#,##0.00\ &quot;h&quot;"/>
    <numFmt numFmtId="186" formatCode="0\ &quot;Werkzeug(e)&quot;"/>
    <numFmt numFmtId="187" formatCode="[$-F400]h:mm:ss\ AM/PM"/>
    <numFmt numFmtId="188" formatCode="h:mm;@"/>
    <numFmt numFmtId="189" formatCode="#,##0.00\ &quot;h/Woche&quot;"/>
    <numFmt numFmtId="190" formatCode="0.0%"/>
    <numFmt numFmtId="191" formatCode="0.0\ &quot;sec&quot;"/>
    <numFmt numFmtId="192" formatCode="[$-409]mmmm\ d\,\ yyyy;@"/>
    <numFmt numFmtId="193" formatCode="0\ &quot;Shifts/week&quot;"/>
    <numFmt numFmtId="194" formatCode="0\ &quot;parts/car&quot;"/>
    <numFmt numFmtId="195" formatCode="#,##0\ &quot;parts/week&quot;"/>
    <numFmt numFmtId="196" formatCode="0\ &quot;tool(s)&quot;"/>
    <numFmt numFmtId="197" formatCode="0\ &quot;cavity(s)&quot;"/>
    <numFmt numFmtId="198" formatCode="0.0\ &quot;shift(s)&quot;"/>
    <numFmt numFmtId="199" formatCode="0.00\ &quot;h/week&quot;"/>
    <numFmt numFmtId="200" formatCode="0\ &quot;pers.&quot;"/>
    <numFmt numFmtId="201" formatCode="#,##0\ &quot;parts/shift&quot;"/>
    <numFmt numFmtId="202" formatCode="#,##0\ &quot;cars/week&quot;"/>
    <numFmt numFmtId="203" formatCode="#,##0\ &quot;parts&quot;"/>
    <numFmt numFmtId="204" formatCode="#,##0.0\ &quot;sec&quot;"/>
    <numFmt numFmtId="205" formatCode="#,##0\ &quot;pcs/week&quot;"/>
    <numFmt numFmtId="206" formatCode="#,##0\ &quot;shifts/week&quot;"/>
    <numFmt numFmtId="207" formatCode="#,##0\ &quot;min/shift&quot;"/>
    <numFmt numFmtId="208" formatCode="#,##0\ &quot;cav&quot;"/>
    <numFmt numFmtId="209" formatCode="#,##0\ &quot;tools&quot;"/>
    <numFmt numFmtId="210" formatCode="mm/dd/yy;@"/>
  </numFmts>
  <fonts count="80">
    <font>
      <sz val="11"/>
      <color theme="1"/>
      <name val="Arial"/>
      <family val="2"/>
      <scheme val="minor"/>
    </font>
    <font>
      <sz val="11"/>
      <color theme="1"/>
      <name val="Audi Type"/>
      <family val="2"/>
    </font>
    <font>
      <sz val="11"/>
      <color theme="1"/>
      <name val="Arial"/>
      <family val="2"/>
      <scheme val="minor"/>
    </font>
    <font>
      <sz val="10"/>
      <color theme="1"/>
      <name val="Audi Type"/>
      <family val="2"/>
    </font>
    <font>
      <b/>
      <sz val="10"/>
      <color theme="1"/>
      <name val="Audi Type"/>
      <family val="2"/>
    </font>
    <font>
      <b/>
      <sz val="11"/>
      <color theme="1"/>
      <name val="Audi Type"/>
      <family val="2"/>
    </font>
    <font>
      <b/>
      <sz val="14"/>
      <color theme="1"/>
      <name val="Audi Type"/>
      <family val="2"/>
    </font>
    <font>
      <b/>
      <sz val="16"/>
      <color theme="1"/>
      <name val="Audi Type"/>
      <family val="2"/>
    </font>
    <font>
      <sz val="10"/>
      <name val="Arial"/>
      <family val="2"/>
    </font>
    <font>
      <sz val="10"/>
      <name val="Audi Type"/>
      <family val="2"/>
    </font>
    <font>
      <b/>
      <sz val="10"/>
      <name val="Audi Type"/>
      <family val="2"/>
    </font>
    <font>
      <sz val="11"/>
      <color theme="1"/>
      <name val="Audi Type"/>
      <family val="2"/>
    </font>
    <font>
      <sz val="10"/>
      <color theme="0"/>
      <name val="Audi Type"/>
      <family val="2"/>
    </font>
    <font>
      <sz val="6"/>
      <color theme="1"/>
      <name val="Audi Type"/>
      <family val="2"/>
    </font>
    <font>
      <sz val="6"/>
      <color theme="0"/>
      <name val="Audi Type"/>
      <family val="2"/>
    </font>
    <font>
      <sz val="16"/>
      <color theme="1"/>
      <name val="Audi Type"/>
      <family val="2"/>
    </font>
    <font>
      <sz val="20"/>
      <color theme="1"/>
      <name val="Audi Type"/>
      <family val="2"/>
    </font>
    <font>
      <b/>
      <sz val="28"/>
      <color theme="1"/>
      <name val="Audi Type"/>
      <family val="2"/>
    </font>
    <font>
      <sz val="2"/>
      <color theme="1"/>
      <name val="Audi Type"/>
      <family val="2"/>
    </font>
    <font>
      <sz val="2"/>
      <color theme="0"/>
      <name val="Audi Type"/>
      <family val="2"/>
    </font>
    <font>
      <b/>
      <sz val="11"/>
      <color theme="0"/>
      <name val="Audi Type"/>
      <family val="2"/>
    </font>
    <font>
      <sz val="28"/>
      <color theme="1"/>
      <name val="Audi Type"/>
      <family val="2"/>
    </font>
    <font>
      <b/>
      <sz val="12"/>
      <color theme="1"/>
      <name val="Audi Type"/>
      <family val="2"/>
    </font>
    <font>
      <b/>
      <sz val="6"/>
      <color theme="1"/>
      <name val="Audi Type"/>
      <family val="2"/>
    </font>
    <font>
      <b/>
      <sz val="11"/>
      <color rgb="FFFF0000"/>
      <name val="Audi Type"/>
      <family val="2"/>
    </font>
    <font>
      <sz val="14"/>
      <color theme="1"/>
      <name val="Audi Type"/>
      <family val="2"/>
    </font>
    <font>
      <sz val="8"/>
      <color theme="1"/>
      <name val="Audi Type"/>
      <family val="2"/>
    </font>
    <font>
      <b/>
      <sz val="20"/>
      <color theme="1"/>
      <name val="Audi Type"/>
      <family val="2"/>
    </font>
    <font>
      <b/>
      <sz val="6"/>
      <color theme="0"/>
      <name val="Audi Type"/>
      <family val="2"/>
    </font>
    <font>
      <sz val="16"/>
      <color theme="0"/>
      <name val="Audi Type"/>
      <family val="2"/>
    </font>
    <font>
      <sz val="9"/>
      <color indexed="81"/>
      <name val="Tahoma"/>
      <family val="2"/>
    </font>
    <font>
      <b/>
      <sz val="9"/>
      <color indexed="81"/>
      <name val="Tahoma"/>
      <family val="2"/>
    </font>
    <font>
      <b/>
      <sz val="16"/>
      <name val="Audi Type"/>
      <family val="2"/>
    </font>
    <font>
      <b/>
      <sz val="14"/>
      <name val="Audi Type"/>
      <family val="2"/>
    </font>
    <font>
      <sz val="20"/>
      <name val="Audi Type"/>
      <family val="2"/>
    </font>
    <font>
      <sz val="6"/>
      <name val="Audi Type"/>
      <family val="2"/>
    </font>
    <font>
      <sz val="11"/>
      <name val="Audi Type"/>
      <family val="2"/>
    </font>
    <font>
      <sz val="28"/>
      <name val="Audi Type"/>
      <family val="2"/>
    </font>
    <font>
      <sz val="14"/>
      <name val="Audi Type"/>
      <family val="2"/>
    </font>
    <font>
      <u/>
      <sz val="10"/>
      <name val="Audi Type"/>
      <family val="2"/>
    </font>
    <font>
      <b/>
      <sz val="11"/>
      <name val="Audi Type"/>
      <family val="2"/>
    </font>
    <font>
      <i/>
      <sz val="10"/>
      <name val="Audi Type"/>
      <family val="2"/>
    </font>
    <font>
      <i/>
      <sz val="10"/>
      <color theme="1"/>
      <name val="Audi Type"/>
      <family val="2"/>
    </font>
    <font>
      <sz val="8"/>
      <color rgb="FF000000"/>
      <name val="Tahoma"/>
      <family val="2"/>
    </font>
    <font>
      <sz val="1"/>
      <color theme="0"/>
      <name val="Audi Type"/>
      <family val="2"/>
    </font>
    <font>
      <sz val="10"/>
      <color rgb="FFFF0000"/>
      <name val="Audi Type"/>
      <family val="2"/>
    </font>
    <font>
      <sz val="6"/>
      <color rgb="FFFF0000"/>
      <name val="Audi Type"/>
      <family val="2"/>
    </font>
    <font>
      <sz val="20"/>
      <color rgb="FFFF0000"/>
      <name val="Audi Type"/>
      <family val="2"/>
    </font>
    <font>
      <sz val="18"/>
      <color rgb="FFFF0000"/>
      <name val="Audi Type"/>
      <family val="2"/>
    </font>
    <font>
      <sz val="14"/>
      <color rgb="FFFF0000"/>
      <name val="Audi Type"/>
      <family val="2"/>
    </font>
    <font>
      <i/>
      <sz val="8"/>
      <name val="Audi Type"/>
      <family val="2"/>
    </font>
    <font>
      <sz val="8"/>
      <name val="Audi Type"/>
      <family val="2"/>
    </font>
    <font>
      <b/>
      <sz val="8"/>
      <name val="Audi Type"/>
      <family val="2"/>
    </font>
    <font>
      <sz val="24"/>
      <name val="Audi Type"/>
      <family val="2"/>
    </font>
    <font>
      <sz val="18"/>
      <name val="Audi Type"/>
      <family val="2"/>
    </font>
    <font>
      <sz val="11"/>
      <color rgb="FF000000"/>
      <name val="Arial"/>
      <family val="2"/>
    </font>
    <font>
      <sz val="36"/>
      <color theme="1"/>
      <name val="Audi Type"/>
      <family val="2"/>
    </font>
    <font>
      <sz val="30"/>
      <color theme="1"/>
      <name val="Audi Type"/>
      <family val="2"/>
    </font>
    <font>
      <sz val="22"/>
      <name val="Audi Type"/>
      <family val="2"/>
    </font>
    <font>
      <b/>
      <sz val="8"/>
      <color theme="9"/>
      <name val="Audi Type"/>
      <family val="2"/>
    </font>
    <font>
      <sz val="9"/>
      <color indexed="81"/>
      <name val="Segoe UI"/>
      <family val="2"/>
    </font>
    <font>
      <sz val="9"/>
      <color theme="1"/>
      <name val="Audi Type"/>
      <family val="2"/>
    </font>
    <font>
      <b/>
      <sz val="9"/>
      <color theme="1"/>
      <name val="Audi Type"/>
      <family val="2"/>
    </font>
    <font>
      <sz val="9"/>
      <color theme="0"/>
      <name val="Audi Type"/>
      <family val="2"/>
    </font>
    <font>
      <sz val="3"/>
      <color theme="1"/>
      <name val="Audi Type"/>
      <family val="2"/>
    </font>
    <font>
      <sz val="3"/>
      <color theme="0"/>
      <name val="Audi Type"/>
      <family val="2"/>
    </font>
    <font>
      <b/>
      <sz val="8"/>
      <color rgb="FFC00000"/>
      <name val="Audi Type"/>
      <family val="2"/>
    </font>
    <font>
      <b/>
      <sz val="8"/>
      <name val="Calibri"/>
      <family val="2"/>
    </font>
    <font>
      <b/>
      <sz val="26"/>
      <color theme="0"/>
      <name val="Audi Type"/>
      <family val="2"/>
    </font>
    <font>
      <b/>
      <sz val="11"/>
      <color theme="1"/>
      <name val="Arial"/>
      <family val="2"/>
      <scheme val="minor"/>
    </font>
    <font>
      <b/>
      <sz val="9"/>
      <color indexed="81"/>
      <name val="Segoe UI"/>
      <family val="2"/>
    </font>
    <font>
      <b/>
      <sz val="11"/>
      <color theme="0"/>
      <name val="Arial"/>
      <family val="2"/>
      <scheme val="minor"/>
    </font>
    <font>
      <sz val="6"/>
      <color theme="1"/>
      <name val="Arial"/>
      <family val="2"/>
      <scheme val="minor"/>
    </font>
    <font>
      <sz val="10"/>
      <color rgb="FF0070C0"/>
      <name val="Audi Type"/>
      <family val="2"/>
    </font>
    <font>
      <sz val="40"/>
      <color theme="1"/>
      <name val="Audi Type"/>
      <family val="2"/>
    </font>
    <font>
      <sz val="12"/>
      <color theme="0"/>
      <name val="Audi Type"/>
      <family val="2"/>
    </font>
    <font>
      <sz val="9"/>
      <name val="Arial"/>
      <family val="3"/>
      <charset val="134"/>
      <scheme val="minor"/>
    </font>
    <font>
      <sz val="10"/>
      <name val="Audi Type"/>
      <family val="2"/>
      <charset val="134"/>
    </font>
    <font>
      <sz val="9"/>
      <color rgb="FF000000"/>
      <name val="Segoe UI"/>
      <family val="2"/>
      <charset val="1"/>
    </font>
    <font>
      <sz val="9"/>
      <color rgb="FF000000"/>
      <name val="Tahoma"/>
      <family val="2"/>
    </font>
  </fonts>
  <fills count="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8" tint="0.79998168889431442"/>
        <bgColor indexed="64"/>
      </patternFill>
    </fill>
    <fill>
      <patternFill patternType="solid">
        <fgColor theme="2"/>
        <bgColor indexed="64"/>
      </patternFill>
    </fill>
    <fill>
      <patternFill patternType="solid">
        <fgColor theme="4"/>
        <bgColor indexed="64"/>
      </patternFill>
    </fill>
    <fill>
      <patternFill patternType="solid">
        <fgColor theme="9" tint="0.79998168889431442"/>
        <bgColor indexed="64"/>
      </patternFill>
    </fill>
    <fill>
      <patternFill patternType="solid">
        <fgColor theme="2" tint="0.79998168889431442"/>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right/>
      <top style="medium">
        <color indexed="64"/>
      </top>
      <bottom style="medium">
        <color indexed="64"/>
      </bottom>
      <diagonal/>
    </border>
    <border>
      <left/>
      <right/>
      <top style="thin">
        <color indexed="64"/>
      </top>
      <bottom/>
      <diagonal/>
    </border>
    <border>
      <left/>
      <right style="hair">
        <color auto="1"/>
      </right>
      <top/>
      <bottom style="hair">
        <color auto="1"/>
      </bottom>
      <diagonal/>
    </border>
    <border>
      <left/>
      <right style="hair">
        <color auto="1"/>
      </right>
      <top style="hair">
        <color auto="1"/>
      </top>
      <bottom style="hair">
        <color auto="1"/>
      </bottom>
      <diagonal/>
    </border>
    <border>
      <left/>
      <right style="hair">
        <color auto="1"/>
      </right>
      <top style="hair">
        <color auto="1"/>
      </top>
      <bottom/>
      <diagonal/>
    </border>
    <border>
      <left/>
      <right/>
      <top style="medium">
        <color indexed="64"/>
      </top>
      <bottom style="hair">
        <color indexed="64"/>
      </bottom>
      <diagonal/>
    </border>
    <border>
      <left style="medium">
        <color indexed="64"/>
      </left>
      <right/>
      <top/>
      <bottom style="medium">
        <color theme="0"/>
      </bottom>
      <diagonal/>
    </border>
    <border>
      <left/>
      <right/>
      <top/>
      <bottom style="medium">
        <color theme="0"/>
      </bottom>
      <diagonal/>
    </border>
    <border>
      <left/>
      <right style="medium">
        <color indexed="64"/>
      </right>
      <top/>
      <bottom style="medium">
        <color theme="0"/>
      </bottom>
      <diagonal/>
    </border>
    <border>
      <left/>
      <right/>
      <top style="thin">
        <color indexed="64"/>
      </top>
      <bottom style="thin">
        <color indexed="64"/>
      </bottom>
      <diagonal/>
    </border>
    <border>
      <left style="medium">
        <color indexed="64"/>
      </left>
      <right style="medium">
        <color indexed="64"/>
      </right>
      <top/>
      <bottom/>
      <diagonal/>
    </border>
    <border>
      <left style="hair">
        <color auto="1"/>
      </left>
      <right/>
      <top/>
      <bottom/>
      <diagonal/>
    </border>
    <border>
      <left style="hair">
        <color auto="1"/>
      </left>
      <right/>
      <top/>
      <bottom style="hair">
        <color auto="1"/>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thin">
        <color indexed="64"/>
      </left>
      <right/>
      <top/>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right style="thin">
        <color auto="1"/>
      </right>
      <top style="hair">
        <color indexed="64"/>
      </top>
      <bottom style="hair">
        <color indexed="64"/>
      </bottom>
      <diagonal/>
    </border>
    <border>
      <left/>
      <right style="thin">
        <color auto="1"/>
      </right>
      <top style="hair">
        <color indexed="64"/>
      </top>
      <bottom/>
      <diagonal/>
    </border>
    <border>
      <left/>
      <right style="thin">
        <color indexed="64"/>
      </right>
      <top/>
      <bottom style="thin">
        <color indexed="64"/>
      </bottom>
      <diagonal/>
    </border>
    <border>
      <left/>
      <right style="hair">
        <color auto="1"/>
      </right>
      <top/>
      <bottom/>
      <diagonal/>
    </border>
    <border>
      <left style="hair">
        <color auto="1"/>
      </left>
      <right style="hair">
        <color auto="1"/>
      </right>
      <top/>
      <bottom/>
      <diagonal/>
    </border>
    <border>
      <left style="hair">
        <color auto="1"/>
      </left>
      <right style="hair">
        <color auto="1"/>
      </right>
      <top/>
      <bottom style="hair">
        <color auto="1"/>
      </bottom>
      <diagonal/>
    </border>
    <border>
      <left/>
      <right/>
      <top style="hair">
        <color auto="1"/>
      </top>
      <bottom style="medium">
        <color indexed="64"/>
      </bottom>
      <diagonal/>
    </border>
    <border>
      <left style="medium">
        <color indexed="64"/>
      </left>
      <right style="hair">
        <color indexed="64"/>
      </right>
      <top/>
      <bottom style="medium">
        <color indexed="64"/>
      </bottom>
      <diagonal/>
    </border>
    <border>
      <left style="medium">
        <color indexed="64"/>
      </left>
      <right style="hair">
        <color indexed="64"/>
      </right>
      <top style="medium">
        <color indexed="64"/>
      </top>
      <bottom style="hair">
        <color indexed="64"/>
      </bottom>
      <diagonal/>
    </border>
    <border>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style="hair">
        <color indexed="64"/>
      </right>
      <top/>
      <bottom style="medium">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bottom style="medium">
        <color indexed="64"/>
      </bottom>
      <diagonal/>
    </border>
    <border>
      <left style="thin">
        <color indexed="64"/>
      </left>
      <right/>
      <top/>
      <bottom style="thin">
        <color indexed="64"/>
      </bottom>
      <diagonal/>
    </border>
    <border>
      <left style="thin">
        <color indexed="64"/>
      </left>
      <right/>
      <top/>
      <bottom style="hair">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medium">
        <color indexed="64"/>
      </top>
      <bottom style="medium">
        <color indexed="64"/>
      </bottom>
      <diagonal/>
    </border>
    <border>
      <left/>
      <right style="thin">
        <color auto="1"/>
      </right>
      <top style="thin">
        <color indexed="64"/>
      </top>
      <bottom style="hair">
        <color indexed="64"/>
      </bottom>
      <diagonal/>
    </border>
    <border>
      <left style="hair">
        <color indexed="64"/>
      </left>
      <right/>
      <top/>
      <bottom style="medium">
        <color indexed="64"/>
      </bottom>
      <diagonal/>
    </border>
    <border>
      <left style="hair">
        <color theme="0" tint="-0.34998626667073579"/>
      </left>
      <right style="hair">
        <color auto="1"/>
      </right>
      <top/>
      <bottom style="hair">
        <color auto="1"/>
      </bottom>
      <diagonal/>
    </border>
    <border>
      <left style="hair">
        <color theme="0" tint="-0.34998626667073579"/>
      </left>
      <right style="hair">
        <color auto="1"/>
      </right>
      <top style="hair">
        <color auto="1"/>
      </top>
      <bottom style="hair">
        <color auto="1"/>
      </bottom>
      <diagonal/>
    </border>
    <border>
      <left style="hair">
        <color theme="0" tint="-0.34998626667073579"/>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auto="1"/>
      </top>
      <bottom style="hair">
        <color auto="1"/>
      </bottom>
      <diagonal/>
    </border>
    <border>
      <left style="thin">
        <color indexed="64"/>
      </left>
      <right style="thin">
        <color indexed="64"/>
      </right>
      <top style="hair">
        <color auto="1"/>
      </top>
      <bottom/>
      <diagonal/>
    </border>
    <border>
      <left/>
      <right/>
      <top style="medium">
        <color indexed="64"/>
      </top>
      <bottom style="thin">
        <color indexed="64"/>
      </bottom>
      <diagonal/>
    </border>
    <border>
      <left style="medium">
        <color indexed="64"/>
      </left>
      <right style="thin">
        <color indexed="64"/>
      </right>
      <top/>
      <bottom/>
      <diagonal/>
    </border>
    <border>
      <left style="hair">
        <color indexed="64"/>
      </left>
      <right style="hair">
        <color indexed="64"/>
      </right>
      <top style="hair">
        <color indexed="64"/>
      </top>
      <bottom style="medium">
        <color indexed="64"/>
      </bottom>
      <diagonal/>
    </border>
    <border>
      <left/>
      <right style="hair">
        <color indexed="64"/>
      </right>
      <top style="thin">
        <color indexed="64"/>
      </top>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n">
        <color indexed="64"/>
      </left>
      <right style="thin">
        <color indexed="64"/>
      </right>
      <top/>
      <bottom style="thin">
        <color indexed="64"/>
      </bottom>
      <diagonal/>
    </border>
    <border>
      <left style="thick">
        <color indexed="64"/>
      </left>
      <right style="thick">
        <color indexed="64"/>
      </right>
      <top/>
      <bottom style="thin">
        <color indexed="64"/>
      </bottom>
      <diagonal/>
    </border>
    <border>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style="thick">
        <color indexed="64"/>
      </left>
      <right style="thin">
        <color indexed="64"/>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style="thick">
        <color indexed="64"/>
      </left>
      <right style="thick">
        <color indexed="64"/>
      </right>
      <top style="thin">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thick">
        <color indexed="64"/>
      </left>
      <right style="thin">
        <color indexed="64"/>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ck">
        <color indexed="64"/>
      </left>
      <right style="thick">
        <color indexed="64"/>
      </right>
      <top style="dotted">
        <color indexed="64"/>
      </top>
      <bottom style="dotted">
        <color indexed="64"/>
      </bottom>
      <diagonal/>
    </border>
    <border>
      <left/>
      <right style="thin">
        <color indexed="64"/>
      </right>
      <top style="dotted">
        <color indexed="64"/>
      </top>
      <bottom/>
      <diagonal/>
    </border>
    <border>
      <left style="thin">
        <color indexed="64"/>
      </left>
      <right/>
      <top style="dotted">
        <color indexed="64"/>
      </top>
      <bottom/>
      <diagonal/>
    </border>
    <border>
      <left style="thick">
        <color indexed="64"/>
      </left>
      <right style="thin">
        <color indexed="64"/>
      </right>
      <top style="dotted">
        <color indexed="64"/>
      </top>
      <bottom/>
      <diagonal/>
    </border>
    <border>
      <left style="thin">
        <color indexed="64"/>
      </left>
      <right style="thick">
        <color indexed="64"/>
      </right>
      <top style="dotted">
        <color indexed="64"/>
      </top>
      <bottom/>
      <diagonal/>
    </border>
    <border>
      <left style="thin">
        <color indexed="64"/>
      </left>
      <right style="thin">
        <color indexed="64"/>
      </right>
      <top style="dotted">
        <color indexed="64"/>
      </top>
      <bottom/>
      <diagonal/>
    </border>
    <border>
      <left style="thick">
        <color indexed="64"/>
      </left>
      <right style="thick">
        <color indexed="64"/>
      </right>
      <top style="dotted">
        <color indexed="64"/>
      </top>
      <bottom/>
      <diagonal/>
    </border>
  </borders>
  <cellStyleXfs count="4">
    <xf numFmtId="0" fontId="0" fillId="0" borderId="0"/>
    <xf numFmtId="9" fontId="2" fillId="0" borderId="0" applyFont="0" applyFill="0" applyBorder="0" applyAlignment="0" applyProtection="0"/>
    <xf numFmtId="0" fontId="8" fillId="0" borderId="0"/>
    <xf numFmtId="176" fontId="2" fillId="0" borderId="0" applyFont="0" applyFill="0" applyBorder="0" applyAlignment="0" applyProtection="0"/>
  </cellStyleXfs>
  <cellXfs count="596">
    <xf numFmtId="0" fontId="0" fillId="0" borderId="0" xfId="0"/>
    <xf numFmtId="0" fontId="3" fillId="0" borderId="0" xfId="0" applyFont="1"/>
    <xf numFmtId="0" fontId="3" fillId="3" borderId="0" xfId="0" applyFont="1" applyFill="1"/>
    <xf numFmtId="0" fontId="3" fillId="3" borderId="4" xfId="0" applyFont="1" applyFill="1" applyBorder="1"/>
    <xf numFmtId="0" fontId="6" fillId="3" borderId="5"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3" fillId="3" borderId="9" xfId="0" applyFont="1" applyFill="1" applyBorder="1"/>
    <xf numFmtId="0" fontId="6" fillId="3" borderId="0" xfId="0" applyFont="1" applyFill="1"/>
    <xf numFmtId="49" fontId="10" fillId="0" borderId="0" xfId="2" applyNumberFormat="1" applyFont="1" applyProtection="1">
      <protection hidden="1"/>
    </xf>
    <xf numFmtId="49" fontId="9" fillId="0" borderId="0" xfId="2" applyNumberFormat="1" applyFont="1" applyProtection="1">
      <protection hidden="1"/>
    </xf>
    <xf numFmtId="49" fontId="9" fillId="0" borderId="0" xfId="2" applyNumberFormat="1" applyFont="1" applyAlignment="1">
      <alignment wrapText="1"/>
    </xf>
    <xf numFmtId="0" fontId="3" fillId="3" borderId="0" xfId="0" applyFont="1" applyFill="1" applyAlignment="1">
      <alignment horizontal="left" vertical="center"/>
    </xf>
    <xf numFmtId="0" fontId="3" fillId="3" borderId="0" xfId="0" applyFont="1" applyFill="1" applyAlignment="1">
      <alignment vertical="top"/>
    </xf>
    <xf numFmtId="0" fontId="3" fillId="3" borderId="0" xfId="0" applyFont="1" applyFill="1" applyAlignment="1">
      <alignment vertical="center"/>
    </xf>
    <xf numFmtId="0" fontId="3" fillId="3" borderId="0" xfId="0" applyFont="1" applyFill="1" applyAlignment="1">
      <alignment vertical="top" wrapText="1"/>
    </xf>
    <xf numFmtId="49" fontId="12" fillId="3" borderId="0" xfId="0" applyNumberFormat="1" applyFont="1" applyFill="1"/>
    <xf numFmtId="49" fontId="12" fillId="3" borderId="0" xfId="0" applyNumberFormat="1" applyFont="1" applyFill="1" applyAlignment="1">
      <alignment wrapText="1"/>
    </xf>
    <xf numFmtId="0" fontId="7" fillId="3" borderId="0" xfId="0" applyFont="1" applyFill="1" applyAlignment="1">
      <alignment horizontal="center" vertical="center"/>
    </xf>
    <xf numFmtId="0" fontId="3" fillId="2" borderId="1" xfId="0" applyFont="1" applyFill="1" applyBorder="1" applyAlignment="1" applyProtection="1">
      <alignment horizontal="left" vertical="center"/>
      <protection locked="0"/>
    </xf>
    <xf numFmtId="0" fontId="13" fillId="3" borderId="7" xfId="0" applyFont="1" applyFill="1" applyBorder="1"/>
    <xf numFmtId="0" fontId="13" fillId="3" borderId="0" xfId="0" applyFont="1" applyFill="1"/>
    <xf numFmtId="0" fontId="13" fillId="3" borderId="8" xfId="0" applyFont="1" applyFill="1" applyBorder="1"/>
    <xf numFmtId="49" fontId="14" fillId="3" borderId="0" xfId="0" applyNumberFormat="1" applyFont="1" applyFill="1"/>
    <xf numFmtId="0" fontId="13" fillId="3" borderId="0" xfId="0" applyFont="1" applyFill="1" applyAlignment="1">
      <alignment vertical="top"/>
    </xf>
    <xf numFmtId="0" fontId="13" fillId="3" borderId="0" xfId="0" applyFont="1" applyFill="1" applyAlignment="1">
      <alignment horizontal="left" vertical="center"/>
    </xf>
    <xf numFmtId="49" fontId="14" fillId="3" borderId="0" xfId="0" applyNumberFormat="1" applyFont="1" applyFill="1" applyAlignment="1">
      <alignment wrapText="1"/>
    </xf>
    <xf numFmtId="0" fontId="13" fillId="3" borderId="9" xfId="0" applyFont="1" applyFill="1" applyBorder="1"/>
    <xf numFmtId="0" fontId="13" fillId="3" borderId="10" xfId="0" applyFont="1" applyFill="1" applyBorder="1"/>
    <xf numFmtId="0" fontId="13" fillId="3" borderId="10" xfId="0" applyFont="1" applyFill="1" applyBorder="1" applyAlignment="1">
      <alignment horizontal="left" vertical="center"/>
    </xf>
    <xf numFmtId="0" fontId="13" fillId="3" borderId="11" xfId="0" applyFont="1" applyFill="1" applyBorder="1"/>
    <xf numFmtId="0" fontId="13" fillId="3" borderId="0" xfId="0" applyFont="1" applyFill="1" applyAlignment="1">
      <alignment vertical="center"/>
    </xf>
    <xf numFmtId="0" fontId="16" fillId="3" borderId="5" xfId="0" applyFont="1" applyFill="1" applyBorder="1"/>
    <xf numFmtId="0" fontId="16" fillId="3" borderId="0" xfId="0" applyFont="1" applyFill="1" applyAlignment="1">
      <alignment horizontal="left" vertical="center"/>
    </xf>
    <xf numFmtId="0" fontId="17" fillId="3" borderId="0" xfId="0" applyFont="1" applyFill="1" applyAlignment="1">
      <alignment horizontal="center" vertical="center"/>
    </xf>
    <xf numFmtId="0" fontId="15" fillId="3" borderId="8" xfId="0" applyFont="1" applyFill="1" applyBorder="1"/>
    <xf numFmtId="0" fontId="16" fillId="3" borderId="8" xfId="0" applyFont="1" applyFill="1" applyBorder="1"/>
    <xf numFmtId="0" fontId="4" fillId="3" borderId="0" xfId="0" applyFont="1" applyFill="1" applyAlignment="1">
      <alignment vertical="top"/>
    </xf>
    <xf numFmtId="0" fontId="18" fillId="3" borderId="7" xfId="0" applyFont="1" applyFill="1" applyBorder="1"/>
    <xf numFmtId="0" fontId="18" fillId="3" borderId="8" xfId="0" applyFont="1" applyFill="1" applyBorder="1"/>
    <xf numFmtId="0" fontId="18" fillId="3" borderId="0" xfId="0" applyFont="1" applyFill="1"/>
    <xf numFmtId="49" fontId="19" fillId="3" borderId="0" xfId="0" applyNumberFormat="1" applyFont="1" applyFill="1"/>
    <xf numFmtId="0" fontId="21" fillId="3" borderId="0" xfId="0" applyFont="1" applyFill="1"/>
    <xf numFmtId="0" fontId="3" fillId="3" borderId="0" xfId="0" applyFont="1" applyFill="1" applyAlignment="1">
      <alignment wrapText="1"/>
    </xf>
    <xf numFmtId="0" fontId="13" fillId="3" borderId="4" xfId="0" applyFont="1" applyFill="1" applyBorder="1"/>
    <xf numFmtId="0" fontId="13" fillId="3" borderId="5" xfId="0" applyFont="1" applyFill="1" applyBorder="1"/>
    <xf numFmtId="0" fontId="13" fillId="3" borderId="6" xfId="0" applyFont="1" applyFill="1" applyBorder="1"/>
    <xf numFmtId="0" fontId="13" fillId="3" borderId="10" xfId="0" applyFont="1" applyFill="1" applyBorder="1" applyAlignment="1">
      <alignment horizontal="left" vertical="top"/>
    </xf>
    <xf numFmtId="0" fontId="16" fillId="3" borderId="6" xfId="0" applyFont="1" applyFill="1" applyBorder="1"/>
    <xf numFmtId="0" fontId="4" fillId="0" borderId="0" xfId="0" applyFont="1"/>
    <xf numFmtId="0" fontId="3" fillId="3" borderId="10" xfId="0" applyFont="1" applyFill="1" applyBorder="1"/>
    <xf numFmtId="0" fontId="11" fillId="3" borderId="0" xfId="0" applyFont="1" applyFill="1"/>
    <xf numFmtId="0" fontId="11" fillId="3" borderId="4" xfId="0" applyFont="1" applyFill="1" applyBorder="1"/>
    <xf numFmtId="0" fontId="11" fillId="3" borderId="7" xfId="0" applyFont="1" applyFill="1" applyBorder="1"/>
    <xf numFmtId="0" fontId="11" fillId="3" borderId="8" xfId="0" applyFont="1" applyFill="1" applyBorder="1"/>
    <xf numFmtId="0" fontId="11" fillId="3" borderId="16" xfId="0" applyFont="1" applyFill="1" applyBorder="1" applyAlignment="1">
      <alignment vertical="top"/>
    </xf>
    <xf numFmtId="14" fontId="13" fillId="3" borderId="5" xfId="0" applyNumberFormat="1" applyFont="1" applyFill="1" applyBorder="1"/>
    <xf numFmtId="14" fontId="13" fillId="3" borderId="5" xfId="0" applyNumberFormat="1" applyFont="1" applyFill="1" applyBorder="1" applyAlignment="1">
      <alignment horizontal="left"/>
    </xf>
    <xf numFmtId="0" fontId="11" fillId="3" borderId="23" xfId="0" applyFont="1" applyFill="1" applyBorder="1" applyAlignment="1">
      <alignment vertical="top"/>
    </xf>
    <xf numFmtId="49" fontId="11" fillId="3" borderId="16" xfId="0" applyNumberFormat="1" applyFont="1" applyFill="1" applyBorder="1" applyAlignment="1">
      <alignment vertical="top"/>
    </xf>
    <xf numFmtId="0" fontId="3" fillId="5" borderId="0" xfId="0" applyFont="1" applyFill="1"/>
    <xf numFmtId="0" fontId="12" fillId="6" borderId="7" xfId="0" applyFont="1" applyFill="1" applyBorder="1"/>
    <xf numFmtId="0" fontId="12" fillId="6" borderId="8" xfId="0" applyFont="1" applyFill="1" applyBorder="1"/>
    <xf numFmtId="0" fontId="14" fillId="6" borderId="7" xfId="0" applyFont="1" applyFill="1" applyBorder="1"/>
    <xf numFmtId="0" fontId="14" fillId="6" borderId="8" xfId="0" applyFont="1" applyFill="1" applyBorder="1"/>
    <xf numFmtId="0" fontId="25" fillId="3" borderId="8" xfId="0" applyFont="1" applyFill="1" applyBorder="1"/>
    <xf numFmtId="9" fontId="3" fillId="0" borderId="0" xfId="0" applyNumberFormat="1" applyFont="1" applyAlignment="1">
      <alignment horizontal="left"/>
    </xf>
    <xf numFmtId="0" fontId="27" fillId="3" borderId="0" xfId="0" applyFont="1" applyFill="1" applyAlignment="1">
      <alignment horizontal="center" vertical="center"/>
    </xf>
    <xf numFmtId="0" fontId="4" fillId="3" borderId="0" xfId="0" applyFont="1" applyFill="1" applyAlignment="1">
      <alignment horizontal="center" vertical="center"/>
    </xf>
    <xf numFmtId="0" fontId="23" fillId="3" borderId="0" xfId="0" applyFont="1" applyFill="1" applyAlignment="1">
      <alignment horizontal="center" vertical="center"/>
    </xf>
    <xf numFmtId="0" fontId="23" fillId="3" borderId="7" xfId="0" applyFont="1" applyFill="1" applyBorder="1" applyAlignment="1">
      <alignment horizontal="center" vertical="center"/>
    </xf>
    <xf numFmtId="0" fontId="23" fillId="3" borderId="8"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3" fillId="3" borderId="27" xfId="0" applyFont="1" applyFill="1" applyBorder="1" applyAlignment="1">
      <alignment vertical="top"/>
    </xf>
    <xf numFmtId="0" fontId="3" fillId="3" borderId="27" xfId="0" applyFont="1" applyFill="1" applyBorder="1"/>
    <xf numFmtId="0" fontId="3" fillId="3" borderId="27" xfId="0" applyFont="1" applyFill="1" applyBorder="1" applyAlignment="1">
      <alignment horizontal="left" vertical="center"/>
    </xf>
    <xf numFmtId="0" fontId="13" fillId="3" borderId="0" xfId="0" applyFont="1" applyFill="1" applyAlignment="1" applyProtection="1">
      <alignment horizontal="left" vertical="center" wrapText="1"/>
      <protection locked="0"/>
    </xf>
    <xf numFmtId="0" fontId="3" fillId="3" borderId="0" xfId="0" applyFont="1" applyFill="1" applyAlignment="1">
      <alignment vertical="center" wrapText="1"/>
    </xf>
    <xf numFmtId="10" fontId="28" fillId="3" borderId="0" xfId="1" applyNumberFormat="1" applyFont="1" applyFill="1" applyBorder="1" applyAlignment="1">
      <alignment horizontal="center" vertical="center"/>
    </xf>
    <xf numFmtId="1" fontId="20" fillId="3" borderId="1" xfId="0" applyNumberFormat="1" applyFont="1" applyFill="1" applyBorder="1" applyAlignment="1">
      <alignment horizontal="center" vertical="center" wrapText="1"/>
    </xf>
    <xf numFmtId="0" fontId="4" fillId="0" borderId="0" xfId="0" applyFont="1" applyAlignment="1">
      <alignment horizontal="left"/>
    </xf>
    <xf numFmtId="0" fontId="29" fillId="3" borderId="8" xfId="0" applyFont="1" applyFill="1" applyBorder="1"/>
    <xf numFmtId="0" fontId="4" fillId="3" borderId="0" xfId="0" applyFont="1" applyFill="1" applyAlignment="1">
      <alignment vertical="center"/>
    </xf>
    <xf numFmtId="179" fontId="13" fillId="3" borderId="0" xfId="3" applyNumberFormat="1" applyFont="1" applyFill="1" applyBorder="1" applyAlignment="1">
      <alignment horizontal="center"/>
    </xf>
    <xf numFmtId="0" fontId="5" fillId="3" borderId="0" xfId="0" applyFont="1" applyFill="1" applyAlignment="1">
      <alignment horizontal="right" vertical="center"/>
    </xf>
    <xf numFmtId="179" fontId="5" fillId="3" borderId="1" xfId="3" applyNumberFormat="1" applyFont="1" applyFill="1" applyBorder="1" applyAlignment="1">
      <alignment horizontal="center" vertical="center"/>
    </xf>
    <xf numFmtId="0" fontId="26" fillId="0" borderId="0" xfId="0" applyFont="1" applyAlignment="1">
      <alignment horizontal="center" vertical="center"/>
    </xf>
    <xf numFmtId="0" fontId="26" fillId="0" borderId="0" xfId="0" applyFont="1" applyAlignment="1">
      <alignment horizontal="center"/>
    </xf>
    <xf numFmtId="0" fontId="9" fillId="3" borderId="0" xfId="0" applyFont="1" applyFill="1"/>
    <xf numFmtId="0" fontId="9" fillId="3" borderId="4" xfId="0" applyFont="1" applyFill="1" applyBorder="1"/>
    <xf numFmtId="0" fontId="33" fillId="3" borderId="5" xfId="0" applyFont="1" applyFill="1" applyBorder="1"/>
    <xf numFmtId="0" fontId="9" fillId="3" borderId="5" xfId="0" applyFont="1" applyFill="1" applyBorder="1"/>
    <xf numFmtId="0" fontId="34" fillId="3" borderId="5" xfId="0" applyFont="1" applyFill="1" applyBorder="1"/>
    <xf numFmtId="0" fontId="9" fillId="3" borderId="6" xfId="0" applyFont="1" applyFill="1" applyBorder="1"/>
    <xf numFmtId="0" fontId="35" fillId="3" borderId="7" xfId="0" applyFont="1" applyFill="1" applyBorder="1"/>
    <xf numFmtId="0" fontId="35" fillId="3" borderId="0" xfId="0" applyFont="1" applyFill="1"/>
    <xf numFmtId="0" fontId="35" fillId="3" borderId="8" xfId="0" applyFont="1" applyFill="1" applyBorder="1"/>
    <xf numFmtId="0" fontId="9" fillId="3" borderId="7" xfId="0" applyFont="1" applyFill="1" applyBorder="1"/>
    <xf numFmtId="0" fontId="36" fillId="3" borderId="8" xfId="0" applyFont="1" applyFill="1" applyBorder="1"/>
    <xf numFmtId="0" fontId="37" fillId="3" borderId="0" xfId="0" applyFont="1" applyFill="1"/>
    <xf numFmtId="0" fontId="9" fillId="3" borderId="15" xfId="0" applyFont="1" applyFill="1" applyBorder="1" applyAlignment="1">
      <alignment vertical="center"/>
    </xf>
    <xf numFmtId="0" fontId="9" fillId="3" borderId="16" xfId="0" applyFont="1" applyFill="1" applyBorder="1" applyAlignment="1">
      <alignment vertical="center"/>
    </xf>
    <xf numFmtId="0" fontId="3" fillId="3" borderId="16" xfId="0" applyFont="1" applyFill="1" applyBorder="1" applyAlignment="1">
      <alignment vertical="center"/>
    </xf>
    <xf numFmtId="0" fontId="9" fillId="3" borderId="0" xfId="0" applyFont="1" applyFill="1" applyAlignment="1">
      <alignment vertical="center"/>
    </xf>
    <xf numFmtId="0" fontId="9" fillId="3" borderId="8" xfId="0" applyFont="1" applyFill="1" applyBorder="1"/>
    <xf numFmtId="0" fontId="35" fillId="3" borderId="0" xfId="0" applyFont="1" applyFill="1" applyAlignment="1">
      <alignment vertical="center"/>
    </xf>
    <xf numFmtId="0" fontId="9" fillId="3" borderId="43" xfId="0" applyFont="1" applyFill="1" applyBorder="1" applyAlignment="1">
      <alignment vertical="center"/>
    </xf>
    <xf numFmtId="0" fontId="35" fillId="3" borderId="43" xfId="0" applyFont="1" applyFill="1" applyBorder="1" applyAlignment="1">
      <alignment vertical="center"/>
    </xf>
    <xf numFmtId="0" fontId="9" fillId="3" borderId="20" xfId="0" applyFont="1" applyFill="1" applyBorder="1" applyAlignment="1">
      <alignment vertical="center"/>
    </xf>
    <xf numFmtId="0" fontId="9" fillId="3" borderId="21" xfId="0" applyFont="1" applyFill="1" applyBorder="1" applyAlignment="1">
      <alignment vertical="center"/>
    </xf>
    <xf numFmtId="0" fontId="9" fillId="3" borderId="22" xfId="0" applyFont="1" applyFill="1" applyBorder="1" applyAlignment="1">
      <alignment vertical="center"/>
    </xf>
    <xf numFmtId="0" fontId="39" fillId="3" borderId="21" xfId="0" applyFont="1" applyFill="1" applyBorder="1" applyAlignment="1">
      <alignment vertical="center"/>
    </xf>
    <xf numFmtId="0" fontId="9" fillId="3" borderId="44" xfId="0" applyFont="1" applyFill="1" applyBorder="1" applyAlignment="1">
      <alignment vertical="center"/>
    </xf>
    <xf numFmtId="0" fontId="9" fillId="3" borderId="29" xfId="0" applyFont="1" applyFill="1" applyBorder="1" applyAlignment="1">
      <alignment vertical="center"/>
    </xf>
    <xf numFmtId="0" fontId="9" fillId="3" borderId="21" xfId="0" applyFont="1" applyFill="1" applyBorder="1" applyAlignment="1">
      <alignment horizontal="left" vertical="center" indent="3"/>
    </xf>
    <xf numFmtId="0" fontId="38" fillId="3" borderId="8" xfId="0" applyFont="1" applyFill="1" applyBorder="1"/>
    <xf numFmtId="0" fontId="12" fillId="3" borderId="7" xfId="0" applyFont="1" applyFill="1" applyBorder="1"/>
    <xf numFmtId="0" fontId="14" fillId="3" borderId="0" xfId="0" applyFont="1" applyFill="1"/>
    <xf numFmtId="0" fontId="12" fillId="3" borderId="0" xfId="0" applyFont="1" applyFill="1"/>
    <xf numFmtId="0" fontId="3" fillId="2" borderId="40" xfId="0" applyFont="1" applyFill="1" applyBorder="1" applyAlignment="1" applyProtection="1">
      <alignment vertical="center"/>
      <protection locked="0"/>
    </xf>
    <xf numFmtId="0" fontId="3" fillId="2" borderId="41" xfId="0" applyFont="1" applyFill="1" applyBorder="1" applyAlignment="1" applyProtection="1">
      <alignment vertical="center"/>
      <protection locked="0"/>
    </xf>
    <xf numFmtId="0" fontId="38" fillId="3" borderId="8" xfId="0" applyFont="1" applyFill="1" applyBorder="1" applyAlignment="1">
      <alignment vertical="top"/>
    </xf>
    <xf numFmtId="0" fontId="40" fillId="3" borderId="43" xfId="0" applyFont="1" applyFill="1" applyBorder="1" applyAlignment="1">
      <alignment vertical="top"/>
    </xf>
    <xf numFmtId="0" fontId="40" fillId="3" borderId="0" xfId="0" applyFont="1" applyFill="1" applyAlignment="1">
      <alignment vertical="top"/>
    </xf>
    <xf numFmtId="0" fontId="35" fillId="3" borderId="9" xfId="0" applyFont="1" applyFill="1" applyBorder="1"/>
    <xf numFmtId="0" fontId="35" fillId="3" borderId="10" xfId="0" applyFont="1" applyFill="1" applyBorder="1"/>
    <xf numFmtId="0" fontId="35" fillId="3" borderId="11" xfId="0" applyFont="1" applyFill="1" applyBorder="1"/>
    <xf numFmtId="0" fontId="3" fillId="3" borderId="17" xfId="0" applyFont="1" applyFill="1" applyBorder="1" applyAlignment="1">
      <alignment vertical="top"/>
    </xf>
    <xf numFmtId="181" fontId="9" fillId="3" borderId="0" xfId="3" applyNumberFormat="1" applyFont="1" applyFill="1" applyBorder="1" applyAlignment="1">
      <alignment horizontal="left" vertical="top"/>
    </xf>
    <xf numFmtId="0" fontId="35" fillId="3" borderId="44" xfId="0" applyFont="1" applyFill="1" applyBorder="1" applyAlignment="1">
      <alignment horizontal="right" vertical="center"/>
    </xf>
    <xf numFmtId="0" fontId="35" fillId="3" borderId="29" xfId="0" applyFont="1" applyFill="1" applyBorder="1" applyAlignment="1">
      <alignment horizontal="right" vertical="center"/>
    </xf>
    <xf numFmtId="0" fontId="9" fillId="3" borderId="44" xfId="0" applyFont="1" applyFill="1" applyBorder="1" applyAlignment="1">
      <alignment horizontal="right" vertical="center"/>
    </xf>
    <xf numFmtId="0" fontId="9" fillId="3" borderId="29" xfId="0" applyFont="1" applyFill="1" applyBorder="1" applyAlignment="1">
      <alignment horizontal="right" vertical="center"/>
    </xf>
    <xf numFmtId="182" fontId="9" fillId="2" borderId="35" xfId="0" applyNumberFormat="1" applyFont="1" applyFill="1" applyBorder="1" applyAlignment="1" applyProtection="1">
      <alignment horizontal="right" vertical="center"/>
      <protection locked="0"/>
    </xf>
    <xf numFmtId="182" fontId="9" fillId="2" borderId="38" xfId="0" applyNumberFormat="1" applyFont="1" applyFill="1" applyBorder="1" applyAlignment="1" applyProtection="1">
      <alignment horizontal="right" vertical="center"/>
      <protection locked="0"/>
    </xf>
    <xf numFmtId="183" fontId="9" fillId="3" borderId="35" xfId="0" applyNumberFormat="1" applyFont="1" applyFill="1" applyBorder="1" applyAlignment="1">
      <alignment horizontal="right" vertical="center"/>
    </xf>
    <xf numFmtId="183" fontId="9" fillId="3" borderId="38" xfId="0" applyNumberFormat="1" applyFont="1" applyFill="1" applyBorder="1" applyAlignment="1">
      <alignment horizontal="right" vertical="center"/>
    </xf>
    <xf numFmtId="10" fontId="9" fillId="2" borderId="45" xfId="1" applyNumberFormat="1" applyFont="1" applyFill="1" applyBorder="1" applyAlignment="1" applyProtection="1">
      <alignment horizontal="right" vertical="center"/>
      <protection locked="0"/>
    </xf>
    <xf numFmtId="182" fontId="9" fillId="2" borderId="45" xfId="0" applyNumberFormat="1" applyFont="1" applyFill="1" applyBorder="1" applyAlignment="1" applyProtection="1">
      <alignment horizontal="right" vertical="center"/>
      <protection locked="0"/>
    </xf>
    <xf numFmtId="0" fontId="9" fillId="3" borderId="35" xfId="0" applyFont="1" applyFill="1" applyBorder="1" applyAlignment="1">
      <alignment horizontal="right" vertical="center"/>
    </xf>
    <xf numFmtId="10" fontId="9" fillId="3" borderId="35" xfId="1" applyNumberFormat="1" applyFont="1" applyFill="1" applyBorder="1" applyAlignment="1">
      <alignment horizontal="right" vertical="center"/>
    </xf>
    <xf numFmtId="10" fontId="9" fillId="3" borderId="36" xfId="1" applyNumberFormat="1" applyFont="1" applyFill="1" applyBorder="1" applyAlignment="1">
      <alignment horizontal="right" vertical="center"/>
    </xf>
    <xf numFmtId="10" fontId="9" fillId="3" borderId="39" xfId="1" applyNumberFormat="1" applyFont="1" applyFill="1" applyBorder="1" applyAlignment="1">
      <alignment horizontal="right" vertical="center"/>
    </xf>
    <xf numFmtId="0" fontId="35" fillId="3" borderId="0" xfId="0" applyFont="1" applyFill="1" applyAlignment="1">
      <alignment horizontal="right" vertical="center"/>
    </xf>
    <xf numFmtId="2" fontId="9" fillId="3" borderId="0" xfId="0" applyNumberFormat="1" applyFont="1" applyFill="1"/>
    <xf numFmtId="181" fontId="9" fillId="3" borderId="8" xfId="3" applyNumberFormat="1" applyFont="1" applyFill="1" applyBorder="1" applyAlignment="1">
      <alignment horizontal="left" vertical="top"/>
    </xf>
    <xf numFmtId="188" fontId="9" fillId="7" borderId="10" xfId="0" applyNumberFormat="1" applyFont="1" applyFill="1" applyBorder="1" applyAlignment="1" applyProtection="1">
      <alignment horizontal="center" vertical="center"/>
      <protection locked="0"/>
    </xf>
    <xf numFmtId="184" fontId="9" fillId="7" borderId="11" xfId="0" applyNumberFormat="1" applyFont="1" applyFill="1" applyBorder="1" applyAlignment="1" applyProtection="1">
      <alignment horizontal="center" vertical="center"/>
      <protection locked="0"/>
    </xf>
    <xf numFmtId="185" fontId="9" fillId="7" borderId="10" xfId="0" applyNumberFormat="1" applyFont="1" applyFill="1" applyBorder="1" applyAlignment="1" applyProtection="1">
      <alignment horizontal="center" vertical="center"/>
      <protection locked="0"/>
    </xf>
    <xf numFmtId="187" fontId="13" fillId="3" borderId="10" xfId="0" applyNumberFormat="1" applyFont="1" applyFill="1" applyBorder="1" applyAlignment="1">
      <alignment vertical="center"/>
    </xf>
    <xf numFmtId="177" fontId="9" fillId="7" borderId="48" xfId="0" applyNumberFormat="1" applyFont="1" applyFill="1" applyBorder="1" applyAlignment="1">
      <alignment horizontal="left" vertical="center" wrapText="1"/>
    </xf>
    <xf numFmtId="185" fontId="10" fillId="7" borderId="23" xfId="0" applyNumberFormat="1" applyFont="1" applyFill="1" applyBorder="1" applyAlignment="1">
      <alignment horizontal="center" vertical="center"/>
    </xf>
    <xf numFmtId="184" fontId="10" fillId="7" borderId="23" xfId="0" applyNumberFormat="1" applyFont="1" applyFill="1" applyBorder="1" applyAlignment="1">
      <alignment horizontal="center" vertical="center"/>
    </xf>
    <xf numFmtId="184" fontId="10" fillId="7" borderId="49" xfId="0" applyNumberFormat="1" applyFont="1" applyFill="1" applyBorder="1" applyAlignment="1">
      <alignment horizontal="center" vertical="center"/>
    </xf>
    <xf numFmtId="177" fontId="9" fillId="7" borderId="47" xfId="0" applyNumberFormat="1" applyFont="1" applyFill="1" applyBorder="1" applyAlignment="1">
      <alignment horizontal="left" vertical="center" wrapText="1"/>
    </xf>
    <xf numFmtId="181" fontId="10" fillId="7" borderId="48" xfId="3" applyNumberFormat="1" applyFont="1" applyFill="1" applyBorder="1" applyAlignment="1" applyProtection="1">
      <alignment vertical="center"/>
    </xf>
    <xf numFmtId="0" fontId="9" fillId="3" borderId="46" xfId="0" applyFont="1" applyFill="1" applyBorder="1"/>
    <xf numFmtId="181" fontId="9" fillId="3" borderId="17" xfId="3" applyNumberFormat="1" applyFont="1" applyFill="1" applyBorder="1" applyAlignment="1" applyProtection="1">
      <alignment vertical="center"/>
    </xf>
    <xf numFmtId="181" fontId="9" fillId="3" borderId="0" xfId="3" applyNumberFormat="1" applyFont="1" applyFill="1" applyBorder="1" applyAlignment="1" applyProtection="1">
      <alignment horizontal="center"/>
    </xf>
    <xf numFmtId="184" fontId="9" fillId="3" borderId="10" xfId="0" applyNumberFormat="1" applyFont="1" applyFill="1" applyBorder="1" applyAlignment="1">
      <alignment horizontal="center" vertical="center"/>
    </xf>
    <xf numFmtId="177" fontId="35" fillId="3" borderId="10" xfId="0" applyNumberFormat="1" applyFont="1" applyFill="1" applyBorder="1" applyAlignment="1">
      <alignment horizontal="left" vertical="center"/>
    </xf>
    <xf numFmtId="0" fontId="12" fillId="3" borderId="0" xfId="0" applyFont="1" applyFill="1" applyAlignment="1">
      <alignment wrapText="1"/>
    </xf>
    <xf numFmtId="9" fontId="3" fillId="2" borderId="35" xfId="1" applyFont="1" applyFill="1" applyBorder="1" applyAlignment="1" applyProtection="1">
      <alignment horizontal="right" vertical="center"/>
      <protection locked="0"/>
    </xf>
    <xf numFmtId="9" fontId="3" fillId="2" borderId="36" xfId="1" applyFont="1" applyFill="1" applyBorder="1" applyAlignment="1" applyProtection="1">
      <alignment horizontal="right" vertical="center"/>
      <protection locked="0"/>
    </xf>
    <xf numFmtId="0" fontId="9" fillId="2" borderId="20" xfId="0" applyFont="1" applyFill="1" applyBorder="1" applyAlignment="1">
      <alignment vertical="top"/>
    </xf>
    <xf numFmtId="0" fontId="9" fillId="2" borderId="21" xfId="0" applyFont="1" applyFill="1" applyBorder="1" applyAlignment="1">
      <alignment vertical="top"/>
    </xf>
    <xf numFmtId="0" fontId="9" fillId="2" borderId="22" xfId="0" applyFont="1" applyFill="1" applyBorder="1" applyAlignment="1">
      <alignment vertical="top"/>
    </xf>
    <xf numFmtId="0" fontId="9" fillId="2" borderId="20" xfId="0" applyFont="1" applyFill="1" applyBorder="1" applyAlignment="1">
      <alignment vertical="center"/>
    </xf>
    <xf numFmtId="0" fontId="9" fillId="2" borderId="21" xfId="0" applyFont="1" applyFill="1" applyBorder="1" applyAlignment="1">
      <alignment vertical="center"/>
    </xf>
    <xf numFmtId="0" fontId="9" fillId="2" borderId="21" xfId="0" applyFont="1" applyFill="1" applyBorder="1" applyAlignment="1">
      <alignment horizontal="left" vertical="center" indent="3"/>
    </xf>
    <xf numFmtId="189" fontId="35" fillId="3" borderId="44" xfId="1" applyNumberFormat="1" applyFont="1" applyFill="1" applyBorder="1" applyAlignment="1" applyProtection="1">
      <alignment horizontal="right" vertical="center"/>
    </xf>
    <xf numFmtId="189" fontId="35" fillId="3" borderId="29" xfId="1" applyNumberFormat="1" applyFont="1" applyFill="1" applyBorder="1" applyAlignment="1" applyProtection="1">
      <alignment horizontal="right" vertical="center"/>
    </xf>
    <xf numFmtId="10" fontId="9" fillId="3" borderId="35" xfId="1" applyNumberFormat="1" applyFont="1" applyFill="1" applyBorder="1" applyAlignment="1" applyProtection="1">
      <alignment horizontal="right" vertical="center"/>
    </xf>
    <xf numFmtId="0" fontId="9" fillId="2" borderId="21" xfId="0" applyFont="1" applyFill="1" applyBorder="1" applyAlignment="1">
      <alignment vertical="center" wrapText="1"/>
    </xf>
    <xf numFmtId="10" fontId="9" fillId="3" borderId="45" xfId="1" applyNumberFormat="1" applyFont="1" applyFill="1" applyBorder="1" applyAlignment="1" applyProtection="1">
      <alignment horizontal="right" vertical="center"/>
    </xf>
    <xf numFmtId="182" fontId="9" fillId="2" borderId="45" xfId="1" applyNumberFormat="1" applyFont="1" applyFill="1" applyBorder="1" applyAlignment="1" applyProtection="1">
      <alignment horizontal="right" vertical="center"/>
      <protection locked="0"/>
    </xf>
    <xf numFmtId="9" fontId="9" fillId="2" borderId="45" xfId="1" applyFont="1" applyFill="1" applyBorder="1" applyAlignment="1" applyProtection="1">
      <alignment horizontal="right" vertical="center"/>
      <protection locked="0"/>
    </xf>
    <xf numFmtId="0" fontId="9" fillId="2" borderId="20" xfId="0" applyFont="1" applyFill="1" applyBorder="1" applyAlignment="1">
      <alignment vertical="center" wrapText="1"/>
    </xf>
    <xf numFmtId="0" fontId="3" fillId="0" borderId="0" xfId="0" applyFont="1" applyAlignment="1">
      <alignment horizontal="left"/>
    </xf>
    <xf numFmtId="0" fontId="42" fillId="0" borderId="0" xfId="0" applyFont="1"/>
    <xf numFmtId="0" fontId="12" fillId="3" borderId="4" xfId="0" applyFont="1" applyFill="1" applyBorder="1"/>
    <xf numFmtId="10" fontId="9" fillId="3" borderId="38" xfId="1" applyNumberFormat="1" applyFont="1" applyFill="1" applyBorder="1" applyAlignment="1" applyProtection="1">
      <alignment horizontal="right" vertical="center"/>
    </xf>
    <xf numFmtId="182" fontId="9" fillId="2" borderId="30" xfId="0" applyNumberFormat="1" applyFont="1" applyFill="1" applyBorder="1" applyAlignment="1" applyProtection="1">
      <alignment horizontal="right" vertical="center"/>
      <protection locked="0"/>
    </xf>
    <xf numFmtId="0" fontId="9" fillId="3" borderId="38" xfId="0" applyFont="1" applyFill="1" applyBorder="1" applyAlignment="1">
      <alignment horizontal="right" vertical="center"/>
    </xf>
    <xf numFmtId="0" fontId="5" fillId="0" borderId="0" xfId="0" applyFont="1"/>
    <xf numFmtId="0" fontId="38" fillId="3" borderId="6" xfId="0" applyFont="1" applyFill="1" applyBorder="1"/>
    <xf numFmtId="0" fontId="9" fillId="3" borderId="9" xfId="0" applyFont="1" applyFill="1" applyBorder="1"/>
    <xf numFmtId="0" fontId="38" fillId="3" borderId="11" xfId="0" applyFont="1" applyFill="1" applyBorder="1"/>
    <xf numFmtId="0" fontId="40" fillId="3" borderId="50" xfId="0" applyFont="1" applyFill="1" applyBorder="1" applyAlignment="1">
      <alignment vertical="center"/>
    </xf>
    <xf numFmtId="0" fontId="40" fillId="3" borderId="51" xfId="0" applyFont="1" applyFill="1" applyBorder="1" applyAlignment="1">
      <alignment vertical="center"/>
    </xf>
    <xf numFmtId="0" fontId="44" fillId="6" borderId="0" xfId="0" applyFont="1" applyFill="1" applyAlignment="1">
      <alignment horizontal="left" vertical="top" wrapText="1"/>
    </xf>
    <xf numFmtId="0" fontId="44" fillId="6" borderId="0" xfId="0" applyFont="1" applyFill="1"/>
    <xf numFmtId="0" fontId="12" fillId="6" borderId="7" xfId="0" applyFont="1" applyFill="1" applyBorder="1" applyAlignment="1">
      <alignment horizontal="left" vertical="top" wrapText="1"/>
    </xf>
    <xf numFmtId="0" fontId="12" fillId="6" borderId="8" xfId="0" applyFont="1" applyFill="1" applyBorder="1" applyAlignment="1">
      <alignment horizontal="left" vertical="top" wrapText="1"/>
    </xf>
    <xf numFmtId="0" fontId="14" fillId="6" borderId="0" xfId="0" applyFont="1" applyFill="1"/>
    <xf numFmtId="0" fontId="13" fillId="6" borderId="0" xfId="0" applyFont="1" applyFill="1"/>
    <xf numFmtId="0" fontId="13" fillId="6" borderId="7" xfId="0" applyFont="1" applyFill="1" applyBorder="1"/>
    <xf numFmtId="0" fontId="13" fillId="6" borderId="8" xfId="0" applyFont="1" applyFill="1" applyBorder="1"/>
    <xf numFmtId="0" fontId="3" fillId="6" borderId="9" xfId="0" applyFont="1" applyFill="1" applyBorder="1"/>
    <xf numFmtId="0" fontId="3" fillId="6" borderId="10" xfId="0" applyFont="1" applyFill="1" applyBorder="1"/>
    <xf numFmtId="0" fontId="3" fillId="6" borderId="11" xfId="0" applyFont="1" applyFill="1" applyBorder="1"/>
    <xf numFmtId="0" fontId="12" fillId="6" borderId="24" xfId="0" applyFont="1" applyFill="1" applyBorder="1"/>
    <xf numFmtId="0" fontId="44" fillId="6" borderId="25" xfId="0" applyFont="1" applyFill="1" applyBorder="1"/>
    <xf numFmtId="0" fontId="12" fillId="6" borderId="26" xfId="0" applyFont="1" applyFill="1" applyBorder="1"/>
    <xf numFmtId="0" fontId="28" fillId="3" borderId="0" xfId="0" applyFont="1" applyFill="1" applyAlignment="1">
      <alignment vertical="center"/>
    </xf>
    <xf numFmtId="10" fontId="9" fillId="2" borderId="36" xfId="0" applyNumberFormat="1" applyFont="1" applyFill="1" applyBorder="1" applyAlignment="1" applyProtection="1">
      <alignment horizontal="right" vertical="top" wrapText="1"/>
      <protection locked="0"/>
    </xf>
    <xf numFmtId="10" fontId="9" fillId="2" borderId="39" xfId="0" applyNumberFormat="1" applyFont="1" applyFill="1" applyBorder="1" applyAlignment="1" applyProtection="1">
      <alignment horizontal="right" vertical="top" wrapText="1"/>
      <protection locked="0"/>
    </xf>
    <xf numFmtId="0" fontId="45" fillId="3" borderId="7" xfId="0" applyFont="1" applyFill="1" applyBorder="1"/>
    <xf numFmtId="0" fontId="46" fillId="3" borderId="7" xfId="0" applyFont="1" applyFill="1" applyBorder="1"/>
    <xf numFmtId="0" fontId="47" fillId="3" borderId="6" xfId="0" applyFont="1" applyFill="1" applyBorder="1"/>
    <xf numFmtId="0" fontId="45" fillId="3" borderId="0" xfId="0" applyFont="1" applyFill="1"/>
    <xf numFmtId="0" fontId="49" fillId="3" borderId="8" xfId="0" applyFont="1" applyFill="1" applyBorder="1"/>
    <xf numFmtId="0" fontId="46" fillId="3" borderId="8" xfId="0" applyFont="1" applyFill="1" applyBorder="1"/>
    <xf numFmtId="0" fontId="46" fillId="3" borderId="0" xfId="0" applyFont="1" applyFill="1"/>
    <xf numFmtId="0" fontId="46" fillId="3" borderId="11" xfId="0" applyFont="1" applyFill="1" applyBorder="1"/>
    <xf numFmtId="0" fontId="35" fillId="3" borderId="54" xfId="0" applyFont="1" applyFill="1" applyBorder="1"/>
    <xf numFmtId="0" fontId="35" fillId="3" borderId="42" xfId="0" applyFont="1" applyFill="1" applyBorder="1"/>
    <xf numFmtId="0" fontId="35" fillId="3" borderId="12" xfId="0" applyFont="1" applyFill="1" applyBorder="1"/>
    <xf numFmtId="0" fontId="52" fillId="3" borderId="19" xfId="0" applyFont="1" applyFill="1" applyBorder="1"/>
    <xf numFmtId="179" fontId="35" fillId="3" borderId="37" xfId="3" applyNumberFormat="1" applyFont="1" applyFill="1" applyBorder="1"/>
    <xf numFmtId="179" fontId="9" fillId="3" borderId="0" xfId="3" applyNumberFormat="1" applyFont="1" applyFill="1" applyBorder="1"/>
    <xf numFmtId="179" fontId="10" fillId="3" borderId="59" xfId="3" applyNumberFormat="1" applyFont="1" applyFill="1" applyBorder="1"/>
    <xf numFmtId="179" fontId="10" fillId="3" borderId="18" xfId="3" applyNumberFormat="1" applyFont="1" applyFill="1" applyBorder="1"/>
    <xf numFmtId="179" fontId="10" fillId="3" borderId="2" xfId="3" applyNumberFormat="1" applyFont="1" applyFill="1" applyBorder="1"/>
    <xf numFmtId="0" fontId="24" fillId="3" borderId="5" xfId="0" applyFont="1" applyFill="1" applyBorder="1"/>
    <xf numFmtId="0" fontId="9" fillId="3" borderId="0" xfId="0" applyFont="1" applyFill="1" applyAlignment="1">
      <alignment vertical="top"/>
    </xf>
    <xf numFmtId="0" fontId="35" fillId="3" borderId="10" xfId="0" applyFont="1" applyFill="1" applyBorder="1" applyAlignment="1" applyProtection="1">
      <alignment horizontal="left" vertical="center"/>
      <protection locked="0"/>
    </xf>
    <xf numFmtId="0" fontId="3" fillId="3" borderId="17" xfId="0" applyFont="1" applyFill="1" applyBorder="1" applyAlignment="1">
      <alignment vertical="center"/>
    </xf>
    <xf numFmtId="180" fontId="24" fillId="3" borderId="17" xfId="0" applyNumberFormat="1" applyFont="1" applyFill="1" applyBorder="1" applyAlignment="1">
      <alignment horizontal="left" vertical="center"/>
    </xf>
    <xf numFmtId="0" fontId="53" fillId="3" borderId="8" xfId="0" applyFont="1" applyFill="1" applyBorder="1"/>
    <xf numFmtId="0" fontId="54" fillId="3" borderId="8" xfId="0" applyFont="1" applyFill="1" applyBorder="1"/>
    <xf numFmtId="0" fontId="14" fillId="3" borderId="9" xfId="0" applyFont="1" applyFill="1" applyBorder="1"/>
    <xf numFmtId="0" fontId="12" fillId="3" borderId="10" xfId="0" applyFont="1" applyFill="1" applyBorder="1" applyAlignment="1" applyProtection="1">
      <alignment vertical="top"/>
      <protection locked="0"/>
    </xf>
    <xf numFmtId="0" fontId="14" fillId="3" borderId="10" xfId="0" applyFont="1" applyFill="1" applyBorder="1" applyAlignment="1" applyProtection="1">
      <alignment horizontal="left" vertical="center"/>
      <protection locked="0"/>
    </xf>
    <xf numFmtId="0" fontId="11" fillId="0" borderId="0" xfId="0" applyFont="1"/>
    <xf numFmtId="179" fontId="3" fillId="3" borderId="15" xfId="3" applyNumberFormat="1" applyFont="1" applyFill="1" applyBorder="1" applyAlignment="1">
      <alignment horizontal="left" vertical="center"/>
    </xf>
    <xf numFmtId="14" fontId="3" fillId="2" borderId="0" xfId="0" applyNumberFormat="1" applyFont="1" applyFill="1" applyAlignment="1" applyProtection="1">
      <alignment horizontal="left" vertical="top"/>
      <protection locked="0"/>
    </xf>
    <xf numFmtId="179" fontId="3" fillId="3" borderId="0" xfId="3" applyNumberFormat="1" applyFont="1" applyFill="1"/>
    <xf numFmtId="9" fontId="3" fillId="2" borderId="45" xfId="1" applyFont="1" applyFill="1" applyBorder="1" applyAlignment="1" applyProtection="1">
      <alignment horizontal="right" vertical="center"/>
      <protection locked="0"/>
    </xf>
    <xf numFmtId="179" fontId="3" fillId="3" borderId="0" xfId="3" applyNumberFormat="1" applyFont="1" applyFill="1" applyBorder="1"/>
    <xf numFmtId="179" fontId="4" fillId="3" borderId="0" xfId="3" applyNumberFormat="1" applyFont="1" applyFill="1" applyBorder="1"/>
    <xf numFmtId="0" fontId="4" fillId="3" borderId="0" xfId="0" applyFont="1" applyFill="1"/>
    <xf numFmtId="179" fontId="4" fillId="3" borderId="0" xfId="0" applyNumberFormat="1" applyFont="1" applyFill="1"/>
    <xf numFmtId="179" fontId="3" fillId="3" borderId="33" xfId="3" applyNumberFormat="1" applyFont="1" applyFill="1" applyBorder="1" applyAlignment="1" applyProtection="1">
      <alignment horizontal="center" vertical="center"/>
    </xf>
    <xf numFmtId="179" fontId="3" fillId="3" borderId="16" xfId="3" applyNumberFormat="1" applyFont="1" applyFill="1" applyBorder="1" applyAlignment="1" applyProtection="1">
      <alignment horizontal="center" vertical="center"/>
    </xf>
    <xf numFmtId="9" fontId="3" fillId="3" borderId="16" xfId="1" applyFont="1" applyFill="1" applyBorder="1" applyAlignment="1" applyProtection="1">
      <alignment vertical="center"/>
    </xf>
    <xf numFmtId="179" fontId="3" fillId="3" borderId="34" xfId="3" applyNumberFormat="1" applyFont="1" applyFill="1" applyBorder="1" applyAlignment="1" applyProtection="1">
      <alignment horizontal="center" vertical="center"/>
    </xf>
    <xf numFmtId="179" fontId="3" fillId="3" borderId="17" xfId="3" applyNumberFormat="1" applyFont="1" applyFill="1" applyBorder="1" applyAlignment="1" applyProtection="1">
      <alignment horizontal="center" vertical="center"/>
    </xf>
    <xf numFmtId="9" fontId="3" fillId="3" borderId="17" xfId="1" applyFont="1" applyFill="1" applyBorder="1" applyAlignment="1" applyProtection="1">
      <alignment vertical="center"/>
    </xf>
    <xf numFmtId="0" fontId="5" fillId="3" borderId="0" xfId="0" applyFont="1" applyFill="1" applyAlignment="1">
      <alignment vertical="top"/>
    </xf>
    <xf numFmtId="0" fontId="42" fillId="3" borderId="7" xfId="0" applyFont="1" applyFill="1" applyBorder="1" applyAlignment="1">
      <alignment wrapText="1"/>
    </xf>
    <xf numFmtId="0" fontId="42" fillId="3" borderId="0" xfId="0" applyFont="1" applyFill="1" applyAlignment="1">
      <alignment vertical="top" wrapText="1"/>
    </xf>
    <xf numFmtId="0" fontId="42" fillId="3" borderId="8" xfId="0" applyFont="1" applyFill="1" applyBorder="1" applyAlignment="1">
      <alignment wrapText="1"/>
    </xf>
    <xf numFmtId="0" fontId="13" fillId="3" borderId="10" xfId="0" applyFont="1" applyFill="1" applyBorder="1" applyAlignment="1">
      <alignment wrapText="1"/>
    </xf>
    <xf numFmtId="0" fontId="11" fillId="3" borderId="23" xfId="0" applyFont="1" applyFill="1" applyBorder="1" applyAlignment="1">
      <alignment vertical="top" wrapText="1"/>
    </xf>
    <xf numFmtId="49" fontId="11" fillId="3" borderId="23" xfId="0" applyNumberFormat="1" applyFont="1" applyFill="1" applyBorder="1" applyAlignment="1">
      <alignment vertical="top" wrapText="1"/>
    </xf>
    <xf numFmtId="49" fontId="11" fillId="3" borderId="23" xfId="0" applyNumberFormat="1" applyFont="1" applyFill="1" applyBorder="1" applyAlignment="1">
      <alignment vertical="top"/>
    </xf>
    <xf numFmtId="14" fontId="11" fillId="3" borderId="23" xfId="0" applyNumberFormat="1" applyFont="1" applyFill="1" applyBorder="1" applyAlignment="1">
      <alignment vertical="top"/>
    </xf>
    <xf numFmtId="0" fontId="11" fillId="3" borderId="16" xfId="0" applyFont="1" applyFill="1" applyBorder="1" applyAlignment="1">
      <alignment vertical="top" wrapText="1"/>
    </xf>
    <xf numFmtId="49" fontId="11" fillId="3" borderId="16" xfId="0" applyNumberFormat="1" applyFont="1" applyFill="1" applyBorder="1" applyAlignment="1">
      <alignment vertical="top" wrapText="1"/>
    </xf>
    <xf numFmtId="14" fontId="11" fillId="3" borderId="16" xfId="0" applyNumberFormat="1" applyFont="1" applyFill="1" applyBorder="1" applyAlignment="1">
      <alignment vertical="top"/>
    </xf>
    <xf numFmtId="0" fontId="12" fillId="3" borderId="27" xfId="0" applyFont="1" applyFill="1" applyBorder="1" applyAlignment="1">
      <alignment horizontal="center" vertical="top"/>
    </xf>
    <xf numFmtId="49" fontId="9" fillId="3" borderId="0" xfId="0" applyNumberFormat="1" applyFont="1" applyFill="1" applyAlignment="1">
      <alignment horizontal="left" vertical="center"/>
    </xf>
    <xf numFmtId="0" fontId="9" fillId="3" borderId="0" xfId="0" applyFont="1" applyFill="1" applyAlignment="1">
      <alignment horizontal="left" vertical="center"/>
    </xf>
    <xf numFmtId="180" fontId="24" fillId="3" borderId="0" xfId="0" applyNumberFormat="1" applyFont="1" applyFill="1" applyAlignment="1">
      <alignment horizontal="left" vertical="center"/>
    </xf>
    <xf numFmtId="181" fontId="9" fillId="3" borderId="0" xfId="3" applyNumberFormat="1" applyFont="1" applyFill="1" applyBorder="1" applyAlignment="1" applyProtection="1">
      <alignment vertical="center"/>
    </xf>
    <xf numFmtId="186" fontId="9" fillId="3" borderId="0" xfId="0" applyNumberFormat="1" applyFont="1" applyFill="1" applyAlignment="1">
      <alignment vertical="center"/>
    </xf>
    <xf numFmtId="181" fontId="12" fillId="3" borderId="7" xfId="0" applyNumberFormat="1" applyFont="1" applyFill="1" applyBorder="1"/>
    <xf numFmtId="179" fontId="9" fillId="3" borderId="60" xfId="3" applyNumberFormat="1" applyFont="1" applyFill="1" applyBorder="1" applyProtection="1"/>
    <xf numFmtId="179" fontId="9" fillId="3" borderId="32" xfId="3" applyNumberFormat="1" applyFont="1" applyFill="1" applyBorder="1" applyProtection="1"/>
    <xf numFmtId="179" fontId="9" fillId="3" borderId="40" xfId="3" applyNumberFormat="1" applyFont="1" applyFill="1" applyBorder="1" applyProtection="1"/>
    <xf numFmtId="179" fontId="9" fillId="3" borderId="16" xfId="3" applyNumberFormat="1" applyFont="1" applyFill="1" applyBorder="1" applyProtection="1"/>
    <xf numFmtId="179" fontId="9" fillId="3" borderId="41" xfId="3" applyNumberFormat="1" applyFont="1" applyFill="1" applyBorder="1" applyProtection="1"/>
    <xf numFmtId="179" fontId="9" fillId="3" borderId="17" xfId="3" applyNumberFormat="1" applyFont="1" applyFill="1" applyBorder="1" applyProtection="1"/>
    <xf numFmtId="0" fontId="6" fillId="0" borderId="0" xfId="0" applyFont="1" applyAlignment="1">
      <alignment horizontal="left"/>
    </xf>
    <xf numFmtId="179" fontId="35" fillId="3" borderId="10" xfId="3" applyNumberFormat="1" applyFont="1" applyFill="1" applyBorder="1"/>
    <xf numFmtId="179" fontId="3" fillId="3" borderId="20" xfId="3" applyNumberFormat="1" applyFont="1" applyFill="1" applyBorder="1" applyAlignment="1">
      <alignment horizontal="left" vertical="center"/>
    </xf>
    <xf numFmtId="0" fontId="9" fillId="3" borderId="17" xfId="0" applyFont="1" applyFill="1" applyBorder="1"/>
    <xf numFmtId="181" fontId="10" fillId="3" borderId="0" xfId="3" applyNumberFormat="1" applyFont="1" applyFill="1" applyBorder="1" applyAlignment="1" applyProtection="1">
      <alignment vertical="center"/>
    </xf>
    <xf numFmtId="181" fontId="10" fillId="3" borderId="0" xfId="3" applyNumberFormat="1" applyFont="1" applyFill="1" applyBorder="1" applyAlignment="1" applyProtection="1">
      <alignment horizontal="center"/>
    </xf>
    <xf numFmtId="177" fontId="9" fillId="3" borderId="0" xfId="0" applyNumberFormat="1" applyFont="1" applyFill="1" applyAlignment="1">
      <alignment horizontal="left" vertical="center" wrapText="1"/>
    </xf>
    <xf numFmtId="185" fontId="9" fillId="3" borderId="0" xfId="0" applyNumberFormat="1" applyFont="1" applyFill="1" applyAlignment="1" applyProtection="1">
      <alignment horizontal="center" vertical="center"/>
      <protection locked="0"/>
    </xf>
    <xf numFmtId="184" fontId="9" fillId="3" borderId="0" xfId="0" applyNumberFormat="1" applyFont="1" applyFill="1" applyAlignment="1" applyProtection="1">
      <alignment horizontal="center" vertical="center"/>
      <protection locked="0"/>
    </xf>
    <xf numFmtId="184" fontId="9" fillId="3" borderId="0" xfId="0" applyNumberFormat="1" applyFont="1" applyFill="1" applyAlignment="1">
      <alignment horizontal="center" vertical="center"/>
    </xf>
    <xf numFmtId="185" fontId="10" fillId="3" borderId="0" xfId="0" applyNumberFormat="1" applyFont="1" applyFill="1" applyAlignment="1">
      <alignment horizontal="center" vertical="center"/>
    </xf>
    <xf numFmtId="184" fontId="10" fillId="3" borderId="0" xfId="0" applyNumberFormat="1" applyFont="1" applyFill="1" applyAlignment="1">
      <alignment horizontal="center" vertical="center"/>
    </xf>
    <xf numFmtId="188" fontId="9" fillId="3" borderId="0" xfId="0" applyNumberFormat="1" applyFont="1" applyFill="1" applyAlignment="1" applyProtection="1">
      <alignment horizontal="center" vertical="center"/>
      <protection locked="0"/>
    </xf>
    <xf numFmtId="190" fontId="9" fillId="2" borderId="35" xfId="1" applyNumberFormat="1" applyFont="1" applyFill="1" applyBorder="1" applyAlignment="1" applyProtection="1">
      <alignment horizontal="right" vertical="center"/>
      <protection locked="0"/>
    </xf>
    <xf numFmtId="191" fontId="9" fillId="2" borderId="45" xfId="0" applyNumberFormat="1" applyFont="1" applyFill="1" applyBorder="1" applyAlignment="1" applyProtection="1">
      <alignment horizontal="right" vertical="center"/>
      <protection locked="0"/>
    </xf>
    <xf numFmtId="10" fontId="9" fillId="3" borderId="30" xfId="1" applyNumberFormat="1" applyFont="1" applyFill="1" applyBorder="1" applyAlignment="1" applyProtection="1">
      <alignment horizontal="right" vertical="center"/>
    </xf>
    <xf numFmtId="178" fontId="3" fillId="2" borderId="55" xfId="0" applyNumberFormat="1" applyFont="1" applyFill="1" applyBorder="1" applyAlignment="1" applyProtection="1">
      <alignment vertical="center"/>
      <protection locked="0"/>
    </xf>
    <xf numFmtId="179" fontId="3" fillId="2" borderId="20" xfId="3" applyNumberFormat="1" applyFont="1" applyFill="1" applyBorder="1" applyAlignment="1" applyProtection="1">
      <alignment vertical="center"/>
      <protection locked="0"/>
    </xf>
    <xf numFmtId="178" fontId="3" fillId="2" borderId="33" xfId="0" applyNumberFormat="1" applyFont="1" applyFill="1" applyBorder="1" applyAlignment="1" applyProtection="1">
      <alignment vertical="center"/>
      <protection locked="0"/>
    </xf>
    <xf numFmtId="179" fontId="3" fillId="2" borderId="21" xfId="3" applyNumberFormat="1" applyFont="1" applyFill="1" applyBorder="1" applyAlignment="1" applyProtection="1">
      <alignment vertical="center"/>
      <protection locked="0"/>
    </xf>
    <xf numFmtId="178" fontId="3" fillId="2" borderId="34" xfId="0" applyNumberFormat="1" applyFont="1" applyFill="1" applyBorder="1" applyAlignment="1" applyProtection="1">
      <alignment vertical="center"/>
      <protection locked="0"/>
    </xf>
    <xf numFmtId="179" fontId="3" fillId="2" borderId="22" xfId="3" applyNumberFormat="1" applyFont="1" applyFill="1" applyBorder="1" applyAlignment="1" applyProtection="1">
      <alignment vertical="center"/>
      <protection locked="0"/>
    </xf>
    <xf numFmtId="179" fontId="9" fillId="2" borderId="31" xfId="3" applyNumberFormat="1" applyFont="1" applyFill="1" applyBorder="1" applyProtection="1">
      <protection locked="0"/>
    </xf>
    <xf numFmtId="179" fontId="9" fillId="2" borderId="33" xfId="3" applyNumberFormat="1" applyFont="1" applyFill="1" applyBorder="1" applyProtection="1">
      <protection locked="0"/>
    </xf>
    <xf numFmtId="179" fontId="9" fillId="2" borderId="34" xfId="3" applyNumberFormat="1" applyFont="1" applyFill="1" applyBorder="1" applyProtection="1">
      <protection locked="0"/>
    </xf>
    <xf numFmtId="0" fontId="56" fillId="3" borderId="11" xfId="0" applyFont="1" applyFill="1" applyBorder="1"/>
    <xf numFmtId="0" fontId="45" fillId="3" borderId="7" xfId="0" applyFont="1" applyFill="1" applyBorder="1" applyAlignment="1">
      <alignment vertical="center"/>
    </xf>
    <xf numFmtId="0" fontId="4" fillId="3" borderId="42" xfId="0" applyFont="1" applyFill="1" applyBorder="1" applyAlignment="1">
      <alignment vertical="center" wrapText="1"/>
    </xf>
    <xf numFmtId="0" fontId="4" fillId="3" borderId="12" xfId="0" applyFont="1" applyFill="1" applyBorder="1" applyAlignment="1">
      <alignment vertical="center" wrapText="1"/>
    </xf>
    <xf numFmtId="0" fontId="4" fillId="3" borderId="12" xfId="0" applyFont="1" applyFill="1" applyBorder="1" applyAlignment="1">
      <alignment horizontal="center" vertical="center" wrapText="1"/>
    </xf>
    <xf numFmtId="0" fontId="48" fillId="3" borderId="8" xfId="0" applyFont="1" applyFill="1" applyBorder="1" applyAlignment="1">
      <alignment vertical="center"/>
    </xf>
    <xf numFmtId="0" fontId="10" fillId="3" borderId="54" xfId="0" applyFont="1" applyFill="1" applyBorder="1" applyAlignment="1">
      <alignment vertical="center"/>
    </xf>
    <xf numFmtId="0" fontId="10" fillId="3" borderId="42" xfId="0" applyFont="1" applyFill="1" applyBorder="1" applyAlignment="1">
      <alignment vertical="center"/>
    </xf>
    <xf numFmtId="0" fontId="45" fillId="3" borderId="0" xfId="0" applyFont="1" applyFill="1" applyAlignment="1">
      <alignment vertical="center"/>
    </xf>
    <xf numFmtId="0" fontId="14" fillId="3" borderId="7" xfId="0" applyFont="1" applyFill="1" applyBorder="1"/>
    <xf numFmtId="179" fontId="13" fillId="3" borderId="0" xfId="3" applyNumberFormat="1" applyFont="1" applyFill="1" applyBorder="1"/>
    <xf numFmtId="179" fontId="23" fillId="3" borderId="0" xfId="3" applyNumberFormat="1" applyFont="1" applyFill="1" applyBorder="1"/>
    <xf numFmtId="0" fontId="23" fillId="3" borderId="0" xfId="0" applyFont="1" applyFill="1"/>
    <xf numFmtId="0" fontId="4" fillId="3" borderId="30" xfId="0" applyFont="1" applyFill="1" applyBorder="1" applyAlignment="1">
      <alignment horizontal="center" wrapText="1"/>
    </xf>
    <xf numFmtId="0" fontId="13" fillId="3" borderId="61" xfId="0" applyFont="1" applyFill="1" applyBorder="1"/>
    <xf numFmtId="0" fontId="13" fillId="3" borderId="51" xfId="0" applyFont="1" applyFill="1" applyBorder="1"/>
    <xf numFmtId="0" fontId="4" fillId="3" borderId="62" xfId="0" applyFont="1" applyFill="1" applyBorder="1" applyAlignment="1">
      <alignment horizontal="center" wrapText="1"/>
    </xf>
    <xf numFmtId="0" fontId="3" fillId="3" borderId="8" xfId="0" applyFont="1" applyFill="1" applyBorder="1" applyAlignment="1">
      <alignment wrapText="1"/>
    </xf>
    <xf numFmtId="0" fontId="24" fillId="3" borderId="0" xfId="0" applyFont="1" applyFill="1" applyAlignment="1">
      <alignment horizontal="center"/>
    </xf>
    <xf numFmtId="0" fontId="57" fillId="3" borderId="8" xfId="0" applyFont="1" applyFill="1" applyBorder="1" applyAlignment="1">
      <alignment wrapText="1"/>
    </xf>
    <xf numFmtId="0" fontId="58" fillId="3" borderId="6" xfId="0" applyFont="1" applyFill="1" applyBorder="1"/>
    <xf numFmtId="9" fontId="9" fillId="3" borderId="35" xfId="1" applyFont="1" applyFill="1" applyBorder="1" applyAlignment="1" applyProtection="1">
      <alignment horizontal="right" vertical="center"/>
    </xf>
    <xf numFmtId="9" fontId="9" fillId="3" borderId="36" xfId="1" applyFont="1" applyFill="1" applyBorder="1" applyAlignment="1" applyProtection="1">
      <alignment horizontal="right" vertical="center"/>
    </xf>
    <xf numFmtId="9" fontId="9" fillId="3" borderId="38" xfId="1" applyFont="1" applyFill="1" applyBorder="1" applyAlignment="1" applyProtection="1">
      <alignment horizontal="right" vertical="center"/>
    </xf>
    <xf numFmtId="9" fontId="9" fillId="3" borderId="39" xfId="1" applyFont="1" applyFill="1" applyBorder="1" applyAlignment="1" applyProtection="1">
      <alignment horizontal="right" vertical="center"/>
    </xf>
    <xf numFmtId="0" fontId="61" fillId="3" borderId="7" xfId="0" applyFont="1" applyFill="1" applyBorder="1"/>
    <xf numFmtId="0" fontId="61" fillId="3" borderId="0" xfId="0" applyFont="1" applyFill="1"/>
    <xf numFmtId="0" fontId="61" fillId="3" borderId="8" xfId="0" applyFont="1" applyFill="1" applyBorder="1"/>
    <xf numFmtId="49" fontId="63" fillId="3" borderId="0" xfId="0" applyNumberFormat="1" applyFont="1" applyFill="1"/>
    <xf numFmtId="0" fontId="64" fillId="3" borderId="7" xfId="0" applyFont="1" applyFill="1" applyBorder="1"/>
    <xf numFmtId="0" fontId="64" fillId="3" borderId="0" xfId="0" applyFont="1" applyFill="1"/>
    <xf numFmtId="0" fontId="64" fillId="3" borderId="8" xfId="0" applyFont="1" applyFill="1" applyBorder="1"/>
    <xf numFmtId="49" fontId="65" fillId="3" borderId="0" xfId="0" applyNumberFormat="1" applyFont="1" applyFill="1"/>
    <xf numFmtId="0" fontId="62" fillId="3" borderId="12" xfId="0" applyFont="1" applyFill="1" applyBorder="1"/>
    <xf numFmtId="0" fontId="61" fillId="3" borderId="12" xfId="0" applyFont="1" applyFill="1" applyBorder="1"/>
    <xf numFmtId="0" fontId="66" fillId="3" borderId="0" xfId="0" applyFont="1" applyFill="1"/>
    <xf numFmtId="0" fontId="56" fillId="3" borderId="8" xfId="0" applyFont="1" applyFill="1" applyBorder="1"/>
    <xf numFmtId="0" fontId="9" fillId="3" borderId="22" xfId="0" applyFont="1" applyFill="1" applyBorder="1" applyAlignment="1">
      <alignment vertical="center" wrapText="1"/>
    </xf>
    <xf numFmtId="190" fontId="9" fillId="3" borderId="36" xfId="1" applyNumberFormat="1" applyFont="1" applyFill="1" applyBorder="1" applyAlignment="1" applyProtection="1">
      <alignment horizontal="right" vertical="center"/>
    </xf>
    <xf numFmtId="49" fontId="9" fillId="2" borderId="45" xfId="0" applyNumberFormat="1" applyFont="1" applyFill="1" applyBorder="1" applyAlignment="1" applyProtection="1">
      <alignment horizontal="right" vertical="top" wrapText="1"/>
      <protection locked="0"/>
    </xf>
    <xf numFmtId="0" fontId="25" fillId="3" borderId="0" xfId="0" applyFont="1" applyFill="1" applyAlignment="1">
      <alignment vertical="top"/>
    </xf>
    <xf numFmtId="0" fontId="38" fillId="3" borderId="0" xfId="0" applyFont="1" applyFill="1" applyAlignment="1">
      <alignment vertical="top"/>
    </xf>
    <xf numFmtId="0" fontId="10" fillId="0" borderId="0" xfId="0" applyFont="1" applyAlignment="1">
      <alignment vertical="top" wrapText="1"/>
    </xf>
    <xf numFmtId="179" fontId="40" fillId="3" borderId="19" xfId="3" applyNumberFormat="1" applyFont="1" applyFill="1" applyBorder="1" applyAlignment="1">
      <alignment vertical="center"/>
    </xf>
    <xf numFmtId="0" fontId="50" fillId="3" borderId="0" xfId="0" applyFont="1" applyFill="1" applyAlignment="1">
      <alignment vertical="top"/>
    </xf>
    <xf numFmtId="179" fontId="9" fillId="3" borderId="31" xfId="3" applyNumberFormat="1" applyFont="1" applyFill="1" applyBorder="1" applyProtection="1"/>
    <xf numFmtId="179" fontId="9" fillId="3" borderId="33" xfId="3" applyNumberFormat="1" applyFont="1" applyFill="1" applyBorder="1" applyProtection="1"/>
    <xf numFmtId="179" fontId="9" fillId="3" borderId="34" xfId="3" applyNumberFormat="1" applyFont="1" applyFill="1" applyBorder="1" applyProtection="1"/>
    <xf numFmtId="9" fontId="3" fillId="3" borderId="65" xfId="1" applyFont="1" applyFill="1" applyBorder="1" applyAlignment="1" applyProtection="1">
      <alignment vertical="center"/>
    </xf>
    <xf numFmtId="9" fontId="3" fillId="3" borderId="66" xfId="1" applyFont="1" applyFill="1" applyBorder="1" applyAlignment="1" applyProtection="1">
      <alignment vertical="center"/>
    </xf>
    <xf numFmtId="9" fontId="3" fillId="3" borderId="67" xfId="1" applyFont="1" applyFill="1" applyBorder="1" applyAlignment="1" applyProtection="1">
      <alignment vertical="center"/>
    </xf>
    <xf numFmtId="0" fontId="35" fillId="3" borderId="68" xfId="0" applyFont="1" applyFill="1" applyBorder="1"/>
    <xf numFmtId="179" fontId="35" fillId="3" borderId="58" xfId="3" applyNumberFormat="1" applyFont="1" applyFill="1" applyBorder="1"/>
    <xf numFmtId="179" fontId="10" fillId="3" borderId="69" xfId="3" applyNumberFormat="1" applyFont="1" applyFill="1" applyBorder="1"/>
    <xf numFmtId="2" fontId="50" fillId="3" borderId="0" xfId="0" applyNumberFormat="1" applyFont="1" applyFill="1" applyAlignment="1">
      <alignment horizontal="left" vertical="top"/>
    </xf>
    <xf numFmtId="2" fontId="51" fillId="3" borderId="0" xfId="0" applyNumberFormat="1" applyFont="1" applyFill="1" applyAlignment="1">
      <alignment horizontal="left" vertical="top"/>
    </xf>
    <xf numFmtId="0" fontId="14" fillId="3" borderId="10" xfId="0" applyFont="1" applyFill="1" applyBorder="1" applyAlignment="1">
      <alignment horizontal="left" vertical="center"/>
    </xf>
    <xf numFmtId="179" fontId="12" fillId="3" borderId="0" xfId="0" applyNumberFormat="1" applyFont="1" applyFill="1"/>
    <xf numFmtId="192" fontId="3" fillId="2" borderId="0" xfId="0" applyNumberFormat="1" applyFont="1" applyFill="1" applyAlignment="1" applyProtection="1">
      <alignment horizontal="left" vertical="top"/>
      <protection locked="0"/>
    </xf>
    <xf numFmtId="179" fontId="3" fillId="3" borderId="55" xfId="3" applyNumberFormat="1" applyFont="1" applyFill="1" applyBorder="1" applyAlignment="1" applyProtection="1">
      <alignment horizontal="center" vertical="center"/>
    </xf>
    <xf numFmtId="179" fontId="3" fillId="3" borderId="15" xfId="3" applyNumberFormat="1" applyFont="1" applyFill="1" applyBorder="1" applyAlignment="1" applyProtection="1">
      <alignment horizontal="center" vertical="center"/>
    </xf>
    <xf numFmtId="9" fontId="3" fillId="3" borderId="15" xfId="1" applyFont="1" applyFill="1" applyBorder="1" applyAlignment="1" applyProtection="1">
      <alignment vertical="center"/>
    </xf>
    <xf numFmtId="0" fontId="4" fillId="3" borderId="54" xfId="0" applyFont="1" applyFill="1" applyBorder="1" applyAlignment="1">
      <alignment horizontal="right" vertical="center" wrapText="1"/>
    </xf>
    <xf numFmtId="0" fontId="4" fillId="3" borderId="12" xfId="0" applyFont="1" applyFill="1" applyBorder="1" applyAlignment="1">
      <alignment horizontal="right" vertical="center" wrapText="1"/>
    </xf>
    <xf numFmtId="194" fontId="3" fillId="2" borderId="30" xfId="0" applyNumberFormat="1" applyFont="1" applyFill="1" applyBorder="1" applyAlignment="1" applyProtection="1">
      <alignment horizontal="right" vertical="center"/>
      <protection locked="0"/>
    </xf>
    <xf numFmtId="194" fontId="3" fillId="2" borderId="38" xfId="0" applyNumberFormat="1" applyFont="1" applyFill="1" applyBorder="1" applyAlignment="1" applyProtection="1">
      <alignment horizontal="right" vertical="center"/>
      <protection locked="0"/>
    </xf>
    <xf numFmtId="194" fontId="3" fillId="2" borderId="39" xfId="0" applyNumberFormat="1" applyFont="1" applyFill="1" applyBorder="1" applyAlignment="1" applyProtection="1">
      <alignment horizontal="right" vertical="center"/>
      <protection locked="0"/>
    </xf>
    <xf numFmtId="195" fontId="3" fillId="3" borderId="38" xfId="0" applyNumberFormat="1" applyFont="1" applyFill="1" applyBorder="1" applyAlignment="1">
      <alignment vertical="center"/>
    </xf>
    <xf numFmtId="195" fontId="3" fillId="3" borderId="63" xfId="0" applyNumberFormat="1" applyFont="1" applyFill="1" applyBorder="1" applyAlignment="1">
      <alignment vertical="center"/>
    </xf>
    <xf numFmtId="198" fontId="9" fillId="2" borderId="45" xfId="0" applyNumberFormat="1" applyFont="1" applyFill="1" applyBorder="1" applyAlignment="1" applyProtection="1">
      <alignment horizontal="right" vertical="center"/>
      <protection locked="0"/>
    </xf>
    <xf numFmtId="198" fontId="9" fillId="2" borderId="35" xfId="0" applyNumberFormat="1" applyFont="1" applyFill="1" applyBorder="1" applyAlignment="1" applyProtection="1">
      <alignment horizontal="right" vertical="center"/>
      <protection locked="0"/>
    </xf>
    <xf numFmtId="199" fontId="9" fillId="3" borderId="36" xfId="0" applyNumberFormat="1" applyFont="1" applyFill="1" applyBorder="1" applyAlignment="1">
      <alignment horizontal="right" vertical="center"/>
    </xf>
    <xf numFmtId="199" fontId="9" fillId="3" borderId="44" xfId="1" applyNumberFormat="1" applyFont="1" applyFill="1" applyBorder="1" applyAlignment="1" applyProtection="1">
      <alignment horizontal="right" vertical="center"/>
    </xf>
    <xf numFmtId="199" fontId="9" fillId="3" borderId="35" xfId="0" applyNumberFormat="1" applyFont="1" applyFill="1" applyBorder="1" applyAlignment="1">
      <alignment horizontal="right" vertical="center"/>
    </xf>
    <xf numFmtId="199" fontId="9" fillId="3" borderId="36" xfId="1" applyNumberFormat="1" applyFont="1" applyFill="1" applyBorder="1" applyAlignment="1" applyProtection="1">
      <alignment horizontal="right" vertical="center"/>
    </xf>
    <xf numFmtId="201" fontId="9" fillId="3" borderId="45" xfId="3" applyNumberFormat="1" applyFont="1" applyFill="1" applyBorder="1" applyAlignment="1">
      <alignment horizontal="right" vertical="center"/>
    </xf>
    <xf numFmtId="195" fontId="9" fillId="3" borderId="35" xfId="3" applyNumberFormat="1" applyFont="1" applyFill="1" applyBorder="1" applyAlignment="1">
      <alignment horizontal="right" vertical="center"/>
    </xf>
    <xf numFmtId="202" fontId="9" fillId="3" borderId="35" xfId="3" applyNumberFormat="1" applyFont="1" applyFill="1" applyBorder="1" applyAlignment="1">
      <alignment horizontal="right" vertical="center"/>
    </xf>
    <xf numFmtId="195" fontId="10" fillId="3" borderId="52" xfId="3" applyNumberFormat="1" applyFont="1" applyFill="1" applyBorder="1" applyAlignment="1">
      <alignment horizontal="right" vertical="center"/>
    </xf>
    <xf numFmtId="202" fontId="10" fillId="3" borderId="70" xfId="3" applyNumberFormat="1" applyFont="1" applyFill="1" applyBorder="1" applyAlignment="1">
      <alignment horizontal="right" vertical="center"/>
    </xf>
    <xf numFmtId="199" fontId="9" fillId="3" borderId="39" xfId="0" applyNumberFormat="1" applyFont="1" applyFill="1" applyBorder="1" applyAlignment="1">
      <alignment horizontal="right" vertical="center"/>
    </xf>
    <xf numFmtId="199" fontId="9" fillId="3" borderId="29" xfId="1" applyNumberFormat="1" applyFont="1" applyFill="1" applyBorder="1" applyAlignment="1" applyProtection="1">
      <alignment horizontal="right" vertical="center"/>
    </xf>
    <xf numFmtId="199" fontId="9" fillId="3" borderId="38" xfId="0" applyNumberFormat="1" applyFont="1" applyFill="1" applyBorder="1" applyAlignment="1">
      <alignment horizontal="right" vertical="center"/>
    </xf>
    <xf numFmtId="199" fontId="9" fillId="3" borderId="39" xfId="1" applyNumberFormat="1" applyFont="1" applyFill="1" applyBorder="1" applyAlignment="1" applyProtection="1">
      <alignment horizontal="right" vertical="center"/>
    </xf>
    <xf numFmtId="201" fontId="9" fillId="3" borderId="30" xfId="3" applyNumberFormat="1" applyFont="1" applyFill="1" applyBorder="1" applyAlignment="1">
      <alignment horizontal="right" vertical="center"/>
    </xf>
    <xf numFmtId="195" fontId="9" fillId="3" borderId="38" xfId="3" applyNumberFormat="1" applyFont="1" applyFill="1" applyBorder="1" applyAlignment="1">
      <alignment horizontal="right" vertical="center"/>
    </xf>
    <xf numFmtId="202" fontId="9" fillId="3" borderId="38" xfId="3" applyNumberFormat="1" applyFont="1" applyFill="1" applyBorder="1" applyAlignment="1">
      <alignment horizontal="right" vertical="center"/>
    </xf>
    <xf numFmtId="181" fontId="10" fillId="7" borderId="23" xfId="3" applyNumberFormat="1" applyFont="1" applyFill="1" applyBorder="1" applyAlignment="1" applyProtection="1">
      <alignment horizontal="center"/>
    </xf>
    <xf numFmtId="181" fontId="10" fillId="7" borderId="49" xfId="3" applyNumberFormat="1" applyFont="1" applyFill="1" applyBorder="1" applyAlignment="1" applyProtection="1">
      <alignment horizontal="center"/>
    </xf>
    <xf numFmtId="202" fontId="9" fillId="3" borderId="36" xfId="3" applyNumberFormat="1" applyFont="1" applyFill="1" applyBorder="1" applyAlignment="1">
      <alignment horizontal="right" vertical="center"/>
    </xf>
    <xf numFmtId="202" fontId="10" fillId="3" borderId="53" xfId="3" applyNumberFormat="1" applyFont="1" applyFill="1" applyBorder="1" applyAlignment="1">
      <alignment horizontal="right" vertical="center"/>
    </xf>
    <xf numFmtId="203" fontId="9" fillId="2" borderId="35" xfId="0" applyNumberFormat="1" applyFont="1" applyFill="1" applyBorder="1" applyAlignment="1" applyProtection="1">
      <alignment horizontal="right" vertical="center"/>
      <protection locked="0"/>
    </xf>
    <xf numFmtId="203" fontId="9" fillId="3" borderId="35" xfId="0" applyNumberFormat="1" applyFont="1" applyFill="1" applyBorder="1" applyAlignment="1">
      <alignment horizontal="right" vertical="center"/>
    </xf>
    <xf numFmtId="203" fontId="9" fillId="2" borderId="38" xfId="0" applyNumberFormat="1" applyFont="1" applyFill="1" applyBorder="1" applyAlignment="1" applyProtection="1">
      <alignment horizontal="right" vertical="center"/>
      <protection locked="0"/>
    </xf>
    <xf numFmtId="203" fontId="9" fillId="3" borderId="38" xfId="0" applyNumberFormat="1" applyFont="1" applyFill="1" applyBorder="1" applyAlignment="1">
      <alignment horizontal="right" vertical="center"/>
    </xf>
    <xf numFmtId="202" fontId="9" fillId="3" borderId="39" xfId="3" applyNumberFormat="1" applyFont="1" applyFill="1" applyBorder="1" applyAlignment="1">
      <alignment horizontal="right" vertical="center"/>
    </xf>
    <xf numFmtId="202" fontId="10" fillId="3" borderId="61" xfId="3" applyNumberFormat="1" applyFont="1" applyFill="1" applyBorder="1" applyAlignment="1">
      <alignment horizontal="right" vertical="center"/>
    </xf>
    <xf numFmtId="179" fontId="3" fillId="3" borderId="21" xfId="3" applyNumberFormat="1" applyFont="1" applyFill="1" applyBorder="1" applyAlignment="1">
      <alignment horizontal="left" vertical="center"/>
    </xf>
    <xf numFmtId="179" fontId="3" fillId="3" borderId="16" xfId="3" applyNumberFormat="1" applyFont="1" applyFill="1" applyBorder="1" applyAlignment="1">
      <alignment horizontal="left" vertical="center"/>
    </xf>
    <xf numFmtId="49" fontId="9" fillId="2" borderId="35" xfId="0" applyNumberFormat="1" applyFont="1" applyFill="1" applyBorder="1" applyAlignment="1" applyProtection="1">
      <alignment horizontal="right" vertical="top" wrapText="1"/>
      <protection locked="0"/>
    </xf>
    <xf numFmtId="49" fontId="9" fillId="2" borderId="38" xfId="0" applyNumberFormat="1" applyFont="1" applyFill="1" applyBorder="1" applyAlignment="1" applyProtection="1">
      <alignment horizontal="right" vertical="top" wrapText="1"/>
      <protection locked="0"/>
    </xf>
    <xf numFmtId="49" fontId="9" fillId="2" borderId="36" xfId="0" applyNumberFormat="1" applyFont="1" applyFill="1" applyBorder="1" applyAlignment="1" applyProtection="1">
      <alignment horizontal="right" vertical="top" wrapText="1"/>
      <protection locked="0"/>
    </xf>
    <xf numFmtId="49" fontId="9" fillId="2" borderId="39" xfId="0" applyNumberFormat="1" applyFont="1" applyFill="1" applyBorder="1" applyAlignment="1" applyProtection="1">
      <alignment horizontal="right" vertical="top" wrapText="1"/>
      <protection locked="0"/>
    </xf>
    <xf numFmtId="0" fontId="10" fillId="3" borderId="54" xfId="0" applyFont="1" applyFill="1" applyBorder="1" applyAlignment="1">
      <alignment vertical="center" wrapText="1"/>
    </xf>
    <xf numFmtId="195" fontId="3" fillId="3" borderId="1" xfId="0" applyNumberFormat="1" applyFont="1" applyFill="1" applyBorder="1" applyAlignment="1">
      <alignment horizontal="left" vertical="center" wrapText="1"/>
    </xf>
    <xf numFmtId="0" fontId="9" fillId="8" borderId="22" xfId="0" applyFont="1" applyFill="1" applyBorder="1" applyAlignment="1">
      <alignment vertical="center"/>
    </xf>
    <xf numFmtId="200" fontId="9" fillId="8" borderId="36" xfId="0" applyNumberFormat="1" applyFont="1" applyFill="1" applyBorder="1" applyAlignment="1" applyProtection="1">
      <alignment horizontal="right" vertical="center"/>
      <protection locked="0"/>
    </xf>
    <xf numFmtId="200" fontId="9" fillId="8" borderId="39" xfId="0" applyNumberFormat="1" applyFont="1" applyFill="1" applyBorder="1" applyAlignment="1" applyProtection="1">
      <alignment horizontal="right" vertical="center"/>
      <protection locked="0"/>
    </xf>
    <xf numFmtId="0" fontId="52" fillId="3" borderId="57" xfId="0" applyFont="1" applyFill="1" applyBorder="1" applyAlignment="1">
      <alignment horizontal="right"/>
    </xf>
    <xf numFmtId="9" fontId="51" fillId="3" borderId="58" xfId="1" applyFont="1" applyFill="1" applyBorder="1" applyAlignment="1">
      <alignment horizontal="right" vertical="top"/>
    </xf>
    <xf numFmtId="0" fontId="12" fillId="3" borderId="0" xfId="0" applyFont="1" applyFill="1" applyAlignment="1">
      <alignment horizontal="right" vertical="center"/>
    </xf>
    <xf numFmtId="0" fontId="51" fillId="3" borderId="10" xfId="0" applyFont="1" applyFill="1" applyBorder="1" applyAlignment="1">
      <alignment horizontal="center" vertical="center"/>
    </xf>
    <xf numFmtId="0" fontId="5" fillId="3" borderId="56" xfId="0" applyFont="1" applyFill="1" applyBorder="1" applyAlignment="1">
      <alignment vertical="center"/>
    </xf>
    <xf numFmtId="0" fontId="3" fillId="3" borderId="19" xfId="0" applyFont="1" applyFill="1" applyBorder="1"/>
    <xf numFmtId="0" fontId="3" fillId="3" borderId="57" xfId="0" applyFont="1" applyFill="1" applyBorder="1"/>
    <xf numFmtId="0" fontId="13" fillId="3" borderId="55" xfId="0" applyFont="1" applyFill="1" applyBorder="1"/>
    <xf numFmtId="0" fontId="13" fillId="3" borderId="15" xfId="0" applyFont="1" applyFill="1" applyBorder="1"/>
    <xf numFmtId="0" fontId="13" fillId="3" borderId="58" xfId="0" applyFont="1" applyFill="1" applyBorder="1"/>
    <xf numFmtId="0" fontId="3" fillId="3" borderId="20" xfId="0" applyFont="1" applyFill="1" applyBorder="1"/>
    <xf numFmtId="0" fontId="3" fillId="3" borderId="22" xfId="0" applyFont="1" applyFill="1" applyBorder="1"/>
    <xf numFmtId="0" fontId="0" fillId="3" borderId="0" xfId="0" applyFill="1"/>
    <xf numFmtId="0" fontId="72" fillId="3" borderId="4" xfId="0" applyFont="1" applyFill="1" applyBorder="1"/>
    <xf numFmtId="0" fontId="72" fillId="3" borderId="5" xfId="0" applyFont="1" applyFill="1" applyBorder="1"/>
    <xf numFmtId="0" fontId="72" fillId="3" borderId="6" xfId="0" applyFont="1" applyFill="1" applyBorder="1"/>
    <xf numFmtId="0" fontId="0" fillId="3" borderId="7" xfId="0" applyFill="1" applyBorder="1"/>
    <xf numFmtId="0" fontId="69" fillId="3" borderId="0" xfId="0" applyFont="1" applyFill="1" applyAlignment="1">
      <alignment horizontal="right"/>
    </xf>
    <xf numFmtId="0" fontId="0" fillId="3" borderId="8" xfId="0" applyFill="1" applyBorder="1"/>
    <xf numFmtId="0" fontId="71" fillId="3" borderId="0" xfId="0" applyFont="1" applyFill="1" applyAlignment="1">
      <alignment horizontal="center"/>
    </xf>
    <xf numFmtId="0" fontId="0" fillId="3" borderId="7" xfId="0" applyFill="1" applyBorder="1" applyAlignment="1">
      <alignment wrapText="1"/>
    </xf>
    <xf numFmtId="0" fontId="69" fillId="3" borderId="42" xfId="0" applyFont="1" applyFill="1" applyBorder="1" applyAlignment="1">
      <alignment horizontal="center" textRotation="90" wrapText="1"/>
    </xf>
    <xf numFmtId="0" fontId="69" fillId="3" borderId="54" xfId="0" applyFont="1" applyFill="1" applyBorder="1" applyAlignment="1">
      <alignment horizontal="center" textRotation="90" wrapText="1"/>
    </xf>
    <xf numFmtId="0" fontId="69" fillId="3" borderId="72" xfId="0" applyFont="1" applyFill="1" applyBorder="1" applyAlignment="1">
      <alignment horizontal="center" textRotation="90" wrapText="1"/>
    </xf>
    <xf numFmtId="0" fontId="69" fillId="3" borderId="73" xfId="0" applyFont="1" applyFill="1" applyBorder="1" applyAlignment="1">
      <alignment horizontal="center" textRotation="90" wrapText="1"/>
    </xf>
    <xf numFmtId="0" fontId="69" fillId="3" borderId="74" xfId="0" applyFont="1" applyFill="1" applyBorder="1" applyAlignment="1">
      <alignment horizontal="center" textRotation="90" wrapText="1"/>
    </xf>
    <xf numFmtId="0" fontId="69" fillId="3" borderId="75" xfId="0" applyFont="1" applyFill="1" applyBorder="1" applyAlignment="1">
      <alignment horizontal="center" textRotation="90" wrapText="1"/>
    </xf>
    <xf numFmtId="0" fontId="0" fillId="3" borderId="8" xfId="0" applyFill="1" applyBorder="1" applyAlignment="1">
      <alignment wrapText="1"/>
    </xf>
    <xf numFmtId="0" fontId="0" fillId="3" borderId="77" xfId="0" applyFill="1" applyBorder="1"/>
    <xf numFmtId="204" fontId="0" fillId="3" borderId="78" xfId="0" applyNumberFormat="1" applyFill="1" applyBorder="1" applyAlignment="1">
      <alignment horizontal="right"/>
    </xf>
    <xf numFmtId="204" fontId="0" fillId="2" borderId="79" xfId="0" applyNumberFormat="1" applyFill="1" applyBorder="1"/>
    <xf numFmtId="10" fontId="2" fillId="3" borderId="76" xfId="1" applyNumberFormat="1" applyFont="1" applyFill="1" applyBorder="1"/>
    <xf numFmtId="9" fontId="2" fillId="2" borderId="80" xfId="1" applyFont="1" applyFill="1" applyBorder="1" applyProtection="1">
      <protection locked="0"/>
    </xf>
    <xf numFmtId="9" fontId="2" fillId="2" borderId="77" xfId="1" applyFont="1" applyFill="1" applyBorder="1" applyProtection="1">
      <protection locked="0"/>
    </xf>
    <xf numFmtId="10" fontId="2" fillId="2" borderId="81" xfId="1" applyNumberFormat="1" applyFont="1" applyFill="1" applyBorder="1" applyProtection="1">
      <protection locked="0"/>
    </xf>
    <xf numFmtId="0" fontId="0" fillId="2" borderId="83" xfId="0" applyFill="1" applyBorder="1" applyProtection="1">
      <protection locked="0"/>
    </xf>
    <xf numFmtId="204" fontId="0" fillId="2" borderId="84" xfId="0" applyNumberFormat="1" applyFill="1" applyBorder="1" applyAlignment="1" applyProtection="1">
      <alignment horizontal="right"/>
      <protection locked="0"/>
    </xf>
    <xf numFmtId="204" fontId="0" fillId="0" borderId="85" xfId="0" applyNumberFormat="1" applyBorder="1"/>
    <xf numFmtId="10" fontId="2" fillId="3" borderId="82" xfId="1" applyNumberFormat="1" applyFont="1" applyFill="1" applyBorder="1"/>
    <xf numFmtId="9" fontId="2" fillId="2" borderId="86" xfId="1" applyFont="1" applyFill="1" applyBorder="1" applyProtection="1">
      <protection locked="0"/>
    </xf>
    <xf numFmtId="9" fontId="2" fillId="2" borderId="83" xfId="1" applyFont="1" applyFill="1" applyBorder="1" applyProtection="1">
      <protection locked="0"/>
    </xf>
    <xf numFmtId="10" fontId="2" fillId="2" borderId="87" xfId="1" applyNumberFormat="1" applyFont="1" applyFill="1" applyBorder="1" applyProtection="1">
      <protection locked="0"/>
    </xf>
    <xf numFmtId="0" fontId="0" fillId="2" borderId="89" xfId="0" applyFill="1" applyBorder="1" applyProtection="1">
      <protection locked="0"/>
    </xf>
    <xf numFmtId="204" fontId="0" fillId="2" borderId="90" xfId="0" applyNumberFormat="1" applyFill="1" applyBorder="1" applyAlignment="1" applyProtection="1">
      <alignment horizontal="right"/>
      <protection locked="0"/>
    </xf>
    <xf numFmtId="204" fontId="0" fillId="0" borderId="91" xfId="0" applyNumberFormat="1" applyBorder="1"/>
    <xf numFmtId="10" fontId="2" fillId="3" borderId="88" xfId="1" applyNumberFormat="1" applyFont="1" applyFill="1" applyBorder="1"/>
    <xf numFmtId="9" fontId="2" fillId="2" borderId="92" xfId="1" applyFont="1" applyFill="1" applyBorder="1" applyProtection="1">
      <protection locked="0"/>
    </xf>
    <xf numFmtId="9" fontId="2" fillId="2" borderId="89" xfId="1" applyFont="1" applyFill="1" applyBorder="1" applyProtection="1">
      <protection locked="0"/>
    </xf>
    <xf numFmtId="10" fontId="2" fillId="2" borderId="93" xfId="1" applyNumberFormat="1" applyFont="1" applyFill="1" applyBorder="1" applyProtection="1">
      <protection locked="0"/>
    </xf>
    <xf numFmtId="0" fontId="0" fillId="3" borderId="9" xfId="0" applyFill="1" applyBorder="1"/>
    <xf numFmtId="0" fontId="0" fillId="3" borderId="10" xfId="0" applyFill="1" applyBorder="1"/>
    <xf numFmtId="0" fontId="0" fillId="3" borderId="11" xfId="0" applyFill="1" applyBorder="1"/>
    <xf numFmtId="205" fontId="0" fillId="3" borderId="78" xfId="0" applyNumberFormat="1" applyFill="1" applyBorder="1"/>
    <xf numFmtId="205" fontId="0" fillId="2" borderId="80" xfId="0" applyNumberFormat="1" applyFill="1" applyBorder="1" applyProtection="1">
      <protection locked="0"/>
    </xf>
    <xf numFmtId="205" fontId="0" fillId="2" borderId="77" xfId="0" applyNumberFormat="1" applyFill="1" applyBorder="1" applyProtection="1">
      <protection locked="0"/>
    </xf>
    <xf numFmtId="205" fontId="0" fillId="3" borderId="84" xfId="0" applyNumberFormat="1" applyFill="1" applyBorder="1"/>
    <xf numFmtId="205" fontId="0" fillId="2" borderId="86" xfId="0" applyNumberFormat="1" applyFill="1" applyBorder="1" applyProtection="1">
      <protection locked="0"/>
    </xf>
    <xf numFmtId="205" fontId="0" fillId="2" borderId="83" xfId="0" applyNumberFormat="1" applyFill="1" applyBorder="1" applyProtection="1">
      <protection locked="0"/>
    </xf>
    <xf numFmtId="205" fontId="0" fillId="3" borderId="90" xfId="0" applyNumberFormat="1" applyFill="1" applyBorder="1"/>
    <xf numFmtId="205" fontId="0" fillId="2" borderId="92" xfId="0" applyNumberFormat="1" applyFill="1" applyBorder="1" applyProtection="1">
      <protection locked="0"/>
    </xf>
    <xf numFmtId="205" fontId="0" fillId="2" borderId="89" xfId="0" applyNumberFormat="1" applyFill="1" applyBorder="1" applyProtection="1">
      <protection locked="0"/>
    </xf>
    <xf numFmtId="206" fontId="0" fillId="2" borderId="79" xfId="0" applyNumberFormat="1" applyFill="1" applyBorder="1" applyProtection="1">
      <protection locked="0"/>
    </xf>
    <xf numFmtId="206" fontId="0" fillId="2" borderId="85" xfId="0" applyNumberFormat="1" applyFill="1" applyBorder="1" applyProtection="1">
      <protection locked="0"/>
    </xf>
    <xf numFmtId="206" fontId="0" fillId="2" borderId="91" xfId="0" applyNumberFormat="1" applyFill="1" applyBorder="1" applyProtection="1">
      <protection locked="0"/>
    </xf>
    <xf numFmtId="207" fontId="0" fillId="2" borderId="78" xfId="0" applyNumberFormat="1" applyFill="1" applyBorder="1" applyProtection="1">
      <protection locked="0"/>
    </xf>
    <xf numFmtId="207" fontId="0" fillId="2" borderId="84" xfId="0" applyNumberFormat="1" applyFill="1" applyBorder="1" applyProtection="1">
      <protection locked="0"/>
    </xf>
    <xf numFmtId="207" fontId="0" fillId="2" borderId="90" xfId="0" applyNumberFormat="1" applyFill="1" applyBorder="1" applyProtection="1">
      <protection locked="0"/>
    </xf>
    <xf numFmtId="208" fontId="2" fillId="2" borderId="79" xfId="1" applyNumberFormat="1" applyFont="1" applyFill="1" applyBorder="1" applyProtection="1">
      <protection locked="0"/>
    </xf>
    <xf numFmtId="208" fontId="2" fillId="2" borderId="85" xfId="1" applyNumberFormat="1" applyFont="1" applyFill="1" applyBorder="1" applyProtection="1">
      <protection locked="0"/>
    </xf>
    <xf numFmtId="208" fontId="2" fillId="2" borderId="91" xfId="1" applyNumberFormat="1" applyFont="1" applyFill="1" applyBorder="1" applyProtection="1">
      <protection locked="0"/>
    </xf>
    <xf numFmtId="209" fontId="2" fillId="2" borderId="78" xfId="1" applyNumberFormat="1" applyFont="1" applyFill="1" applyBorder="1" applyProtection="1">
      <protection locked="0"/>
    </xf>
    <xf numFmtId="209" fontId="2" fillId="2" borderId="84" xfId="1" applyNumberFormat="1" applyFont="1" applyFill="1" applyBorder="1" applyProtection="1">
      <protection locked="0"/>
    </xf>
    <xf numFmtId="209" fontId="2" fillId="2" borderId="90" xfId="1" applyNumberFormat="1" applyFont="1" applyFill="1" applyBorder="1" applyProtection="1">
      <protection locked="0"/>
    </xf>
    <xf numFmtId="210" fontId="0" fillId="2" borderId="76" xfId="0" applyNumberFormat="1" applyFill="1" applyBorder="1" applyAlignment="1" applyProtection="1">
      <alignment horizontal="left"/>
      <protection locked="0"/>
    </xf>
    <xf numFmtId="210" fontId="0" fillId="2" borderId="82" xfId="0" applyNumberFormat="1" applyFill="1" applyBorder="1" applyAlignment="1" applyProtection="1">
      <alignment horizontal="left"/>
      <protection locked="0"/>
    </xf>
    <xf numFmtId="210" fontId="0" fillId="2" borderId="88" xfId="0" applyNumberFormat="1" applyFill="1" applyBorder="1" applyAlignment="1" applyProtection="1">
      <alignment horizontal="left"/>
      <protection locked="0"/>
    </xf>
    <xf numFmtId="0" fontId="12" fillId="3" borderId="0" xfId="0" applyFont="1" applyFill="1" applyAlignment="1">
      <alignment vertical="center" wrapText="1"/>
    </xf>
    <xf numFmtId="204" fontId="9" fillId="3" borderId="45" xfId="3" applyNumberFormat="1" applyFont="1" applyFill="1" applyBorder="1" applyAlignment="1">
      <alignment horizontal="right" vertical="center"/>
    </xf>
    <xf numFmtId="204" fontId="9" fillId="3" borderId="30" xfId="3" applyNumberFormat="1" applyFont="1" applyFill="1" applyBorder="1" applyAlignment="1">
      <alignment horizontal="right" vertical="center"/>
    </xf>
    <xf numFmtId="14" fontId="61" fillId="3" borderId="0" xfId="0" applyNumberFormat="1" applyFont="1" applyFill="1" applyAlignment="1">
      <alignment horizontal="left"/>
    </xf>
    <xf numFmtId="0" fontId="9" fillId="0" borderId="0" xfId="0" applyFont="1" applyAlignment="1">
      <alignment horizontal="left"/>
    </xf>
    <xf numFmtId="196" fontId="73" fillId="2" borderId="36" xfId="0" applyNumberFormat="1" applyFont="1" applyFill="1" applyBorder="1" applyAlignment="1" applyProtection="1">
      <alignment horizontal="right" vertical="top" wrapText="1"/>
      <protection locked="0"/>
    </xf>
    <xf numFmtId="197" fontId="73" fillId="2" borderId="36" xfId="0" applyNumberFormat="1" applyFont="1" applyFill="1" applyBorder="1" applyAlignment="1" applyProtection="1">
      <alignment horizontal="right" vertical="top" wrapText="1"/>
      <protection locked="0"/>
    </xf>
    <xf numFmtId="0" fontId="74" fillId="3" borderId="2" xfId="0" applyFont="1" applyFill="1" applyBorder="1"/>
    <xf numFmtId="0" fontId="10" fillId="2" borderId="44" xfId="0" applyFont="1" applyFill="1" applyBorder="1" applyAlignment="1" applyProtection="1">
      <alignment horizontal="center" vertical="center"/>
      <protection locked="0"/>
    </xf>
    <xf numFmtId="0" fontId="10" fillId="2" borderId="29" xfId="0" applyFont="1" applyFill="1" applyBorder="1" applyAlignment="1" applyProtection="1">
      <alignment horizontal="center" vertical="center"/>
      <protection locked="0"/>
    </xf>
    <xf numFmtId="0" fontId="1" fillId="0" borderId="0" xfId="0" applyFont="1"/>
    <xf numFmtId="10" fontId="9" fillId="3" borderId="0" xfId="1" applyNumberFormat="1" applyFont="1" applyFill="1" applyBorder="1" applyAlignment="1" applyProtection="1">
      <alignment vertical="center"/>
      <protection locked="0"/>
    </xf>
    <xf numFmtId="0" fontId="75" fillId="3" borderId="8" xfId="0" applyFont="1" applyFill="1" applyBorder="1" applyAlignment="1" applyProtection="1">
      <alignment horizontal="center" vertical="center"/>
      <protection locked="0"/>
    </xf>
    <xf numFmtId="49" fontId="77" fillId="2" borderId="36" xfId="0" applyNumberFormat="1" applyFont="1" applyFill="1" applyBorder="1" applyAlignment="1" applyProtection="1">
      <alignment horizontal="right" vertical="top" wrapText="1"/>
      <protection locked="0"/>
    </xf>
    <xf numFmtId="195" fontId="1" fillId="3" borderId="2" xfId="0" applyNumberFormat="1" applyFont="1" applyFill="1" applyBorder="1" applyAlignment="1">
      <alignment horizontal="center" vertical="center"/>
    </xf>
    <xf numFmtId="195" fontId="1" fillId="3" borderId="64" xfId="0" applyNumberFormat="1" applyFont="1" applyFill="1" applyBorder="1" applyAlignment="1">
      <alignment horizontal="center" vertical="center"/>
    </xf>
    <xf numFmtId="49" fontId="9" fillId="2" borderId="45" xfId="0" applyNumberFormat="1" applyFont="1" applyFill="1" applyBorder="1" applyAlignment="1" applyProtection="1">
      <alignment horizontal="center" vertical="top" wrapText="1"/>
      <protection locked="0"/>
    </xf>
    <xf numFmtId="49" fontId="9" fillId="2" borderId="35" xfId="0" applyNumberFormat="1" applyFont="1" applyFill="1" applyBorder="1" applyAlignment="1" applyProtection="1">
      <alignment horizontal="center" vertical="top" wrapText="1"/>
      <protection locked="0"/>
    </xf>
    <xf numFmtId="196" fontId="9" fillId="2" borderId="36" xfId="0" applyNumberFormat="1" applyFont="1" applyFill="1" applyBorder="1" applyAlignment="1" applyProtection="1">
      <alignment horizontal="center" vertical="top" wrapText="1"/>
      <protection locked="0"/>
    </xf>
    <xf numFmtId="197" fontId="9" fillId="2" borderId="36" xfId="0" applyNumberFormat="1" applyFont="1" applyFill="1" applyBorder="1" applyAlignment="1" applyProtection="1">
      <alignment horizontal="center" vertical="top" wrapText="1"/>
      <protection locked="0"/>
    </xf>
    <xf numFmtId="10" fontId="9" fillId="2" borderId="36" xfId="0" applyNumberFormat="1" applyFont="1" applyFill="1" applyBorder="1" applyAlignment="1" applyProtection="1">
      <alignment horizontal="center" vertical="top" wrapText="1"/>
      <protection locked="0"/>
    </xf>
    <xf numFmtId="49" fontId="9" fillId="2" borderId="30" xfId="0" applyNumberFormat="1" applyFont="1" applyFill="1" applyBorder="1" applyAlignment="1" applyProtection="1">
      <alignment horizontal="center" vertical="top" wrapText="1"/>
      <protection locked="0"/>
    </xf>
    <xf numFmtId="0" fontId="10" fillId="3" borderId="44" xfId="0" applyFont="1" applyFill="1" applyBorder="1" applyAlignment="1">
      <alignment horizontal="center" vertical="center"/>
    </xf>
    <xf numFmtId="198" fontId="9" fillId="2" borderId="30" xfId="0" applyNumberFormat="1" applyFont="1" applyFill="1" applyBorder="1" applyAlignment="1" applyProtection="1">
      <alignment horizontal="right" vertical="center"/>
      <protection locked="0"/>
    </xf>
    <xf numFmtId="10" fontId="9" fillId="2" borderId="30" xfId="1" applyNumberFormat="1" applyFont="1" applyFill="1" applyBorder="1" applyAlignment="1" applyProtection="1">
      <alignment horizontal="right" vertical="center"/>
      <protection locked="0"/>
    </xf>
    <xf numFmtId="191" fontId="9" fillId="2" borderId="30" xfId="0" applyNumberFormat="1" applyFont="1" applyFill="1" applyBorder="1" applyAlignment="1" applyProtection="1">
      <alignment horizontal="right" vertical="center"/>
      <protection locked="0"/>
    </xf>
    <xf numFmtId="190" fontId="9" fillId="2" borderId="38" xfId="1" applyNumberFormat="1" applyFont="1" applyFill="1" applyBorder="1" applyAlignment="1" applyProtection="1">
      <alignment horizontal="right" vertical="center"/>
      <protection locked="0"/>
    </xf>
    <xf numFmtId="182" fontId="9" fillId="3" borderId="35" xfId="0" applyNumberFormat="1" applyFont="1" applyFill="1" applyBorder="1" applyAlignment="1">
      <alignment horizontal="right" vertical="center"/>
    </xf>
    <xf numFmtId="181" fontId="9" fillId="3" borderId="0" xfId="3" applyNumberFormat="1" applyFont="1" applyFill="1" applyBorder="1" applyAlignment="1">
      <alignment horizontal="left" vertical="top" wrapText="1"/>
    </xf>
    <xf numFmtId="181" fontId="9" fillId="3" borderId="8" xfId="3" applyNumberFormat="1" applyFont="1" applyFill="1" applyBorder="1" applyAlignment="1">
      <alignment horizontal="left" vertical="top"/>
    </xf>
    <xf numFmtId="181" fontId="9" fillId="3" borderId="0" xfId="3" applyNumberFormat="1" applyFont="1" applyFill="1" applyBorder="1" applyAlignment="1">
      <alignment horizontal="left" vertical="top"/>
    </xf>
    <xf numFmtId="195" fontId="9" fillId="3" borderId="17" xfId="3" applyNumberFormat="1" applyFont="1" applyFill="1" applyBorder="1" applyAlignment="1">
      <alignment horizontal="left" vertical="top"/>
    </xf>
    <xf numFmtId="0" fontId="9" fillId="3" borderId="16" xfId="0" applyFont="1" applyFill="1" applyBorder="1" applyAlignment="1">
      <alignment horizontal="left" vertical="center"/>
    </xf>
    <xf numFmtId="49" fontId="9" fillId="3" borderId="15" xfId="0" applyNumberFormat="1" applyFont="1" applyFill="1" applyBorder="1" applyAlignment="1">
      <alignment horizontal="left" vertical="center"/>
    </xf>
    <xf numFmtId="0" fontId="32" fillId="4" borderId="0" xfId="0" applyFont="1" applyFill="1" applyAlignment="1">
      <alignment horizontal="center" vertical="center"/>
    </xf>
    <xf numFmtId="193" fontId="9" fillId="3" borderId="16" xfId="0" applyNumberFormat="1" applyFont="1" applyFill="1" applyBorder="1" applyAlignment="1">
      <alignment horizontal="left" vertical="center"/>
    </xf>
    <xf numFmtId="180" fontId="24" fillId="3" borderId="16" xfId="0" applyNumberFormat="1" applyFont="1" applyFill="1" applyBorder="1" applyAlignment="1">
      <alignment horizontal="left" vertical="center"/>
    </xf>
    <xf numFmtId="0" fontId="51" fillId="3" borderId="5" xfId="0" applyFont="1" applyFill="1" applyBorder="1" applyAlignment="1">
      <alignment horizontal="left" vertical="center" wrapText="1"/>
    </xf>
    <xf numFmtId="0" fontId="7" fillId="4" borderId="10" xfId="0" applyFont="1" applyFill="1" applyBorder="1" applyAlignment="1">
      <alignment horizontal="center" vertical="center"/>
    </xf>
    <xf numFmtId="0" fontId="3" fillId="2" borderId="15" xfId="0" applyFont="1" applyFill="1" applyBorder="1" applyAlignment="1" applyProtection="1">
      <alignment horizontal="left" vertical="top" wrapText="1"/>
      <protection locked="0"/>
    </xf>
    <xf numFmtId="0" fontId="3" fillId="2" borderId="15" xfId="0" applyFont="1" applyFill="1" applyBorder="1" applyAlignment="1" applyProtection="1">
      <alignment horizontal="left" vertical="top"/>
      <protection locked="0"/>
    </xf>
    <xf numFmtId="0" fontId="3" fillId="2" borderId="0" xfId="0" applyFont="1" applyFill="1" applyAlignment="1" applyProtection="1">
      <alignment horizontal="left" vertical="top" wrapText="1"/>
      <protection locked="0"/>
    </xf>
    <xf numFmtId="0" fontId="3" fillId="2" borderId="16" xfId="0" applyFont="1" applyFill="1" applyBorder="1" applyAlignment="1" applyProtection="1">
      <alignment horizontal="left" vertical="top"/>
      <protection locked="0"/>
    </xf>
    <xf numFmtId="0" fontId="3" fillId="2" borderId="17" xfId="0" applyFont="1" applyFill="1" applyBorder="1" applyAlignment="1" applyProtection="1">
      <alignment horizontal="left" vertical="top"/>
      <protection locked="0"/>
    </xf>
    <xf numFmtId="0" fontId="12" fillId="6" borderId="4" xfId="0" applyFont="1" applyFill="1" applyBorder="1" applyAlignment="1">
      <alignment horizontal="left" vertical="top" wrapText="1"/>
    </xf>
    <xf numFmtId="0" fontId="12" fillId="6" borderId="5" xfId="0" applyFont="1" applyFill="1" applyBorder="1" applyAlignment="1">
      <alignment horizontal="left" vertical="top" wrapText="1"/>
    </xf>
    <xf numFmtId="0" fontId="12" fillId="6" borderId="6" xfId="0" applyFont="1" applyFill="1" applyBorder="1" applyAlignment="1">
      <alignment horizontal="left" vertical="top" wrapText="1"/>
    </xf>
    <xf numFmtId="0" fontId="12" fillId="6" borderId="7" xfId="0" applyFont="1" applyFill="1" applyBorder="1" applyAlignment="1">
      <alignment horizontal="left" vertical="top" wrapText="1"/>
    </xf>
    <xf numFmtId="0" fontId="12" fillId="6" borderId="0" xfId="0" applyFont="1" applyFill="1" applyAlignment="1">
      <alignment horizontal="left" vertical="top" wrapText="1"/>
    </xf>
    <xf numFmtId="0" fontId="12" fillId="6" borderId="8" xfId="0" applyFont="1" applyFill="1" applyBorder="1" applyAlignment="1">
      <alignment horizontal="left" vertical="top" wrapText="1"/>
    </xf>
    <xf numFmtId="0" fontId="5" fillId="2" borderId="0" xfId="0" applyFont="1" applyFill="1" applyAlignment="1" applyProtection="1">
      <alignment horizontal="left" vertical="center" shrinkToFit="1"/>
      <protection locked="0"/>
    </xf>
    <xf numFmtId="0" fontId="3" fillId="2" borderId="16" xfId="0" applyFont="1" applyFill="1" applyBorder="1" applyAlignment="1" applyProtection="1">
      <alignment horizontal="left" vertical="top" wrapText="1"/>
      <protection locked="0"/>
    </xf>
    <xf numFmtId="0" fontId="68" fillId="3" borderId="13" xfId="0" applyFont="1" applyFill="1" applyBorder="1" applyAlignment="1">
      <alignment horizontal="center" vertical="center"/>
    </xf>
    <xf numFmtId="0" fontId="68" fillId="3" borderId="28" xfId="0" applyFont="1" applyFill="1" applyBorder="1" applyAlignment="1">
      <alignment horizontal="center" vertical="center"/>
    </xf>
    <xf numFmtId="0" fontId="68" fillId="3" borderId="14" xfId="0" applyFont="1" applyFill="1" applyBorder="1" applyAlignment="1">
      <alignment horizontal="center" vertical="center"/>
    </xf>
    <xf numFmtId="0" fontId="3" fillId="3" borderId="16" xfId="0" applyFont="1" applyFill="1" applyBorder="1" applyAlignment="1">
      <alignment horizontal="left" vertical="center"/>
    </xf>
    <xf numFmtId="0" fontId="0" fillId="0" borderId="16" xfId="0" applyBorder="1" applyAlignment="1">
      <alignment horizontal="left" vertical="center"/>
    </xf>
    <xf numFmtId="195" fontId="3" fillId="3" borderId="15" xfId="0" applyNumberFormat="1" applyFont="1" applyFill="1" applyBorder="1" applyAlignment="1">
      <alignment horizontal="center" vertical="center"/>
    </xf>
    <xf numFmtId="0" fontId="3" fillId="3" borderId="15" xfId="0" applyFont="1" applyFill="1" applyBorder="1" applyAlignment="1">
      <alignment horizontal="center" vertical="center"/>
    </xf>
    <xf numFmtId="0" fontId="3" fillId="3" borderId="15" xfId="0" applyFont="1" applyFill="1" applyBorder="1" applyAlignment="1">
      <alignment horizontal="right" vertical="center"/>
    </xf>
    <xf numFmtId="0" fontId="3" fillId="3" borderId="16" xfId="0" applyFont="1" applyFill="1" applyBorder="1" applyAlignment="1">
      <alignment horizontal="center" vertical="center"/>
    </xf>
    <xf numFmtId="0" fontId="4" fillId="3" borderId="15" xfId="0" applyFont="1" applyFill="1" applyBorder="1" applyAlignment="1">
      <alignment horizontal="left" vertical="center"/>
    </xf>
    <xf numFmtId="0" fontId="4" fillId="3" borderId="29" xfId="0" applyFont="1" applyFill="1" applyBorder="1" applyAlignment="1">
      <alignment horizontal="center" vertical="top" wrapText="1"/>
    </xf>
    <xf numFmtId="0" fontId="4" fillId="3" borderId="43" xfId="0" applyFont="1" applyFill="1" applyBorder="1" applyAlignment="1">
      <alignment horizontal="center" vertical="top" wrapText="1"/>
    </xf>
    <xf numFmtId="0" fontId="50" fillId="3" borderId="37" xfId="0" applyFont="1" applyFill="1" applyBorder="1" applyAlignment="1">
      <alignment horizontal="left" vertical="top"/>
    </xf>
    <xf numFmtId="0" fontId="50" fillId="3" borderId="0" xfId="0" applyFont="1" applyFill="1" applyAlignment="1">
      <alignment horizontal="left" vertical="top"/>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22" fillId="3" borderId="0" xfId="0" applyFont="1" applyFill="1" applyAlignment="1">
      <alignment horizontal="left" vertical="center"/>
    </xf>
    <xf numFmtId="0" fontId="22" fillId="3" borderId="8" xfId="0" applyFont="1" applyFill="1" applyBorder="1" applyAlignment="1">
      <alignment horizontal="left" vertical="center"/>
    </xf>
    <xf numFmtId="195" fontId="1" fillId="3" borderId="2" xfId="0" applyNumberFormat="1" applyFont="1" applyFill="1" applyBorder="1" applyAlignment="1">
      <alignment horizontal="center" vertical="center"/>
    </xf>
    <xf numFmtId="195" fontId="1" fillId="3" borderId="3" xfId="0" applyNumberFormat="1" applyFont="1" applyFill="1" applyBorder="1" applyAlignment="1">
      <alignment horizontal="center" vertical="center"/>
    </xf>
    <xf numFmtId="0" fontId="4" fillId="3" borderId="34" xfId="0" applyFont="1" applyFill="1" applyBorder="1" applyAlignment="1">
      <alignment horizontal="left"/>
    </xf>
    <xf numFmtId="0" fontId="69" fillId="0" borderId="17" xfId="0" applyFont="1" applyBorder="1" applyAlignment="1">
      <alignment horizontal="left"/>
    </xf>
    <xf numFmtId="0" fontId="7" fillId="4" borderId="0" xfId="0" applyFont="1" applyFill="1" applyAlignment="1">
      <alignment horizontal="center" vertical="center"/>
    </xf>
    <xf numFmtId="0" fontId="5" fillId="3" borderId="37" xfId="0" applyFont="1" applyFill="1" applyBorder="1" applyAlignment="1">
      <alignment horizontal="left" vertical="top"/>
    </xf>
    <xf numFmtId="0" fontId="5" fillId="3" borderId="0" xfId="0" applyFont="1" applyFill="1" applyAlignment="1">
      <alignment horizontal="left" vertical="top"/>
    </xf>
    <xf numFmtId="49" fontId="3" fillId="3" borderId="15" xfId="0" applyNumberFormat="1" applyFont="1" applyFill="1" applyBorder="1" applyAlignment="1">
      <alignment horizontal="left" vertical="center"/>
    </xf>
    <xf numFmtId="0" fontId="3" fillId="3" borderId="15" xfId="0" applyFont="1" applyFill="1" applyBorder="1" applyAlignment="1">
      <alignment horizontal="left" vertical="center"/>
    </xf>
    <xf numFmtId="0" fontId="3" fillId="3" borderId="0" xfId="0" applyFont="1" applyFill="1" applyAlignment="1">
      <alignment horizontal="left" vertical="center"/>
    </xf>
    <xf numFmtId="193" fontId="3" fillId="2" borderId="0" xfId="0" applyNumberFormat="1" applyFont="1" applyFill="1" applyAlignment="1" applyProtection="1">
      <alignment horizontal="left" vertical="center"/>
      <protection locked="0"/>
    </xf>
    <xf numFmtId="0" fontId="24" fillId="3" borderId="5" xfId="0" applyFont="1" applyFill="1" applyBorder="1" applyAlignment="1">
      <alignment horizontal="center"/>
    </xf>
    <xf numFmtId="0" fontId="4" fillId="3" borderId="15" xfId="0" applyFont="1" applyFill="1" applyBorder="1" applyAlignment="1">
      <alignment horizontal="center" wrapText="1"/>
    </xf>
    <xf numFmtId="0" fontId="4" fillId="3" borderId="15" xfId="0" applyFont="1" applyFill="1" applyBorder="1" applyAlignment="1">
      <alignment horizontal="center"/>
    </xf>
    <xf numFmtId="0" fontId="4" fillId="3" borderId="15" xfId="0" applyFont="1" applyFill="1" applyBorder="1" applyAlignment="1">
      <alignment horizontal="left"/>
    </xf>
    <xf numFmtId="179" fontId="40" fillId="3" borderId="56" xfId="3" applyNumberFormat="1" applyFont="1" applyFill="1" applyBorder="1" applyAlignment="1">
      <alignment horizontal="left" vertical="center"/>
    </xf>
    <xf numFmtId="179" fontId="40" fillId="3" borderId="19" xfId="3" applyNumberFormat="1" applyFont="1" applyFill="1" applyBorder="1" applyAlignment="1">
      <alignment horizontal="left" vertical="center"/>
    </xf>
    <xf numFmtId="0" fontId="3" fillId="3" borderId="39" xfId="0" applyFont="1" applyFill="1" applyBorder="1" applyAlignment="1">
      <alignment horizontal="left"/>
    </xf>
    <xf numFmtId="0" fontId="0" fillId="0" borderId="17" xfId="0" applyBorder="1" applyAlignment="1">
      <alignment horizontal="left"/>
    </xf>
    <xf numFmtId="0" fontId="0" fillId="0" borderId="41" xfId="0" applyBorder="1" applyAlignment="1">
      <alignment horizontal="left"/>
    </xf>
    <xf numFmtId="0" fontId="3" fillId="3" borderId="54" xfId="0" applyFont="1" applyFill="1" applyBorder="1" applyAlignment="1">
      <alignment horizontal="left" vertical="center" wrapText="1"/>
    </xf>
    <xf numFmtId="0" fontId="3" fillId="3" borderId="12" xfId="0" applyFont="1" applyFill="1" applyBorder="1" applyAlignment="1">
      <alignment horizontal="left" vertical="center"/>
    </xf>
    <xf numFmtId="0" fontId="3" fillId="3" borderId="42" xfId="0" applyFont="1" applyFill="1" applyBorder="1" applyAlignment="1">
      <alignment horizontal="left" vertical="center"/>
    </xf>
    <xf numFmtId="0" fontId="4" fillId="3" borderId="71" xfId="0" applyFont="1" applyFill="1" applyBorder="1" applyAlignment="1">
      <alignment horizontal="left" wrapText="1"/>
    </xf>
    <xf numFmtId="0" fontId="4" fillId="3" borderId="20" xfId="0" applyFont="1" applyFill="1" applyBorder="1" applyAlignment="1">
      <alignment horizontal="left" wrapText="1"/>
    </xf>
    <xf numFmtId="0" fontId="4" fillId="3" borderId="19" xfId="0" applyFont="1" applyFill="1" applyBorder="1" applyAlignment="1">
      <alignment horizontal="left" wrapText="1"/>
    </xf>
    <xf numFmtId="0" fontId="4" fillId="3" borderId="0" xfId="0" applyFont="1" applyFill="1" applyAlignment="1">
      <alignment horizontal="left" wrapText="1"/>
    </xf>
    <xf numFmtId="0" fontId="4" fillId="3" borderId="55" xfId="0" applyFont="1" applyFill="1" applyBorder="1" applyAlignment="1">
      <alignment horizontal="left"/>
    </xf>
    <xf numFmtId="0" fontId="3" fillId="3" borderId="38" xfId="0" applyFont="1" applyFill="1" applyBorder="1" applyAlignment="1">
      <alignment horizontal="left"/>
    </xf>
    <xf numFmtId="0" fontId="3" fillId="3" borderId="16" xfId="0" applyFont="1" applyFill="1" applyBorder="1" applyAlignment="1">
      <alignment horizontal="left"/>
    </xf>
    <xf numFmtId="0" fontId="3" fillId="3" borderId="40" xfId="0" applyFont="1" applyFill="1" applyBorder="1" applyAlignment="1">
      <alignment horizontal="left"/>
    </xf>
    <xf numFmtId="0" fontId="4" fillId="3" borderId="33" xfId="0" applyFont="1" applyFill="1" applyBorder="1" applyAlignment="1">
      <alignment horizontal="left"/>
    </xf>
    <xf numFmtId="0" fontId="69" fillId="0" borderId="16" xfId="0" applyFont="1" applyBorder="1" applyAlignment="1">
      <alignment horizontal="left"/>
    </xf>
    <xf numFmtId="0" fontId="0" fillId="0" borderId="16" xfId="0" applyBorder="1" applyAlignment="1">
      <alignment horizontal="left"/>
    </xf>
    <xf numFmtId="0" fontId="0" fillId="0" borderId="40" xfId="0" applyBorder="1" applyAlignment="1">
      <alignment horizontal="left"/>
    </xf>
    <xf numFmtId="0" fontId="0" fillId="2" borderId="0" xfId="0" applyFill="1" applyAlignment="1">
      <alignment horizontal="left"/>
    </xf>
    <xf numFmtId="14" fontId="6" fillId="3" borderId="18" xfId="0" applyNumberFormat="1" applyFont="1" applyFill="1" applyBorder="1" applyAlignment="1">
      <alignment horizontal="left" vertical="center"/>
    </xf>
    <xf numFmtId="0" fontId="3" fillId="3" borderId="18" xfId="0" applyFont="1" applyFill="1" applyBorder="1" applyAlignment="1">
      <alignment horizontal="left" vertical="center" wrapText="1"/>
    </xf>
    <xf numFmtId="0" fontId="3" fillId="3" borderId="3" xfId="0" applyFont="1" applyFill="1" applyBorder="1" applyAlignment="1">
      <alignment horizontal="left" vertical="center" wrapText="1"/>
    </xf>
    <xf numFmtId="0" fontId="6" fillId="0" borderId="0" xfId="0" applyFont="1" applyAlignment="1">
      <alignment horizontal="left"/>
    </xf>
  </cellXfs>
  <cellStyles count="4">
    <cellStyle name="Standard 2" xfId="2" xr:uid="{00000000-0005-0000-0000-000003000000}"/>
    <cellStyle name="百分比" xfId="1" builtinId="5"/>
    <cellStyle name="常规" xfId="0" builtinId="0"/>
    <cellStyle name="千位分隔" xfId="3" builtinId="3"/>
  </cellStyles>
  <dxfs count="44">
    <dxf>
      <font>
        <condense val="0"/>
        <extend val="0"/>
        <color indexed="10"/>
      </font>
    </dxf>
    <dxf>
      <font>
        <condense val="0"/>
        <extend val="0"/>
        <color indexed="10"/>
      </font>
    </dxf>
    <dxf>
      <font>
        <condense val="0"/>
        <extend val="0"/>
        <color indexed="10"/>
      </font>
    </dxf>
    <dxf>
      <font>
        <condense val="0"/>
        <extend val="0"/>
        <color indexed="10"/>
      </font>
    </dxf>
    <dxf>
      <font>
        <color rgb="FFC00000"/>
      </font>
    </dxf>
    <dxf>
      <font>
        <color rgb="FF008000"/>
      </font>
    </dxf>
    <dxf>
      <font>
        <color rgb="FFC0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ont>
        <b/>
        <i val="0"/>
        <color theme="0"/>
      </font>
      <fill>
        <patternFill>
          <bgColor rgb="FFFF0000"/>
        </patternFill>
      </fill>
    </dxf>
    <dxf>
      <font>
        <b/>
        <i val="0"/>
        <color theme="0"/>
      </font>
      <fill>
        <patternFill>
          <bgColor rgb="FF00B050"/>
        </patternFill>
      </fill>
    </dxf>
    <dxf>
      <fill>
        <patternFill>
          <bgColor theme="0"/>
        </patternFill>
      </fill>
    </dxf>
    <dxf>
      <font>
        <b/>
        <i val="0"/>
        <color theme="0"/>
      </font>
      <fill>
        <patternFill>
          <bgColor rgb="FFFF0000"/>
        </patternFill>
      </fill>
    </dxf>
    <dxf>
      <fill>
        <patternFill>
          <bgColor rgb="FFFFFF00"/>
        </patternFill>
      </fill>
    </dxf>
    <dxf>
      <fill>
        <patternFill>
          <bgColor rgb="FFFF0000"/>
        </patternFill>
      </fill>
    </dxf>
    <dxf>
      <fill>
        <patternFill>
          <bgColor rgb="FF008000"/>
        </patternFill>
      </fill>
    </dxf>
    <dxf>
      <fill>
        <patternFill>
          <bgColor rgb="FF008000"/>
        </patternFill>
      </fill>
    </dxf>
    <dxf>
      <font>
        <b/>
        <i val="0"/>
        <color theme="1"/>
      </font>
      <fill>
        <patternFill>
          <bgColor rgb="FFFFFF00"/>
        </patternFill>
      </fill>
    </dxf>
    <dxf>
      <fill>
        <patternFill>
          <bgColor rgb="FFFF0000"/>
        </patternFill>
      </fill>
    </dxf>
    <dxf>
      <font>
        <color theme="0"/>
      </font>
      <fill>
        <patternFill>
          <bgColor theme="0"/>
        </patternFill>
      </fill>
    </dxf>
    <dxf>
      <fill>
        <patternFill>
          <bgColor rgb="FFFF0000"/>
        </patternFill>
      </fill>
    </dxf>
    <dxf>
      <font>
        <color theme="1"/>
      </font>
      <fill>
        <patternFill>
          <bgColor rgb="FFFFFF00"/>
        </patternFill>
      </fill>
    </dxf>
    <dxf>
      <fill>
        <patternFill>
          <bgColor rgb="FF008000"/>
        </patternFill>
      </fill>
    </dxf>
    <dxf>
      <font>
        <color theme="9"/>
      </font>
    </dxf>
    <dxf>
      <fill>
        <patternFill>
          <bgColor rgb="FFFFFF00"/>
        </patternFill>
      </fill>
    </dxf>
    <dxf>
      <font>
        <color theme="9"/>
      </font>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b/>
        <i val="0"/>
        <color theme="0"/>
      </font>
      <fill>
        <patternFill>
          <bgColor rgb="FFFF0000"/>
        </patternFill>
      </fill>
    </dxf>
    <dxf>
      <fill>
        <patternFill>
          <bgColor rgb="FFFFFF00"/>
        </patternFill>
      </fill>
    </dxf>
    <dxf>
      <font>
        <b/>
        <i val="0"/>
        <color theme="0"/>
      </font>
      <fill>
        <patternFill>
          <bgColor rgb="FF00B050"/>
        </patternFill>
      </fill>
    </dxf>
    <dxf>
      <fill>
        <patternFill>
          <bgColor theme="0"/>
        </patternFill>
      </fill>
    </dxf>
    <dxf>
      <font>
        <b/>
        <i val="0"/>
        <color theme="0"/>
      </font>
      <fill>
        <patternFill>
          <bgColor rgb="FFFF0000"/>
        </patternFill>
      </fill>
    </dxf>
    <dxf>
      <font>
        <color theme="9"/>
      </font>
    </dxf>
  </dxfs>
  <tableStyles count="0" defaultTableStyle="TableStyleMedium9" defaultPivotStyle="PivotStyleLight16"/>
  <colors>
    <mruColors>
      <color rgb="FFD39700"/>
      <color rgb="FF00B050"/>
      <color rgb="FF008000"/>
      <color rgb="FFFED100"/>
      <color rgb="FFFF9900"/>
      <color rgb="FFE75D12"/>
      <color rgb="FFFC5B00"/>
      <color rgb="FFE0BD00"/>
      <color rgb="FF9CAD14"/>
      <color rgb="FF1989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1"/>
          <c:order val="1"/>
          <c:tx>
            <c:v>planned capacity</c:v>
          </c:tx>
          <c:spPr>
            <a:solidFill>
              <a:schemeClr val="accent3">
                <a:lumMod val="40000"/>
                <a:lumOff val="60000"/>
              </a:schemeClr>
            </a:solidFill>
            <a:ln>
              <a:noFill/>
            </a:ln>
            <a:effectLst/>
          </c:spPr>
          <c:invertIfNegative val="0"/>
          <c:val>
            <c:numRef>
              <c:f>'Capacity overview'!$F$28:$F$57</c:f>
              <c:numCache>
                <c:formatCode>#,##0\ "parts/week"</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F-281E-48D9-98D7-C0591308E37D}"/>
            </c:ext>
          </c:extLst>
        </c:ser>
        <c:ser>
          <c:idx val="2"/>
          <c:order val="2"/>
          <c:tx>
            <c:v>proved capacity</c:v>
          </c:tx>
          <c:spPr>
            <a:solidFill>
              <a:schemeClr val="accent3">
                <a:lumMod val="50000"/>
              </a:schemeClr>
            </a:solidFill>
            <a:ln>
              <a:noFill/>
            </a:ln>
            <a:effectLst/>
          </c:spPr>
          <c:invertIfNegative val="0"/>
          <c:val>
            <c:numRef>
              <c:f>'Capacity overview'!$G$28:$G$57</c:f>
              <c:numCache>
                <c:formatCode>#,##0\ "parts/week"</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10-281E-48D9-98D7-C0591308E37D}"/>
            </c:ext>
          </c:extLst>
        </c:ser>
        <c:dLbls>
          <c:showLegendKey val="0"/>
          <c:showVal val="0"/>
          <c:showCatName val="0"/>
          <c:showSerName val="0"/>
          <c:showPercent val="0"/>
          <c:showBubbleSize val="0"/>
        </c:dLbls>
        <c:gapWidth val="150"/>
        <c:axId val="223396992"/>
        <c:axId val="223398528"/>
      </c:barChart>
      <c:lineChart>
        <c:grouping val="standard"/>
        <c:varyColors val="0"/>
        <c:ser>
          <c:idx val="0"/>
          <c:order val="0"/>
          <c:tx>
            <c:v>current demands</c:v>
          </c:tx>
          <c:spPr>
            <a:ln w="28575" cap="rnd">
              <a:solidFill>
                <a:srgbClr val="0070C0"/>
              </a:solidFill>
              <a:round/>
            </a:ln>
            <a:effectLst/>
          </c:spPr>
          <c:marker>
            <c:symbol val="none"/>
          </c:marker>
          <c:cat>
            <c:strRef>
              <c:f>'Capacity overview'!$B$28:$C$57</c:f>
              <c:strCache>
                <c:ptCount val="30"/>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pt idx="28">
                  <c:v>-</c:v>
                </c:pt>
                <c:pt idx="29">
                  <c:v>-</c:v>
                </c:pt>
              </c:strCache>
            </c:strRef>
          </c:cat>
          <c:val>
            <c:numRef>
              <c:f>'Capacity overview'!$D$28:$D$57</c:f>
              <c:numCache>
                <c:formatCode>#,##0\ "parts/week"</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E-281E-48D9-98D7-C0591308E37D}"/>
            </c:ext>
          </c:extLst>
        </c:ser>
        <c:ser>
          <c:idx val="3"/>
          <c:order val="3"/>
          <c:tx>
            <c:v>nominated (excl. flex)</c:v>
          </c:tx>
          <c:spPr>
            <a:ln w="28575" cap="rnd">
              <a:solidFill>
                <a:schemeClr val="accent2">
                  <a:lumMod val="50000"/>
                </a:schemeClr>
              </a:solidFill>
              <a:round/>
            </a:ln>
            <a:effectLst/>
          </c:spPr>
          <c:marker>
            <c:symbol val="none"/>
          </c:marker>
          <c:val>
            <c:numRef>
              <c:f>'Capacity overview'!$L$28:$L$57</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1-281E-48D9-98D7-C0591308E37D}"/>
            </c:ext>
          </c:extLst>
        </c:ser>
        <c:ser>
          <c:idx val="4"/>
          <c:order val="4"/>
          <c:tx>
            <c:v>nominated (incl. flex)</c:v>
          </c:tx>
          <c:spPr>
            <a:ln w="28575" cap="rnd">
              <a:solidFill>
                <a:schemeClr val="accent6">
                  <a:lumMod val="75000"/>
                </a:schemeClr>
              </a:solidFill>
              <a:round/>
            </a:ln>
            <a:effectLst/>
          </c:spPr>
          <c:marker>
            <c:symbol val="none"/>
          </c:marker>
          <c:val>
            <c:numRef>
              <c:f>'Capacity overview'!$M$28:$M$57</c:f>
              <c:numCache>
                <c:formatCode>_-* #,##0\ _€_-;\-* #,##0\ _€_-;_-* "-"??\ _€_-;_-@_-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2-281E-48D9-98D7-C0591308E37D}"/>
            </c:ext>
          </c:extLst>
        </c:ser>
        <c:dLbls>
          <c:showLegendKey val="0"/>
          <c:showVal val="0"/>
          <c:showCatName val="0"/>
          <c:showSerName val="0"/>
          <c:showPercent val="0"/>
          <c:showBubbleSize val="0"/>
        </c:dLbls>
        <c:marker val="1"/>
        <c:smooth val="0"/>
        <c:axId val="223396992"/>
        <c:axId val="223398528"/>
      </c:lineChart>
      <c:catAx>
        <c:axId val="223396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zh-CN"/>
          </a:p>
        </c:txPr>
        <c:crossAx val="223398528"/>
        <c:crosses val="autoZero"/>
        <c:auto val="1"/>
        <c:lblAlgn val="ctr"/>
        <c:lblOffset val="100"/>
        <c:noMultiLvlLbl val="0"/>
      </c:catAx>
      <c:valAx>
        <c:axId val="223398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parts/week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23396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7687914124591168E-2"/>
          <c:y val="2.7300859576455599E-2"/>
          <c:w val="0.9223120858754088"/>
          <c:h val="0.70027252003349583"/>
        </c:manualLayout>
      </c:layout>
      <c:barChart>
        <c:barDir val="col"/>
        <c:grouping val="clustered"/>
        <c:varyColors val="0"/>
        <c:ser>
          <c:idx val="5"/>
          <c:order val="0"/>
          <c:tx>
            <c:strRef>
              <c:f>'Cycle time monitoring'!$O$5</c:f>
              <c:strCache>
                <c:ptCount val="1"/>
                <c:pt idx="0">
                  <c:v>Output quantity
[pcs/week]</c:v>
                </c:pt>
              </c:strCache>
            </c:strRef>
          </c:tx>
          <c:spPr>
            <a:solidFill>
              <a:schemeClr val="bg1">
                <a:lumMod val="85000"/>
              </a:schemeClr>
            </a:solidFill>
            <a:ln>
              <a:solidFill>
                <a:schemeClr val="tx1"/>
              </a:solidFill>
            </a:ln>
            <a:effectLst/>
          </c:spPr>
          <c:invertIfNegative val="0"/>
          <c:cat>
            <c:numRef>
              <c:f>'Cycle time monitoring'!$B$6:$B$24</c:f>
              <c:numCache>
                <c:formatCode>mm/dd/yy;@</c:formatCode>
                <c:ptCount val="19"/>
                <c:pt idx="0">
                  <c:v>44197</c:v>
                </c:pt>
                <c:pt idx="1">
                  <c:v>44228</c:v>
                </c:pt>
                <c:pt idx="2">
                  <c:v>44242</c:v>
                </c:pt>
              </c:numCache>
            </c:numRef>
          </c:cat>
          <c:val>
            <c:numRef>
              <c:f>'Cycle time monitoring'!$O$6:$O$24</c:f>
              <c:numCache>
                <c:formatCode>#,##0\ "pcs/week"</c:formatCode>
                <c:ptCount val="19"/>
                <c:pt idx="0">
                  <c:v>4651.2</c:v>
                </c:pt>
                <c:pt idx="1">
                  <c:v>4749.12</c:v>
                </c:pt>
                <c:pt idx="2">
                  <c:v>5698.9440000000004</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4E41-469A-895E-E845913A3E1A}"/>
            </c:ext>
          </c:extLst>
        </c:ser>
        <c:dLbls>
          <c:showLegendKey val="0"/>
          <c:showVal val="0"/>
          <c:showCatName val="0"/>
          <c:showSerName val="0"/>
          <c:showPercent val="0"/>
          <c:showBubbleSize val="0"/>
        </c:dLbls>
        <c:gapWidth val="150"/>
        <c:axId val="482334704"/>
        <c:axId val="482335360"/>
      </c:barChart>
      <c:lineChart>
        <c:grouping val="standard"/>
        <c:varyColors val="0"/>
        <c:ser>
          <c:idx val="6"/>
          <c:order val="1"/>
          <c:tx>
            <c:strRef>
              <c:f>'Cycle time monitoring'!$P$5</c:f>
              <c:strCache>
                <c:ptCount val="1"/>
                <c:pt idx="0">
                  <c:v>Peak production supplier
[pcs/week]</c:v>
                </c:pt>
              </c:strCache>
            </c:strRef>
          </c:tx>
          <c:spPr>
            <a:ln w="38100" cap="rnd">
              <a:solidFill>
                <a:schemeClr val="accent1">
                  <a:lumMod val="60000"/>
                </a:schemeClr>
              </a:solidFill>
              <a:round/>
            </a:ln>
            <a:effectLst/>
          </c:spPr>
          <c:marker>
            <c:symbol val="none"/>
          </c:marker>
          <c:cat>
            <c:numRef>
              <c:f>'Cycle time monitoring'!$B$6:$B$24</c:f>
              <c:numCache>
                <c:formatCode>mm/dd/yy;@</c:formatCode>
                <c:ptCount val="19"/>
                <c:pt idx="0">
                  <c:v>44197</c:v>
                </c:pt>
                <c:pt idx="1">
                  <c:v>44228</c:v>
                </c:pt>
                <c:pt idx="2">
                  <c:v>44242</c:v>
                </c:pt>
              </c:numCache>
            </c:numRef>
          </c:cat>
          <c:val>
            <c:numRef>
              <c:f>'Cycle time monitoring'!$P$6:$P$24</c:f>
              <c:numCache>
                <c:formatCode>#,##0\ "pcs/week"</c:formatCode>
                <c:ptCount val="19"/>
                <c:pt idx="0">
                  <c:v>2700</c:v>
                </c:pt>
                <c:pt idx="1">
                  <c:v>2700</c:v>
                </c:pt>
                <c:pt idx="2">
                  <c:v>2700</c:v>
                </c:pt>
              </c:numCache>
            </c:numRef>
          </c:val>
          <c:smooth val="0"/>
          <c:extLst>
            <c:ext xmlns:c16="http://schemas.microsoft.com/office/drawing/2014/chart" uri="{C3380CC4-5D6E-409C-BE32-E72D297353CC}">
              <c16:uniqueId val="{00000001-4E41-469A-895E-E845913A3E1A}"/>
            </c:ext>
          </c:extLst>
        </c:ser>
        <c:ser>
          <c:idx val="7"/>
          <c:order val="2"/>
          <c:tx>
            <c:strRef>
              <c:f>'Cycle time monitoring'!$Q$5</c:f>
              <c:strCache>
                <c:ptCount val="1"/>
                <c:pt idx="0">
                  <c:v>Audi demands
[pcs/week]</c:v>
                </c:pt>
              </c:strCache>
            </c:strRef>
          </c:tx>
          <c:spPr>
            <a:ln w="38100" cap="rnd">
              <a:solidFill>
                <a:srgbClr val="C00000"/>
              </a:solidFill>
              <a:round/>
            </a:ln>
            <a:effectLst/>
          </c:spPr>
          <c:marker>
            <c:symbol val="none"/>
          </c:marker>
          <c:cat>
            <c:numRef>
              <c:f>'Cycle time monitoring'!$B$6:$B$24</c:f>
              <c:numCache>
                <c:formatCode>mm/dd/yy;@</c:formatCode>
                <c:ptCount val="19"/>
                <c:pt idx="0">
                  <c:v>44197</c:v>
                </c:pt>
                <c:pt idx="1">
                  <c:v>44228</c:v>
                </c:pt>
                <c:pt idx="2">
                  <c:v>44242</c:v>
                </c:pt>
              </c:numCache>
            </c:numRef>
          </c:cat>
          <c:val>
            <c:numRef>
              <c:f>'Cycle time monitoring'!$Q$6:$Q$24</c:f>
              <c:numCache>
                <c:formatCode>#,##0\ "pcs/week"</c:formatCode>
                <c:ptCount val="19"/>
                <c:pt idx="0">
                  <c:v>2000</c:v>
                </c:pt>
                <c:pt idx="1">
                  <c:v>2300</c:v>
                </c:pt>
                <c:pt idx="2">
                  <c:v>2500</c:v>
                </c:pt>
              </c:numCache>
            </c:numRef>
          </c:val>
          <c:smooth val="0"/>
          <c:extLst>
            <c:ext xmlns:c16="http://schemas.microsoft.com/office/drawing/2014/chart" uri="{C3380CC4-5D6E-409C-BE32-E72D297353CC}">
              <c16:uniqueId val="{00000002-4E41-469A-895E-E845913A3E1A}"/>
            </c:ext>
          </c:extLst>
        </c:ser>
        <c:dLbls>
          <c:showLegendKey val="0"/>
          <c:showVal val="0"/>
          <c:showCatName val="0"/>
          <c:showSerName val="0"/>
          <c:showPercent val="0"/>
          <c:showBubbleSize val="0"/>
        </c:dLbls>
        <c:marker val="1"/>
        <c:smooth val="0"/>
        <c:axId val="482334704"/>
        <c:axId val="482335360"/>
      </c:lineChart>
      <c:catAx>
        <c:axId val="482334704"/>
        <c:scaling>
          <c:orientation val="minMax"/>
        </c:scaling>
        <c:delete val="0"/>
        <c:axPos val="b"/>
        <c:majorGridlines>
          <c:spPr>
            <a:ln w="9525" cap="flat" cmpd="sng" algn="ctr">
              <a:solidFill>
                <a:schemeClr val="tx1">
                  <a:lumMod val="15000"/>
                  <a:lumOff val="85000"/>
                </a:schemeClr>
              </a:solidFill>
              <a:round/>
            </a:ln>
            <a:effectLst/>
          </c:spPr>
        </c:majorGridlines>
        <c:numFmt formatCode="mm/d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82335360"/>
        <c:crosses val="autoZero"/>
        <c:auto val="0"/>
        <c:lblAlgn val="ctr"/>
        <c:lblOffset val="100"/>
        <c:noMultiLvlLbl val="0"/>
      </c:catAx>
      <c:valAx>
        <c:axId val="482335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Pieces/week</a:t>
                </a:r>
              </a:p>
            </c:rich>
          </c:tx>
          <c:layout>
            <c:manualLayout>
              <c:xMode val="edge"/>
              <c:yMode val="edge"/>
              <c:x val="4.1744285478774824E-2"/>
              <c:y val="0.322044214541458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823347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F$6"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Radio"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firstButton="1" fmlaLink="$I$7" lockText="1"/>
</file>

<file path=xl/ctrlProps/ctrlProp6.xml><?xml version="1.0" encoding="utf-8"?>
<formControlPr xmlns="http://schemas.microsoft.com/office/spreadsheetml/2009/9/main" objectType="Radio" checked="Checked" lockText="1"/>
</file>

<file path=xl/ctrlProps/ctrlProp7.xml><?xml version="1.0" encoding="utf-8"?>
<formControlPr xmlns="http://schemas.microsoft.com/office/spreadsheetml/2009/9/main" objectType="Radio" checked="Checked" firstButton="1" fmlaLink="'Capacity Calculation'!$D$13"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firstButton="1" fmlaLink="$D$1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png"/><Relationship Id="rId1" Type="http://schemas.openxmlformats.org/officeDocument/2006/relationships/chart" Target="../charts/chart1.xml"/><Relationship Id="rId4" Type="http://schemas.openxmlformats.org/officeDocument/2006/relationships/image" Target="../media/image1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editAs="oneCell">
    <xdr:from>
      <xdr:col>7</xdr:col>
      <xdr:colOff>254000</xdr:colOff>
      <xdr:row>10</xdr:row>
      <xdr:rowOff>76200</xdr:rowOff>
    </xdr:from>
    <xdr:to>
      <xdr:col>9</xdr:col>
      <xdr:colOff>609600</xdr:colOff>
      <xdr:row>13</xdr:row>
      <xdr:rowOff>152400</xdr:rowOff>
    </xdr:to>
    <xdr:sp macro="" textlink="">
      <xdr:nvSpPr>
        <xdr:cNvPr id="12291" name="Alles_speichern" hidden="1">
          <a:extLst>
            <a:ext uri="{63B3BB69-23CF-44E3-9099-C40C66FF867C}">
              <a14:compatExt xmlns:a14="http://schemas.microsoft.com/office/drawing/2010/main"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mc:AlternateContent xmlns:mc="http://schemas.openxmlformats.org/markup-compatibility/2006">
    <mc:Choice xmlns:a14="http://schemas.microsoft.com/office/drawing/2010/main" Requires="a14">
      <xdr:twoCellAnchor>
        <xdr:from>
          <xdr:col>1</xdr:col>
          <xdr:colOff>2070100</xdr:colOff>
          <xdr:row>5</xdr:row>
          <xdr:rowOff>63500</xdr:rowOff>
        </xdr:from>
        <xdr:to>
          <xdr:col>2</xdr:col>
          <xdr:colOff>1270000</xdr:colOff>
          <xdr:row>5</xdr:row>
          <xdr:rowOff>266700</xdr:rowOff>
        </xdr:to>
        <xdr:sp macro="" textlink="">
          <xdr:nvSpPr>
            <xdr:cNvPr id="12292" name="Option 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1100" b="0" i="0" u="none" strike="noStrike" baseline="0">
                  <a:solidFill>
                    <a:srgbClr val="000000"/>
                  </a:solidFill>
                  <a:latin typeface="Arial" charset="0"/>
                  <a:cs typeface="Arial" charset="0"/>
                </a:rPr>
                <a:t>Pre-Check (SFN 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2070100</xdr:colOff>
          <xdr:row>5</xdr:row>
          <xdr:rowOff>304800</xdr:rowOff>
        </xdr:from>
        <xdr:to>
          <xdr:col>2</xdr:col>
          <xdr:colOff>1562100</xdr:colOff>
          <xdr:row>5</xdr:row>
          <xdr:rowOff>482600</xdr:rowOff>
        </xdr:to>
        <xdr:sp macro="" textlink="">
          <xdr:nvSpPr>
            <xdr:cNvPr id="12293" name="Option 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1100" b="0" i="0" u="none" strike="noStrike" baseline="0">
                  <a:solidFill>
                    <a:srgbClr val="000000"/>
                  </a:solidFill>
                  <a:latin typeface="Arial" charset="0"/>
                  <a:cs typeface="Arial" charset="0"/>
                </a:rPr>
                <a:t>Performance test (SFN 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1574800</xdr:colOff>
          <xdr:row>5</xdr:row>
          <xdr:rowOff>63500</xdr:rowOff>
        </xdr:from>
        <xdr:to>
          <xdr:col>5</xdr:col>
          <xdr:colOff>76200</xdr:colOff>
          <xdr:row>5</xdr:row>
          <xdr:rowOff>254000</xdr:rowOff>
        </xdr:to>
        <xdr:sp macro="" textlink="">
          <xdr:nvSpPr>
            <xdr:cNvPr id="12294" name="Option Button 6" hidden="1">
              <a:extLst>
                <a:ext uri="{63B3BB69-23CF-44E3-9099-C40C66FF867C}">
                  <a14:compatExt spid="_x0000_s12294"/>
                </a:ext>
                <a:ext uri="{FF2B5EF4-FFF2-40B4-BE49-F238E27FC236}">
                  <a16:creationId xmlns:a16="http://schemas.microsoft.com/office/drawing/2014/main" id="{00000000-0008-0000-0000-000006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1100" b="0" i="0" u="none" strike="noStrike" baseline="0">
                  <a:solidFill>
                    <a:srgbClr val="000000"/>
                  </a:solidFill>
                  <a:latin typeface="Arial" charset="0"/>
                  <a:cs typeface="Arial" charset="0"/>
                </a:rPr>
                <a:t>Process acceptance (SFN 2)</a:t>
              </a:r>
            </a:p>
          </xdr:txBody>
        </xdr:sp>
        <xdr:clientData fLocksWithSheet="0"/>
      </xdr:twoCellAnchor>
    </mc:Choice>
    <mc:Fallback/>
  </mc:AlternateContent>
  <xdr:twoCellAnchor>
    <xdr:from>
      <xdr:col>1</xdr:col>
      <xdr:colOff>2108200</xdr:colOff>
      <xdr:row>6</xdr:row>
      <xdr:rowOff>63500</xdr:rowOff>
    </xdr:from>
    <xdr:to>
      <xdr:col>2</xdr:col>
      <xdr:colOff>1295400</xdr:colOff>
      <xdr:row>6</xdr:row>
      <xdr:rowOff>304800</xdr:rowOff>
    </xdr:to>
    <xdr:sp macro="" textlink="">
      <xdr:nvSpPr>
        <xdr:cNvPr id="12297" name="CheckBox_ALK" hidden="1">
          <a:extLst>
            <a:ext uri="{63B3BB69-23CF-44E3-9099-C40C66FF867C}">
              <a14:compatExt xmlns:a14="http://schemas.microsoft.com/office/drawing/2010/main" spid="_x0000_s12297"/>
            </a:ext>
            <a:ext uri="{FF2B5EF4-FFF2-40B4-BE49-F238E27FC236}">
              <a16:creationId xmlns:a16="http://schemas.microsoft.com/office/drawing/2014/main" id="{00000000-0008-0000-0000-000009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2</xdr:col>
      <xdr:colOff>1612900</xdr:colOff>
      <xdr:row>6</xdr:row>
      <xdr:rowOff>63500</xdr:rowOff>
    </xdr:from>
    <xdr:to>
      <xdr:col>4</xdr:col>
      <xdr:colOff>584200</xdr:colOff>
      <xdr:row>6</xdr:row>
      <xdr:rowOff>304800</xdr:rowOff>
    </xdr:to>
    <xdr:sp macro="" textlink="">
      <xdr:nvSpPr>
        <xdr:cNvPr id="12300" name="CheckBox_VL" hidden="1">
          <a:extLst>
            <a:ext uri="{63B3BB69-23CF-44E3-9099-C40C66FF867C}">
              <a14:compatExt xmlns:a14="http://schemas.microsoft.com/office/drawing/2010/main"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254000</xdr:colOff>
      <xdr:row>6</xdr:row>
      <xdr:rowOff>368300</xdr:rowOff>
    </xdr:from>
    <xdr:to>
      <xdr:col>9</xdr:col>
      <xdr:colOff>609600</xdr:colOff>
      <xdr:row>9</xdr:row>
      <xdr:rowOff>76200</xdr:rowOff>
    </xdr:to>
    <xdr:sp macro="" textlink="">
      <xdr:nvSpPr>
        <xdr:cNvPr id="12304" name="Ergebnis_speichern_Kapaabnahme" hidden="1">
          <a:extLst>
            <a:ext uri="{63B3BB69-23CF-44E3-9099-C40C66FF867C}">
              <a14:compatExt xmlns:a14="http://schemas.microsoft.com/office/drawing/2010/main" spid="_x0000_s12304"/>
            </a:ext>
            <a:ext uri="{FF2B5EF4-FFF2-40B4-BE49-F238E27FC236}">
              <a16:creationId xmlns:a16="http://schemas.microsoft.com/office/drawing/2014/main" id="{00000000-0008-0000-0000-000010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7</xdr:col>
      <xdr:colOff>254000</xdr:colOff>
      <xdr:row>5</xdr:row>
      <xdr:rowOff>190500</xdr:rowOff>
    </xdr:from>
    <xdr:to>
      <xdr:col>9</xdr:col>
      <xdr:colOff>609600</xdr:colOff>
      <xdr:row>6</xdr:row>
      <xdr:rowOff>266700</xdr:rowOff>
    </xdr:to>
    <xdr:sp macro="" textlink="">
      <xdr:nvSpPr>
        <xdr:cNvPr id="12305" name="Ergebnis_speichern_Kapaplanung" hidden="1">
          <a:extLst>
            <a:ext uri="{63B3BB69-23CF-44E3-9099-C40C66FF867C}">
              <a14:compatExt xmlns:a14="http://schemas.microsoft.com/office/drawing/2010/main" spid="_x0000_s12305"/>
            </a:ext>
            <a:ext uri="{FF2B5EF4-FFF2-40B4-BE49-F238E27FC236}">
              <a16:creationId xmlns:a16="http://schemas.microsoft.com/office/drawing/2014/main" id="{00000000-0008-0000-0000-000011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7</xdr:col>
      <xdr:colOff>254000</xdr:colOff>
      <xdr:row>14</xdr:row>
      <xdr:rowOff>76200</xdr:rowOff>
    </xdr:from>
    <xdr:to>
      <xdr:col>9</xdr:col>
      <xdr:colOff>609600</xdr:colOff>
      <xdr:row>17</xdr:row>
      <xdr:rowOff>139700</xdr:rowOff>
    </xdr:to>
    <xdr:sp macro="" textlink="">
      <xdr:nvSpPr>
        <xdr:cNvPr id="12307" name="ButtonFormat" hidden="1">
          <a:extLst>
            <a:ext uri="{63B3BB69-23CF-44E3-9099-C40C66FF867C}">
              <a14:compatExt xmlns:a14="http://schemas.microsoft.com/office/drawing/2010/main" spid="_x0000_s12307"/>
            </a:ext>
            <a:ext uri="{FF2B5EF4-FFF2-40B4-BE49-F238E27FC236}">
              <a16:creationId xmlns:a16="http://schemas.microsoft.com/office/drawing/2014/main" id="{00000000-0008-0000-0000-000013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1</xdr:col>
      <xdr:colOff>2108200</xdr:colOff>
      <xdr:row>6</xdr:row>
      <xdr:rowOff>304800</xdr:rowOff>
    </xdr:from>
    <xdr:to>
      <xdr:col>2</xdr:col>
      <xdr:colOff>1295400</xdr:colOff>
      <xdr:row>6</xdr:row>
      <xdr:rowOff>558800</xdr:rowOff>
    </xdr:to>
    <xdr:sp macro="" textlink="">
      <xdr:nvSpPr>
        <xdr:cNvPr id="12308" name="CheckBox_JIS" hidden="1">
          <a:extLst>
            <a:ext uri="{63B3BB69-23CF-44E3-9099-C40C66FF867C}">
              <a14:compatExt xmlns:a14="http://schemas.microsoft.com/office/drawing/2010/main" spid="_x0000_s12308"/>
            </a:ext>
            <a:ext uri="{FF2B5EF4-FFF2-40B4-BE49-F238E27FC236}">
              <a16:creationId xmlns:a16="http://schemas.microsoft.com/office/drawing/2014/main" id="{00000000-0008-0000-0000-000014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1574800</xdr:colOff>
          <xdr:row>5</xdr:row>
          <xdr:rowOff>304800</xdr:rowOff>
        </xdr:from>
        <xdr:to>
          <xdr:col>4</xdr:col>
          <xdr:colOff>901700</xdr:colOff>
          <xdr:row>5</xdr:row>
          <xdr:rowOff>495300</xdr:rowOff>
        </xdr:to>
        <xdr:sp macro="" textlink="">
          <xdr:nvSpPr>
            <xdr:cNvPr id="12310" name="Option Button 22" hidden="1">
              <a:extLst>
                <a:ext uri="{63B3BB69-23CF-44E3-9099-C40C66FF867C}">
                  <a14:compatExt spid="_x0000_s12310"/>
                </a:ext>
                <a:ext uri="{FF2B5EF4-FFF2-40B4-BE49-F238E27FC236}">
                  <a16:creationId xmlns:a16="http://schemas.microsoft.com/office/drawing/2014/main" id="{00000000-0008-0000-0000-000016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1100" b="0" i="0" u="none" strike="noStrike" baseline="0">
                  <a:solidFill>
                    <a:srgbClr val="000000"/>
                  </a:solidFill>
                  <a:latin typeface="Arial" charset="0"/>
                  <a:cs typeface="Arial" charset="0"/>
                </a:rPr>
                <a:t>Capacity planning</a:t>
              </a:r>
            </a:p>
          </xdr:txBody>
        </xdr:sp>
        <xdr:clientData fLocksWithSheet="0"/>
      </xdr:twoCellAnchor>
    </mc:Choice>
    <mc:Fallback/>
  </mc:AlternateContent>
  <xdr:twoCellAnchor>
    <xdr:from>
      <xdr:col>1</xdr:col>
      <xdr:colOff>2108200</xdr:colOff>
      <xdr:row>6</xdr:row>
      <xdr:rowOff>63500</xdr:rowOff>
    </xdr:from>
    <xdr:to>
      <xdr:col>2</xdr:col>
      <xdr:colOff>1295400</xdr:colOff>
      <xdr:row>6</xdr:row>
      <xdr:rowOff>304800</xdr:rowOff>
    </xdr:to>
    <xdr:pic>
      <xdr:nvPicPr>
        <xdr:cNvPr id="2" name="CheckBox_ALK">
          <a:extLst>
            <a:ext uri="{FF2B5EF4-FFF2-40B4-BE49-F238E27FC236}">
              <a16:creationId xmlns:a16="http://schemas.microsoft.com/office/drawing/2014/main" id="{72B46EA8-0065-4B87-2710-62B5C142734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98700" y="1917700"/>
          <a:ext cx="14732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2</xdr:col>
      <xdr:colOff>1612900</xdr:colOff>
      <xdr:row>6</xdr:row>
      <xdr:rowOff>63500</xdr:rowOff>
    </xdr:from>
    <xdr:to>
      <xdr:col>4</xdr:col>
      <xdr:colOff>584200</xdr:colOff>
      <xdr:row>6</xdr:row>
      <xdr:rowOff>304800</xdr:rowOff>
    </xdr:to>
    <xdr:pic>
      <xdr:nvPicPr>
        <xdr:cNvPr id="3" name="CheckBox_VL">
          <a:extLst>
            <a:ext uri="{FF2B5EF4-FFF2-40B4-BE49-F238E27FC236}">
              <a16:creationId xmlns:a16="http://schemas.microsoft.com/office/drawing/2014/main" id="{75BA64E8-AB43-FBFF-F5E4-428A905746F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89400" y="1917700"/>
          <a:ext cx="14478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7</xdr:col>
      <xdr:colOff>254000</xdr:colOff>
      <xdr:row>6</xdr:row>
      <xdr:rowOff>368300</xdr:rowOff>
    </xdr:from>
    <xdr:to>
      <xdr:col>9</xdr:col>
      <xdr:colOff>609600</xdr:colOff>
      <xdr:row>9</xdr:row>
      <xdr:rowOff>76200</xdr:rowOff>
    </xdr:to>
    <xdr:pic>
      <xdr:nvPicPr>
        <xdr:cNvPr id="4" name="Ergebnis_speichern_Kapaabnahme">
          <a:extLst>
            <a:ext uri="{FF2B5EF4-FFF2-40B4-BE49-F238E27FC236}">
              <a16:creationId xmlns:a16="http://schemas.microsoft.com/office/drawing/2014/main" id="{6F471480-22E4-0E4A-DF52-80CBD23F1607}"/>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00900" y="2222500"/>
          <a:ext cx="2032000" cy="647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7</xdr:col>
      <xdr:colOff>254000</xdr:colOff>
      <xdr:row>5</xdr:row>
      <xdr:rowOff>190500</xdr:rowOff>
    </xdr:from>
    <xdr:to>
      <xdr:col>9</xdr:col>
      <xdr:colOff>609600</xdr:colOff>
      <xdr:row>6</xdr:row>
      <xdr:rowOff>266700</xdr:rowOff>
    </xdr:to>
    <xdr:pic>
      <xdr:nvPicPr>
        <xdr:cNvPr id="5" name="Ergebnis_speichern_Kapaplanung">
          <a:extLst>
            <a:ext uri="{FF2B5EF4-FFF2-40B4-BE49-F238E27FC236}">
              <a16:creationId xmlns:a16="http://schemas.microsoft.com/office/drawing/2014/main" id="{19DB6C79-A6A1-FF15-C300-9C865CAEEF17}"/>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200900" y="1485900"/>
          <a:ext cx="2032000" cy="635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7</xdr:col>
      <xdr:colOff>254000</xdr:colOff>
      <xdr:row>14</xdr:row>
      <xdr:rowOff>76200</xdr:rowOff>
    </xdr:from>
    <xdr:to>
      <xdr:col>9</xdr:col>
      <xdr:colOff>609600</xdr:colOff>
      <xdr:row>17</xdr:row>
      <xdr:rowOff>139700</xdr:rowOff>
    </xdr:to>
    <xdr:pic>
      <xdr:nvPicPr>
        <xdr:cNvPr id="6" name="ButtonFormat">
          <a:extLst>
            <a:ext uri="{FF2B5EF4-FFF2-40B4-BE49-F238E27FC236}">
              <a16:creationId xmlns:a16="http://schemas.microsoft.com/office/drawing/2014/main" id="{0DA47265-C3EA-4FB0-38F5-4350B58345C7}"/>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200900" y="3695700"/>
          <a:ext cx="2032000" cy="533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7</xdr:col>
      <xdr:colOff>254000</xdr:colOff>
      <xdr:row>10</xdr:row>
      <xdr:rowOff>76200</xdr:rowOff>
    </xdr:from>
    <xdr:to>
      <xdr:col>9</xdr:col>
      <xdr:colOff>609600</xdr:colOff>
      <xdr:row>13</xdr:row>
      <xdr:rowOff>152400</xdr:rowOff>
    </xdr:to>
    <xdr:pic>
      <xdr:nvPicPr>
        <xdr:cNvPr id="7" name="Alles_speichern">
          <a:extLst>
            <a:ext uri="{FF2B5EF4-FFF2-40B4-BE49-F238E27FC236}">
              <a16:creationId xmlns:a16="http://schemas.microsoft.com/office/drawing/2014/main" id="{78C649FA-78FD-AFDD-5143-B355B2A39E9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200900" y="2997200"/>
          <a:ext cx="2032000" cy="533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xdr:from>
      <xdr:col>1</xdr:col>
      <xdr:colOff>2108200</xdr:colOff>
      <xdr:row>6</xdr:row>
      <xdr:rowOff>304800</xdr:rowOff>
    </xdr:from>
    <xdr:to>
      <xdr:col>2</xdr:col>
      <xdr:colOff>1295400</xdr:colOff>
      <xdr:row>6</xdr:row>
      <xdr:rowOff>558800</xdr:rowOff>
    </xdr:to>
    <xdr:pic>
      <xdr:nvPicPr>
        <xdr:cNvPr id="8" name="CheckBox_JIS">
          <a:extLst>
            <a:ext uri="{FF2B5EF4-FFF2-40B4-BE49-F238E27FC236}">
              <a16:creationId xmlns:a16="http://schemas.microsoft.com/office/drawing/2014/main" id="{BCCC36E2-305D-5900-D3BE-A1947AD5D03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298700" y="2159000"/>
          <a:ext cx="14732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63500</xdr:colOff>
      <xdr:row>6</xdr:row>
      <xdr:rowOff>88900</xdr:rowOff>
    </xdr:from>
    <xdr:to>
      <xdr:col>3</xdr:col>
      <xdr:colOff>266700</xdr:colOff>
      <xdr:row>6</xdr:row>
      <xdr:rowOff>469900</xdr:rowOff>
    </xdr:to>
    <xdr:sp macro="" textlink="">
      <xdr:nvSpPr>
        <xdr:cNvPr id="24600" name="BedarfeAktualisieren" hidden="1">
          <a:extLst>
            <a:ext uri="{63B3BB69-23CF-44E3-9099-C40C66FF867C}">
              <a14:compatExt xmlns:a14="http://schemas.microsoft.com/office/drawing/2010/main" spid="_x0000_s24600"/>
            </a:ext>
            <a:ext uri="{FF2B5EF4-FFF2-40B4-BE49-F238E27FC236}">
              <a16:creationId xmlns:a16="http://schemas.microsoft.com/office/drawing/2014/main" id="{00000000-0008-0000-0100-0000186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1</xdr:col>
      <xdr:colOff>85725</xdr:colOff>
      <xdr:row>24</xdr:row>
      <xdr:rowOff>76200</xdr:rowOff>
    </xdr:from>
    <xdr:to>
      <xdr:col>9</xdr:col>
      <xdr:colOff>9525</xdr:colOff>
      <xdr:row>24</xdr:row>
      <xdr:rowOff>1905000</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9525</xdr:colOff>
      <xdr:row>6</xdr:row>
      <xdr:rowOff>22225</xdr:rowOff>
    </xdr:from>
    <xdr:to>
      <xdr:col>7</xdr:col>
      <xdr:colOff>172170</xdr:colOff>
      <xdr:row>6</xdr:row>
      <xdr:rowOff>530225</xdr:rowOff>
    </xdr:to>
    <xdr:pic>
      <xdr:nvPicPr>
        <xdr:cNvPr id="7" name="Grafik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4152900" y="1460500"/>
          <a:ext cx="2962995" cy="50800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165100</xdr:colOff>
          <xdr:row>6</xdr:row>
          <xdr:rowOff>190500</xdr:rowOff>
        </xdr:from>
        <xdr:to>
          <xdr:col>6</xdr:col>
          <xdr:colOff>12700</xdr:colOff>
          <xdr:row>6</xdr:row>
          <xdr:rowOff>419100</xdr:rowOff>
        </xdr:to>
        <xdr:sp macro="" textlink="">
          <xdr:nvSpPr>
            <xdr:cNvPr id="24604" name="Option Button 28" hidden="1">
              <a:extLst>
                <a:ext uri="{63B3BB69-23CF-44E3-9099-C40C66FF867C}">
                  <a14:compatExt spid="_x0000_s24604"/>
                </a:ext>
                <a:ext uri="{FF2B5EF4-FFF2-40B4-BE49-F238E27FC236}">
                  <a16:creationId xmlns:a16="http://schemas.microsoft.com/office/drawing/2014/main" id="{00000000-0008-0000-0100-00001C6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114300</xdr:colOff>
          <xdr:row>6</xdr:row>
          <xdr:rowOff>190500</xdr:rowOff>
        </xdr:from>
        <xdr:to>
          <xdr:col>6</xdr:col>
          <xdr:colOff>1371600</xdr:colOff>
          <xdr:row>6</xdr:row>
          <xdr:rowOff>419100</xdr:rowOff>
        </xdr:to>
        <xdr:sp macro="" textlink="">
          <xdr:nvSpPr>
            <xdr:cNvPr id="24605" name="Option Button 29" hidden="1">
              <a:extLst>
                <a:ext uri="{63B3BB69-23CF-44E3-9099-C40C66FF867C}">
                  <a14:compatExt spid="_x0000_s24605"/>
                </a:ext>
                <a:ext uri="{FF2B5EF4-FFF2-40B4-BE49-F238E27FC236}">
                  <a16:creationId xmlns:a16="http://schemas.microsoft.com/office/drawing/2014/main" id="{00000000-0008-0000-0100-00001D6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7</xdr:col>
      <xdr:colOff>419100</xdr:colOff>
      <xdr:row>6</xdr:row>
      <xdr:rowOff>88900</xdr:rowOff>
    </xdr:from>
    <xdr:to>
      <xdr:col>8</xdr:col>
      <xdr:colOff>800100</xdr:colOff>
      <xdr:row>6</xdr:row>
      <xdr:rowOff>469900</xdr:rowOff>
    </xdr:to>
    <xdr:sp macro="" textlink="">
      <xdr:nvSpPr>
        <xdr:cNvPr id="24610" name="CheckBox1" hidden="1">
          <a:extLst>
            <a:ext uri="{63B3BB69-23CF-44E3-9099-C40C66FF867C}">
              <a14:compatExt xmlns:a14="http://schemas.microsoft.com/office/drawing/2010/main" spid="_x0000_s24610"/>
            </a:ext>
            <a:ext uri="{FF2B5EF4-FFF2-40B4-BE49-F238E27FC236}">
              <a16:creationId xmlns:a16="http://schemas.microsoft.com/office/drawing/2014/main" id="{00000000-0008-0000-0100-0000226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63500</xdr:colOff>
      <xdr:row>6</xdr:row>
      <xdr:rowOff>88900</xdr:rowOff>
    </xdr:from>
    <xdr:to>
      <xdr:col>3</xdr:col>
      <xdr:colOff>266700</xdr:colOff>
      <xdr:row>6</xdr:row>
      <xdr:rowOff>469900</xdr:rowOff>
    </xdr:to>
    <xdr:pic>
      <xdr:nvPicPr>
        <xdr:cNvPr id="3" name="BedarfeAktualisieren">
          <a:extLst>
            <a:ext uri="{FF2B5EF4-FFF2-40B4-BE49-F238E27FC236}">
              <a16:creationId xmlns:a16="http://schemas.microsoft.com/office/drawing/2014/main" id="{D2299F4B-8908-EC96-8C9D-3080984DEC4A}"/>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000" y="1524000"/>
          <a:ext cx="2527300" cy="381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7</xdr:col>
      <xdr:colOff>419100</xdr:colOff>
      <xdr:row>6</xdr:row>
      <xdr:rowOff>88900</xdr:rowOff>
    </xdr:from>
    <xdr:to>
      <xdr:col>8</xdr:col>
      <xdr:colOff>800100</xdr:colOff>
      <xdr:row>6</xdr:row>
      <xdr:rowOff>469900</xdr:rowOff>
    </xdr:to>
    <xdr:pic>
      <xdr:nvPicPr>
        <xdr:cNvPr id="4" name="CheckBox1">
          <a:extLst>
            <a:ext uri="{FF2B5EF4-FFF2-40B4-BE49-F238E27FC236}">
              <a16:creationId xmlns:a16="http://schemas.microsoft.com/office/drawing/2014/main" id="{2B4D7E1E-087D-C797-D2D3-1E518C6A1327}"/>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15200" y="1524000"/>
          <a:ext cx="1257300" cy="381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180975</xdr:colOff>
      <xdr:row>8</xdr:row>
      <xdr:rowOff>6350</xdr:rowOff>
    </xdr:from>
    <xdr:to>
      <xdr:col>1</xdr:col>
      <xdr:colOff>3124915</xdr:colOff>
      <xdr:row>10</xdr:row>
      <xdr:rowOff>158750</xdr:rowOff>
    </xdr:to>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381000" y="1778000"/>
          <a:ext cx="2943940" cy="5461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444500</xdr:colOff>
          <xdr:row>8</xdr:row>
          <xdr:rowOff>203200</xdr:rowOff>
        </xdr:from>
        <xdr:to>
          <xdr:col>1</xdr:col>
          <xdr:colOff>1714500</xdr:colOff>
          <xdr:row>10</xdr:row>
          <xdr:rowOff>38100</xdr:rowOff>
        </xdr:to>
        <xdr:sp macro="" textlink="">
          <xdr:nvSpPr>
            <xdr:cNvPr id="49153" name="Option Button 1" hidden="1">
              <a:extLst>
                <a:ext uri="{63B3BB69-23CF-44E3-9099-C40C66FF867C}">
                  <a14:compatExt spid="_x0000_s49153"/>
                </a:ext>
                <a:ext uri="{FF2B5EF4-FFF2-40B4-BE49-F238E27FC236}">
                  <a16:creationId xmlns:a16="http://schemas.microsoft.com/office/drawing/2014/main" id="{00000000-0008-0000-0200-000001C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zh-CN" altLang="en-US" sz="800" b="0" i="0" u="none" strike="noStrike" baseline="0">
                  <a:solidFill>
                    <a:srgbClr val="000000"/>
                  </a:solidFill>
                  <a:latin typeface="Tahoma" charset="0"/>
                  <a:cs typeface="Tahoma" charset="0"/>
                </a:rPr>
                <a:t>Linked processes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1714500</xdr:colOff>
          <xdr:row>8</xdr:row>
          <xdr:rowOff>203200</xdr:rowOff>
        </xdr:from>
        <xdr:to>
          <xdr:col>1</xdr:col>
          <xdr:colOff>2984500</xdr:colOff>
          <xdr:row>10</xdr:row>
          <xdr:rowOff>38100</xdr:rowOff>
        </xdr:to>
        <xdr:sp macro="" textlink="">
          <xdr:nvSpPr>
            <xdr:cNvPr id="49154" name="Option 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zh-CN" altLang="en-US" sz="800" b="0" i="0" u="none" strike="noStrike" baseline="0">
                  <a:solidFill>
                    <a:srgbClr val="000000"/>
                  </a:solidFill>
                  <a:latin typeface="Tahoma" charset="0"/>
                  <a:cs typeface="Tahoma" charset="0"/>
                </a:rPr>
                <a:t>Processes not linked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180975</xdr:colOff>
      <xdr:row>8</xdr:row>
      <xdr:rowOff>139700</xdr:rowOff>
    </xdr:from>
    <xdr:to>
      <xdr:col>1</xdr:col>
      <xdr:colOff>3340326</xdr:colOff>
      <xdr:row>11</xdr:row>
      <xdr:rowOff>123825</xdr:rowOff>
    </xdr:to>
    <xdr:pic>
      <xdr:nvPicPr>
        <xdr:cNvPr id="8" name="Grafik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stretch>
          <a:fillRect/>
        </a:stretch>
      </xdr:blipFill>
      <xdr:spPr>
        <a:xfrm>
          <a:off x="381000" y="1968500"/>
          <a:ext cx="3144877" cy="6731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444500</xdr:colOff>
          <xdr:row>9</xdr:row>
          <xdr:rowOff>165100</xdr:rowOff>
        </xdr:from>
        <xdr:to>
          <xdr:col>1</xdr:col>
          <xdr:colOff>1701800</xdr:colOff>
          <xdr:row>10</xdr:row>
          <xdr:rowOff>152400</xdr:rowOff>
        </xdr:to>
        <xdr:sp macro="" textlink="">
          <xdr:nvSpPr>
            <xdr:cNvPr id="35851" name="Option Button 11" hidden="1">
              <a:extLst>
                <a:ext uri="{63B3BB69-23CF-44E3-9099-C40C66FF867C}">
                  <a14:compatExt spid="_x0000_s35851"/>
                </a:ext>
                <a:ext uri="{FF2B5EF4-FFF2-40B4-BE49-F238E27FC236}">
                  <a16:creationId xmlns:a16="http://schemas.microsoft.com/office/drawing/2014/main" id="{00000000-0008-0000-0300-00000B8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zh-CN" altLang="en-US" sz="800" b="0" i="0" u="none" strike="noStrike" baseline="0">
                  <a:solidFill>
                    <a:srgbClr val="000000"/>
                  </a:solidFill>
                  <a:latin typeface="Tahoma" charset="0"/>
                  <a:cs typeface="Tahoma" charset="0"/>
                </a:rPr>
                <a:t>Linked processes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1714500</xdr:colOff>
          <xdr:row>9</xdr:row>
          <xdr:rowOff>165100</xdr:rowOff>
        </xdr:from>
        <xdr:to>
          <xdr:col>1</xdr:col>
          <xdr:colOff>2984500</xdr:colOff>
          <xdr:row>10</xdr:row>
          <xdr:rowOff>152400</xdr:rowOff>
        </xdr:to>
        <xdr:sp macro="" textlink="">
          <xdr:nvSpPr>
            <xdr:cNvPr id="35852" name="Option Button 12" hidden="1">
              <a:extLst>
                <a:ext uri="{63B3BB69-23CF-44E3-9099-C40C66FF867C}">
                  <a14:compatExt spid="_x0000_s35852"/>
                </a:ext>
                <a:ext uri="{FF2B5EF4-FFF2-40B4-BE49-F238E27FC236}">
                  <a16:creationId xmlns:a16="http://schemas.microsoft.com/office/drawing/2014/main" id="{00000000-0008-0000-0300-00000C8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zh-CN" altLang="en-US" sz="800" b="0" i="0" u="none" strike="noStrike" baseline="0">
                  <a:solidFill>
                    <a:srgbClr val="000000"/>
                  </a:solidFill>
                  <a:latin typeface="Tahoma" charset="0"/>
                  <a:cs typeface="Tahoma" charset="0"/>
                </a:rPr>
                <a:t>Processes not linked</a:t>
              </a:r>
            </a:p>
          </xdr:txBody>
        </xdr:sp>
        <xdr:clientData/>
      </xdr:twoCellAnchor>
    </mc:Choice>
    <mc:Fallback/>
  </mc:AlternateContent>
  <xdr:twoCellAnchor editAs="oneCell">
    <xdr:from>
      <xdr:col>2</xdr:col>
      <xdr:colOff>50800</xdr:colOff>
      <xdr:row>10</xdr:row>
      <xdr:rowOff>177800</xdr:rowOff>
    </xdr:from>
    <xdr:to>
      <xdr:col>2</xdr:col>
      <xdr:colOff>1574800</xdr:colOff>
      <xdr:row>12</xdr:row>
      <xdr:rowOff>0</xdr:rowOff>
    </xdr:to>
    <xdr:sp macro="" textlink="">
      <xdr:nvSpPr>
        <xdr:cNvPr id="35858" name="CommandButton1" hidden="1">
          <a:extLst>
            <a:ext uri="{63B3BB69-23CF-44E3-9099-C40C66FF867C}">
              <a14:compatExt xmlns:a14="http://schemas.microsoft.com/office/drawing/2010/main" spid="_x0000_s35858"/>
            </a:ext>
            <a:ext uri="{FF2B5EF4-FFF2-40B4-BE49-F238E27FC236}">
              <a16:creationId xmlns:a16="http://schemas.microsoft.com/office/drawing/2014/main" id="{00000000-0008-0000-0300-0000128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xdr:col>
      <xdr:colOff>3482975</xdr:colOff>
      <xdr:row>8</xdr:row>
      <xdr:rowOff>152400</xdr:rowOff>
    </xdr:from>
    <xdr:to>
      <xdr:col>3</xdr:col>
      <xdr:colOff>1403350</xdr:colOff>
      <xdr:row>12</xdr:row>
      <xdr:rowOff>19050</xdr:rowOff>
    </xdr:to>
    <xdr:sp macro="" textlink="">
      <xdr:nvSpPr>
        <xdr:cNvPr id="3" name="Rechteck 2">
          <a:extLst>
            <a:ext uri="{FF2B5EF4-FFF2-40B4-BE49-F238E27FC236}">
              <a16:creationId xmlns:a16="http://schemas.microsoft.com/office/drawing/2014/main" id="{00000000-0008-0000-0300-000003000000}"/>
            </a:ext>
          </a:extLst>
        </xdr:cNvPr>
        <xdr:cNvSpPr/>
      </xdr:nvSpPr>
      <xdr:spPr bwMode="auto">
        <a:xfrm>
          <a:off x="3683000" y="1981200"/>
          <a:ext cx="3302000" cy="800100"/>
        </a:xfrm>
        <a:prstGeom prst="rect">
          <a:avLst/>
        </a:prstGeom>
        <a:noFill/>
        <a:ln w="9525" cap="flat" cmpd="sng" algn="ctr">
          <a:solidFill>
            <a:schemeClr val="tx1"/>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vert="horz" wrap="none" lIns="0" tIns="0" rIns="0" bIns="0" numCol="1" rtlCol="0" anchor="t" anchorCtr="0" compatLnSpc="1">
          <a:prstTxWarp prst="textNoShape">
            <a:avLst/>
          </a:prstTxWarp>
        </a:bodyPr>
        <a:lstStyle/>
        <a:p>
          <a:pPr marL="0" marR="0" indent="0" algn="l" defTabSz="914400" rtl="0" eaLnBrk="0" fontAlgn="base" latinLnBrk="0" hangingPunct="0">
            <a:lnSpc>
              <a:spcPct val="100000"/>
            </a:lnSpc>
            <a:spcBef>
              <a:spcPct val="0"/>
            </a:spcBef>
            <a:spcAft>
              <a:spcPct val="0"/>
            </a:spcAft>
            <a:buClrTx/>
            <a:buSzTx/>
            <a:buFontTx/>
            <a:buNone/>
            <a:tabLst/>
          </a:pPr>
          <a:endParaRPr kumimoji="0" lang="de-DE" sz="2400" b="0" i="0" u="none" strike="noStrike" cap="none" normalizeH="0" baseline="0">
            <a:ln>
              <a:noFill/>
            </a:ln>
            <a:solidFill>
              <a:schemeClr val="tx1"/>
            </a:solidFill>
            <a:effectLst/>
            <a:latin typeface="Arial" charset="0"/>
          </a:endParaRPr>
        </a:p>
      </xdr:txBody>
    </xdr:sp>
    <xdr:clientData/>
  </xdr:twoCellAnchor>
  <mc:AlternateContent xmlns:mc="http://schemas.openxmlformats.org/markup-compatibility/2006">
    <mc:Choice xmlns:a14="http://schemas.microsoft.com/office/drawing/2010/main" Requires="a14">
      <xdr:twoCellAnchor>
        <xdr:from>
          <xdr:col>6</xdr:col>
          <xdr:colOff>38100</xdr:colOff>
          <xdr:row>1</xdr:row>
          <xdr:rowOff>127000</xdr:rowOff>
        </xdr:from>
        <xdr:to>
          <xdr:col>7</xdr:col>
          <xdr:colOff>1358900</xdr:colOff>
          <xdr:row>3</xdr:row>
          <xdr:rowOff>76200</xdr:rowOff>
        </xdr:to>
        <xdr:sp macro="" textlink="">
          <xdr:nvSpPr>
            <xdr:cNvPr id="35859" name="Button 19" hidden="1">
              <a:extLst>
                <a:ext uri="{63B3BB69-23CF-44E3-9099-C40C66FF867C}">
                  <a14:compatExt spid="_x0000_s35859"/>
                </a:ext>
                <a:ext uri="{FF2B5EF4-FFF2-40B4-BE49-F238E27FC236}">
                  <a16:creationId xmlns:a16="http://schemas.microsoft.com/office/drawing/2014/main" id="{00000000-0008-0000-0300-000013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Arial" charset="0"/>
                  <a:cs typeface="Arial" charset="0"/>
                </a:rPr>
                <a:t>Copy processes from capacity planning</a:t>
              </a:r>
            </a:p>
          </xdr:txBody>
        </xdr:sp>
        <xdr:clientData fPrintsWithSheet="0"/>
      </xdr:twoCellAnchor>
    </mc:Choice>
    <mc:Fallback/>
  </mc:AlternateContent>
  <xdr:twoCellAnchor editAs="oneCell">
    <xdr:from>
      <xdr:col>2</xdr:col>
      <xdr:colOff>50800</xdr:colOff>
      <xdr:row>10</xdr:row>
      <xdr:rowOff>177800</xdr:rowOff>
    </xdr:from>
    <xdr:to>
      <xdr:col>2</xdr:col>
      <xdr:colOff>1574800</xdr:colOff>
      <xdr:row>12</xdr:row>
      <xdr:rowOff>0</xdr:rowOff>
    </xdr:to>
    <xdr:pic>
      <xdr:nvPicPr>
        <xdr:cNvPr id="2" name="CommandButton1">
          <a:extLst>
            <a:ext uri="{FF2B5EF4-FFF2-40B4-BE49-F238E27FC236}">
              <a16:creationId xmlns:a16="http://schemas.microsoft.com/office/drawing/2014/main" id="{BB7F217B-606D-7534-CCCB-FDF5724C273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22700" y="2514600"/>
          <a:ext cx="15240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134470</xdr:colOff>
      <xdr:row>25</xdr:row>
      <xdr:rowOff>10756</xdr:rowOff>
    </xdr:from>
    <xdr:to>
      <xdr:col>16</xdr:col>
      <xdr:colOff>1292411</xdr:colOff>
      <xdr:row>53</xdr:row>
      <xdr:rowOff>149411</xdr:rowOff>
    </xdr:to>
    <xdr:graphicFrame macro="">
      <xdr:nvGraphicFramePr>
        <xdr:cNvPr id="2" name="Diagramm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Audi">
  <a:themeElements>
    <a:clrScheme name="Audi Standard">
      <a:dk1>
        <a:srgbClr val="000000"/>
      </a:dk1>
      <a:lt1>
        <a:srgbClr val="FFFFFF"/>
      </a:lt1>
      <a:dk2>
        <a:srgbClr val="000000"/>
      </a:dk2>
      <a:lt2>
        <a:srgbClr val="B0B6B8"/>
      </a:lt2>
      <a:accent1>
        <a:srgbClr val="434C53"/>
      </a:accent1>
      <a:accent2>
        <a:srgbClr val="D5D9D8"/>
      </a:accent2>
      <a:accent3>
        <a:srgbClr val="6D7579"/>
      </a:accent3>
      <a:accent4>
        <a:srgbClr val="CACE98"/>
      </a:accent4>
      <a:accent5>
        <a:srgbClr val="B0B6AD"/>
      </a:accent5>
      <a:accent6>
        <a:srgbClr val="B9002D"/>
      </a:accent6>
      <a:hlink>
        <a:srgbClr val="6682A4"/>
      </a:hlink>
      <a:folHlink>
        <a:srgbClr val="6C4859"/>
      </a:folHlink>
    </a:clrScheme>
    <a:fontScheme name="Audi">
      <a:majorFont>
        <a:latin typeface="Arial"/>
        <a:ea typeface=""/>
        <a:cs typeface=""/>
      </a:majorFont>
      <a:minorFont>
        <a:latin typeface="Arial"/>
        <a:ea typeface=""/>
        <a:cs typeface=""/>
      </a:minorFont>
    </a:fontScheme>
    <a:fmtScheme name="Audi">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none" lIns="0" tIns="0" rIns="0" bIns="0" numCol="1" anchor="ctr"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smtClean="0">
            <a:ln>
              <a:noFill/>
            </a:ln>
            <a:solidFill>
              <a:schemeClr val="tx1"/>
            </a:solidFill>
            <a:effectLst/>
            <a:latin typeface="Arial" charset="0"/>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none" lIns="0" tIns="0" rIns="0" bIns="0" numCol="1" anchor="ctr"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smtClean="0">
            <a:ln>
              <a:noFill/>
            </a:ln>
            <a:solidFill>
              <a:schemeClr val="tx1"/>
            </a:solidFill>
            <a:effectLst/>
            <a:latin typeface="Arial" charset="0"/>
          </a:defRPr>
        </a:defPPr>
      </a:lstStyle>
    </a:lnDef>
  </a:objectDefaults>
  <a:extraClrSchemeLst>
    <a:extraClrScheme>
      <a:clrScheme name="Audi">
        <a:dk1>
          <a:srgbClr val="000000"/>
        </a:dk1>
        <a:lt1>
          <a:srgbClr val="CDCDCD"/>
        </a:lt1>
        <a:dk2>
          <a:srgbClr val="000000"/>
        </a:dk2>
        <a:lt2>
          <a:srgbClr val="999999"/>
        </a:lt2>
        <a:accent1>
          <a:srgbClr val="FED900"/>
        </a:accent1>
        <a:accent2>
          <a:srgbClr val="FCAF00"/>
        </a:accent2>
        <a:accent3>
          <a:srgbClr val="2C9730"/>
        </a:accent3>
        <a:accent4>
          <a:srgbClr val="E3D36F"/>
        </a:accent4>
        <a:accent5>
          <a:srgbClr val="FEE9AA"/>
        </a:accent5>
        <a:accent6>
          <a:srgbClr val="A4AA73"/>
        </a:accent6>
        <a:hlink>
          <a:srgbClr val="339999"/>
        </a:hlink>
        <a:folHlink>
          <a:srgbClr val="009FCE"/>
        </a:folHlink>
      </a:clrScheme>
      <a:clrMap bg1="lt1" tx1="dk1" bg2="lt2" tx2="dk2" accent1="accent1" accent2="accent2" accent3="accent3" accent4="accent4" accent5="accent5" accent6="accent6" hlink="hlink" folHlink="folHlink"/>
    </a:extraClrScheme>
  </a:extraClrSchemeLst>
  <a:custClrLst>
    <a:custClr name="PMS 108">
      <a:srgbClr val="FEF000"/>
    </a:custClr>
    <a:custClr name="PMS 130">
      <a:srgbClr val="FBBB1B"/>
    </a:custClr>
    <a:custClr name="PMS 158">
      <a:srgbClr val="F6751F"/>
    </a:custClr>
    <a:custClr name="PMS 398">
      <a:srgbClr val="C5C12D"/>
    </a:custClr>
    <a:custClr name="PMS 377">
      <a:srgbClr val="669933"/>
    </a:custClr>
    <a:custClr name="PMS 347">
      <a:srgbClr val="008F54"/>
    </a:custClr>
    <a:custClr name="PMS 313">
      <a:srgbClr val="02B3E1"/>
    </a:custClr>
    <a:custClr name="PMS 5483">
      <a:srgbClr val="55959E"/>
    </a:custClr>
    <a:custClr name="PMS 556">
      <a:srgbClr val="7FBAA5"/>
    </a:custClr>
    <a:custClr name="Audi Cool Gray 9">
      <a:srgbClr val="5E5E5E"/>
    </a:custClr>
  </a:custClr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6.v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7.vml"/><Relationship Id="rId7" Type="http://schemas.openxmlformats.org/officeDocument/2006/relationships/ctrlProp" Target="../ctrlProps/ctrlProp1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8.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T53"/>
  <sheetViews>
    <sheetView zoomScaleNormal="100" workbookViewId="0">
      <selection activeCell="AG9" sqref="AG9"/>
    </sheetView>
  </sheetViews>
  <sheetFormatPr baseColWidth="10" defaultColWidth="11" defaultRowHeight="13"/>
  <cols>
    <col min="1" max="1" width="2.5" style="2" customWidth="1"/>
    <col min="2" max="3" width="30" style="2" customWidth="1"/>
    <col min="4" max="4" width="2.5" style="2" customWidth="1"/>
    <col min="5" max="5" width="12.6640625" style="2" customWidth="1"/>
    <col min="6" max="6" width="2.5" style="2" customWidth="1"/>
    <col min="7" max="10" width="11" style="2" customWidth="1"/>
    <col min="11" max="11" width="2.83203125" style="2" customWidth="1"/>
    <col min="12" max="19" width="11" style="2" customWidth="1"/>
    <col min="20" max="20" width="38.83203125" style="18" customWidth="1"/>
    <col min="21" max="16384" width="11" style="2"/>
  </cols>
  <sheetData>
    <row r="1" spans="1:20" ht="36" thickBot="1">
      <c r="A1" s="524" t="str">
        <f>CONCATENATE("Datasheet - ",IF(F6=1,"Pre-Check",IF(F6=2,"Performance test",IF(F6=3,"Process acceptance","Capacity planning"))))</f>
        <v>Datasheet - Pre-Check</v>
      </c>
      <c r="B1" s="524"/>
      <c r="C1" s="524"/>
      <c r="D1" s="524"/>
      <c r="E1" s="524"/>
      <c r="F1" s="524"/>
      <c r="G1" s="36"/>
      <c r="H1" s="20"/>
      <c r="I1" s="20"/>
      <c r="J1" s="20"/>
      <c r="K1" s="20"/>
      <c r="L1" s="20"/>
      <c r="M1" s="20"/>
      <c r="N1" s="20"/>
      <c r="O1" s="20"/>
      <c r="P1" s="20"/>
      <c r="Q1" s="20"/>
      <c r="R1" s="20"/>
      <c r="S1" s="20"/>
    </row>
    <row r="2" spans="1:20" ht="27" thickBot="1">
      <c r="A2" s="3"/>
      <c r="B2" s="4" t="s">
        <v>92</v>
      </c>
      <c r="C2" s="5"/>
      <c r="D2" s="5"/>
      <c r="E2" s="34"/>
      <c r="F2" s="6"/>
      <c r="G2" s="69"/>
      <c r="H2" s="20"/>
      <c r="I2" s="20"/>
      <c r="J2" s="20"/>
      <c r="K2" s="20"/>
      <c r="L2" s="20"/>
      <c r="M2" s="20"/>
      <c r="N2" s="20"/>
      <c r="O2" s="20"/>
      <c r="P2" s="20"/>
      <c r="Q2" s="20"/>
      <c r="R2" s="20"/>
      <c r="S2" s="20"/>
    </row>
    <row r="3" spans="1:20" s="23" customFormat="1">
      <c r="A3" s="72"/>
      <c r="B3" s="71"/>
      <c r="C3" s="71"/>
      <c r="D3" s="71"/>
      <c r="E3" s="71"/>
      <c r="F3" s="73"/>
      <c r="G3" s="71"/>
      <c r="H3" s="530" t="s">
        <v>409</v>
      </c>
      <c r="I3" s="531"/>
      <c r="J3" s="532"/>
      <c r="K3" s="2"/>
      <c r="L3" s="71"/>
      <c r="M3" s="71"/>
      <c r="N3" s="71"/>
      <c r="O3" s="71"/>
      <c r="P3" s="71"/>
      <c r="Q3" s="71"/>
      <c r="R3" s="71"/>
      <c r="S3" s="71"/>
      <c r="T3" s="25"/>
    </row>
    <row r="4" spans="1:20">
      <c r="A4" s="74"/>
      <c r="B4" s="15" t="s">
        <v>93</v>
      </c>
      <c r="C4" s="360">
        <f ca="1">TODAY()</f>
        <v>46280</v>
      </c>
      <c r="D4" s="70"/>
      <c r="E4" s="70"/>
      <c r="F4" s="75"/>
      <c r="G4" s="70"/>
      <c r="H4" s="533"/>
      <c r="I4" s="534"/>
      <c r="J4" s="535"/>
      <c r="K4" s="23"/>
      <c r="L4" s="70"/>
      <c r="M4" s="70"/>
      <c r="N4" s="70"/>
      <c r="O4" s="70"/>
      <c r="P4" s="70"/>
      <c r="Q4" s="70"/>
      <c r="R4" s="70"/>
      <c r="S4" s="70"/>
    </row>
    <row r="5" spans="1:20" s="23" customFormat="1">
      <c r="A5" s="22"/>
      <c r="F5" s="24"/>
      <c r="H5" s="533"/>
      <c r="I5" s="534"/>
      <c r="J5" s="535"/>
      <c r="K5" s="2"/>
      <c r="T5" s="25"/>
    </row>
    <row r="6" spans="1:20" ht="44.25" customHeight="1">
      <c r="A6" s="7"/>
      <c r="B6" s="76" t="s">
        <v>94</v>
      </c>
      <c r="C6" s="264" t="str">
        <f>RIGHT(Datasheet!A1,LEN(Datasheet!A1)-12)</f>
        <v>Pre-Check</v>
      </c>
      <c r="D6" s="77"/>
      <c r="E6" s="77"/>
      <c r="F6" s="498">
        <v>1</v>
      </c>
      <c r="H6" s="533"/>
      <c r="I6" s="534"/>
      <c r="J6" s="535"/>
      <c r="K6" s="23"/>
    </row>
    <row r="7" spans="1:20" ht="44.25" customHeight="1">
      <c r="A7" s="7"/>
      <c r="B7" s="76" t="s">
        <v>95</v>
      </c>
      <c r="C7" s="77"/>
      <c r="D7" s="78"/>
      <c r="E7" s="78"/>
      <c r="F7" s="338"/>
      <c r="H7" s="195"/>
      <c r="I7" s="193"/>
      <c r="J7" s="196"/>
    </row>
    <row r="8" spans="1:20" s="23" customFormat="1" ht="10">
      <c r="A8" s="22"/>
      <c r="B8" s="26"/>
      <c r="C8" s="27"/>
      <c r="D8" s="27"/>
      <c r="E8" s="27"/>
      <c r="F8" s="24"/>
      <c r="H8" s="65"/>
      <c r="I8" s="194"/>
      <c r="J8" s="66"/>
      <c r="T8" s="25"/>
    </row>
    <row r="9" spans="1:20" ht="20">
      <c r="A9" s="7"/>
      <c r="B9" s="16" t="s">
        <v>96</v>
      </c>
      <c r="C9" s="536"/>
      <c r="D9" s="536"/>
      <c r="E9" s="536"/>
      <c r="F9" s="37"/>
      <c r="H9" s="63"/>
      <c r="I9" s="194"/>
      <c r="J9" s="64"/>
    </row>
    <row r="10" spans="1:20" s="23" customFormat="1" ht="10">
      <c r="A10" s="22"/>
      <c r="B10" s="26"/>
      <c r="C10" s="27"/>
      <c r="D10" s="27"/>
      <c r="E10" s="27"/>
      <c r="F10" s="24"/>
      <c r="H10" s="65"/>
      <c r="I10" s="194"/>
      <c r="J10" s="66"/>
      <c r="T10" s="25"/>
    </row>
    <row r="11" spans="1:20">
      <c r="A11" s="7"/>
      <c r="B11" s="15" t="s">
        <v>97</v>
      </c>
      <c r="C11" s="526"/>
      <c r="D11" s="526"/>
      <c r="E11" s="526"/>
      <c r="F11" s="8"/>
      <c r="H11" s="63"/>
      <c r="I11" s="194"/>
      <c r="J11" s="64"/>
    </row>
    <row r="12" spans="1:20">
      <c r="A12" s="7"/>
      <c r="B12" s="15" t="s">
        <v>98</v>
      </c>
      <c r="C12" s="529"/>
      <c r="D12" s="529"/>
      <c r="E12" s="529"/>
      <c r="F12" s="8"/>
      <c r="H12" s="63"/>
      <c r="I12" s="194"/>
      <c r="J12" s="64"/>
    </row>
    <row r="13" spans="1:20" s="23" customFormat="1" ht="10">
      <c r="A13" s="22"/>
      <c r="B13" s="26"/>
      <c r="C13" s="27"/>
      <c r="D13" s="27"/>
      <c r="E13" s="27"/>
      <c r="F13" s="24"/>
      <c r="H13" s="65"/>
      <c r="I13" s="197"/>
      <c r="J13" s="66"/>
      <c r="T13" s="25"/>
    </row>
    <row r="14" spans="1:20" ht="19" thickBot="1">
      <c r="A14" s="7"/>
      <c r="B14" s="39" t="s">
        <v>99</v>
      </c>
      <c r="C14" s="14"/>
      <c r="D14" s="14"/>
      <c r="E14" s="14"/>
      <c r="F14" s="67"/>
      <c r="G14" s="7"/>
      <c r="H14" s="204"/>
      <c r="I14" s="205"/>
      <c r="J14" s="206"/>
    </row>
    <row r="15" spans="1:20" ht="14" thickBot="1">
      <c r="A15" s="7"/>
      <c r="B15" s="15" t="s">
        <v>100</v>
      </c>
      <c r="C15" s="21"/>
      <c r="D15" s="14"/>
      <c r="E15" s="14"/>
      <c r="F15" s="8"/>
      <c r="G15" s="7"/>
      <c r="H15" s="65"/>
      <c r="I15" s="197"/>
      <c r="J15" s="66"/>
    </row>
    <row r="16" spans="1:20" s="23" customFormat="1" ht="10">
      <c r="A16" s="22"/>
      <c r="B16" s="26"/>
      <c r="C16" s="27"/>
      <c r="D16" s="27"/>
      <c r="E16" s="27"/>
      <c r="F16" s="24"/>
      <c r="H16" s="199"/>
      <c r="I16" s="198"/>
      <c r="J16" s="200"/>
      <c r="T16" s="25"/>
    </row>
    <row r="17" spans="1:20" s="23" customFormat="1">
      <c r="A17" s="22"/>
      <c r="B17" s="15" t="s">
        <v>101</v>
      </c>
      <c r="C17" s="525"/>
      <c r="D17" s="526"/>
      <c r="E17" s="526"/>
      <c r="F17" s="24"/>
      <c r="H17" s="199"/>
      <c r="I17" s="198"/>
      <c r="J17" s="200"/>
      <c r="K17" s="2"/>
      <c r="T17" s="25"/>
    </row>
    <row r="18" spans="1:20" s="23" customFormat="1" ht="14" thickBot="1">
      <c r="A18" s="22"/>
      <c r="B18" s="15" t="s">
        <v>102</v>
      </c>
      <c r="C18" s="537"/>
      <c r="D18" s="537"/>
      <c r="E18" s="537"/>
      <c r="F18" s="24"/>
      <c r="H18" s="201"/>
      <c r="I18" s="202"/>
      <c r="J18" s="203"/>
      <c r="K18" s="2"/>
      <c r="T18" s="25"/>
    </row>
    <row r="19" spans="1:20">
      <c r="A19" s="7"/>
      <c r="B19" s="15" t="s">
        <v>103</v>
      </c>
      <c r="C19" s="528"/>
      <c r="D19" s="528"/>
      <c r="E19" s="528"/>
      <c r="F19" s="8"/>
      <c r="K19" s="42"/>
    </row>
    <row r="20" spans="1:20" s="23" customFormat="1">
      <c r="A20" s="22"/>
      <c r="B20" s="15" t="s">
        <v>104</v>
      </c>
      <c r="C20" s="529"/>
      <c r="D20" s="529"/>
      <c r="E20" s="529"/>
      <c r="F20" s="24"/>
      <c r="H20" s="91" t="s">
        <v>408</v>
      </c>
      <c r="I20" s="213"/>
      <c r="J20" s="213"/>
      <c r="K20" s="213"/>
      <c r="L20" s="213"/>
      <c r="T20" s="25"/>
    </row>
    <row r="21" spans="1:20" s="23" customFormat="1" ht="10">
      <c r="A21" s="22"/>
      <c r="B21" s="26"/>
      <c r="C21" s="27"/>
      <c r="D21" s="27"/>
      <c r="E21" s="27"/>
      <c r="F21" s="24"/>
      <c r="T21" s="25"/>
    </row>
    <row r="22" spans="1:20">
      <c r="A22" s="7"/>
      <c r="B22" s="15" t="s">
        <v>105</v>
      </c>
      <c r="C22" s="526"/>
      <c r="D22" s="526"/>
      <c r="E22" s="526"/>
      <c r="F22" s="8"/>
      <c r="H22" s="23"/>
      <c r="I22" s="23"/>
      <c r="J22" s="23"/>
      <c r="K22" s="23"/>
    </row>
    <row r="23" spans="1:20" s="42" customFormat="1">
      <c r="A23" s="40"/>
      <c r="B23" s="15" t="s">
        <v>106</v>
      </c>
      <c r="C23" s="529"/>
      <c r="D23" s="529"/>
      <c r="E23" s="529"/>
      <c r="F23" s="41"/>
      <c r="T23" s="43"/>
    </row>
    <row r="24" spans="1:20" s="23" customFormat="1" ht="11" thickBot="1">
      <c r="A24" s="29"/>
      <c r="B24" s="30"/>
      <c r="C24" s="31"/>
      <c r="D24" s="31"/>
      <c r="E24" s="31"/>
      <c r="F24" s="32"/>
      <c r="T24" s="28"/>
    </row>
    <row r="25" spans="1:20" ht="25">
      <c r="A25" s="7"/>
      <c r="B25" s="10" t="s">
        <v>108</v>
      </c>
      <c r="C25" s="14"/>
      <c r="D25" s="14"/>
      <c r="E25" s="35"/>
      <c r="F25" s="8"/>
      <c r="T25" s="19"/>
    </row>
    <row r="26" spans="1:20" s="23" customFormat="1" ht="10">
      <c r="A26" s="22"/>
      <c r="C26" s="27"/>
      <c r="D26" s="27"/>
      <c r="E26" s="27"/>
      <c r="F26" s="24"/>
      <c r="T26" s="28"/>
    </row>
    <row r="27" spans="1:20">
      <c r="A27" s="7"/>
      <c r="B27" s="15" t="s">
        <v>109</v>
      </c>
      <c r="C27" s="239">
        <f ca="1">TODAY()</f>
        <v>46280</v>
      </c>
      <c r="D27" s="14"/>
      <c r="E27" s="16"/>
      <c r="F27" s="8"/>
      <c r="T27" s="19"/>
    </row>
    <row r="28" spans="1:20" s="23" customFormat="1" ht="10">
      <c r="A28" s="22"/>
      <c r="B28" s="26"/>
      <c r="C28" s="27"/>
      <c r="D28" s="27"/>
      <c r="E28" s="207"/>
      <c r="F28" s="24"/>
      <c r="T28" s="28"/>
    </row>
    <row r="29" spans="1:20" ht="25">
      <c r="A29" s="7"/>
      <c r="B29" s="15" t="s">
        <v>110</v>
      </c>
      <c r="C29" s="527"/>
      <c r="D29" s="527"/>
      <c r="E29" s="527"/>
      <c r="F29" s="38"/>
      <c r="T29" s="19">
        <f t="shared" ref="T29:T46" si="0">C29</f>
        <v>0</v>
      </c>
    </row>
    <row r="30" spans="1:20" s="23" customFormat="1" ht="10">
      <c r="A30" s="22"/>
      <c r="B30" s="26"/>
      <c r="C30" s="27"/>
      <c r="D30" s="27"/>
      <c r="E30" s="33"/>
      <c r="F30" s="24"/>
      <c r="T30" s="28"/>
    </row>
    <row r="31" spans="1:20" ht="25">
      <c r="A31" s="7"/>
      <c r="B31" s="15" t="s">
        <v>111</v>
      </c>
      <c r="C31" s="527"/>
      <c r="D31" s="527"/>
      <c r="E31" s="527"/>
      <c r="F31" s="38"/>
      <c r="T31" s="19">
        <f t="shared" si="0"/>
        <v>0</v>
      </c>
    </row>
    <row r="32" spans="1:20" s="23" customFormat="1" ht="11" thickBot="1">
      <c r="A32" s="22"/>
      <c r="B32" s="26"/>
      <c r="C32" s="79"/>
      <c r="D32" s="27"/>
      <c r="E32" s="81"/>
      <c r="F32" s="24"/>
      <c r="T32" s="28"/>
    </row>
    <row r="33" spans="1:20" ht="19" thickBot="1">
      <c r="A33" s="7"/>
      <c r="B33" s="16" t="s">
        <v>112</v>
      </c>
      <c r="C33" s="406" t="str">
        <f>'Capacity overview'!D59</f>
        <v/>
      </c>
      <c r="D33" s="14"/>
      <c r="E33" s="538" t="str">
        <f>IF(Ergebnis=erfuellt,IF(F6=1,"yellow","green"),IF(Ergebnis=bedingterfuellt,"yellow",IF(Ergebnis=nichterfuellt,"red","")))</f>
        <v/>
      </c>
      <c r="F33" s="67"/>
      <c r="T33" s="19"/>
    </row>
    <row r="34" spans="1:20" ht="29" thickBot="1">
      <c r="A34" s="7"/>
      <c r="B34" s="80" t="s">
        <v>407</v>
      </c>
      <c r="C34" s="406" t="str">
        <f>'Capacity overview'!G59</f>
        <v/>
      </c>
      <c r="D34" s="14"/>
      <c r="E34" s="539"/>
      <c r="F34" s="67"/>
      <c r="T34" s="19"/>
    </row>
    <row r="35" spans="1:20" s="23" customFormat="1" ht="11" thickBot="1">
      <c r="A35" s="22"/>
      <c r="B35" s="33"/>
      <c r="C35" s="79"/>
      <c r="D35" s="27"/>
      <c r="E35" s="540"/>
      <c r="F35" s="24"/>
      <c r="T35" s="28"/>
    </row>
    <row r="36" spans="1:20" ht="21" thickBot="1">
      <c r="A36" s="7"/>
      <c r="B36" s="80" t="s">
        <v>113</v>
      </c>
      <c r="C36" s="82" t="str">
        <f>IF(AND(Ergebnis=erfuellt,F6=1),bedingterfuellt,Ergebnis)</f>
        <v/>
      </c>
      <c r="D36" s="14"/>
      <c r="F36" s="84"/>
      <c r="T36" s="19"/>
    </row>
    <row r="37" spans="1:20" s="23" customFormat="1" ht="11" thickBot="1">
      <c r="A37" s="29"/>
      <c r="B37" s="30"/>
      <c r="C37" s="31"/>
      <c r="D37" s="31"/>
      <c r="E37" s="31"/>
      <c r="F37" s="32"/>
      <c r="T37" s="28"/>
    </row>
    <row r="38" spans="1:20" ht="25">
      <c r="A38" s="7"/>
      <c r="B38" s="10" t="s">
        <v>114</v>
      </c>
      <c r="C38" s="14"/>
      <c r="D38" s="14"/>
      <c r="E38" s="35"/>
      <c r="F38" s="8"/>
      <c r="T38" s="19">
        <f t="shared" si="0"/>
        <v>0</v>
      </c>
    </row>
    <row r="39" spans="1:20" s="23" customFormat="1" ht="10">
      <c r="A39" s="22"/>
      <c r="C39" s="27"/>
      <c r="D39" s="27"/>
      <c r="E39" s="27"/>
      <c r="F39" s="24"/>
      <c r="T39" s="28"/>
    </row>
    <row r="40" spans="1:20">
      <c r="A40" s="7"/>
      <c r="B40" s="15" t="s">
        <v>115</v>
      </c>
      <c r="C40" s="527"/>
      <c r="D40" s="527"/>
      <c r="E40" s="527"/>
      <c r="F40" s="8"/>
      <c r="T40" s="19">
        <f t="shared" si="0"/>
        <v>0</v>
      </c>
    </row>
    <row r="41" spans="1:20" s="23" customFormat="1" ht="10">
      <c r="A41" s="22"/>
      <c r="B41" s="26"/>
      <c r="C41" s="27"/>
      <c r="D41" s="27"/>
      <c r="E41" s="27"/>
      <c r="F41" s="24"/>
      <c r="T41" s="28"/>
    </row>
    <row r="42" spans="1:20" ht="14">
      <c r="A42" s="7"/>
      <c r="B42" s="17" t="s">
        <v>116</v>
      </c>
      <c r="C42" s="527"/>
      <c r="D42" s="527"/>
      <c r="E42" s="527"/>
      <c r="F42" s="8"/>
      <c r="T42" s="19">
        <f t="shared" si="0"/>
        <v>0</v>
      </c>
    </row>
    <row r="43" spans="1:20" s="23" customFormat="1" ht="10">
      <c r="A43" s="22"/>
      <c r="B43" s="26"/>
      <c r="C43" s="27"/>
      <c r="D43" s="27"/>
      <c r="E43" s="27"/>
      <c r="F43" s="24"/>
      <c r="T43" s="28"/>
    </row>
    <row r="44" spans="1:20">
      <c r="A44" s="7"/>
      <c r="B44" s="15" t="s">
        <v>117</v>
      </c>
      <c r="C44" s="527"/>
      <c r="D44" s="527"/>
      <c r="E44" s="527"/>
      <c r="F44" s="8"/>
      <c r="T44" s="19">
        <f t="shared" si="0"/>
        <v>0</v>
      </c>
    </row>
    <row r="45" spans="1:20" s="23" customFormat="1" ht="10">
      <c r="A45" s="22"/>
      <c r="B45" s="26"/>
      <c r="C45" s="27"/>
      <c r="D45" s="27"/>
      <c r="E45" s="27"/>
      <c r="F45" s="24"/>
      <c r="T45" s="28"/>
    </row>
    <row r="46" spans="1:20" ht="28">
      <c r="A46" s="7"/>
      <c r="B46" s="17" t="s">
        <v>118</v>
      </c>
      <c r="C46" s="527"/>
      <c r="D46" s="527"/>
      <c r="E46" s="527"/>
      <c r="F46" s="8"/>
      <c r="T46" s="19">
        <f t="shared" si="0"/>
        <v>0</v>
      </c>
    </row>
    <row r="47" spans="1:20" s="23" customFormat="1" ht="11" thickBot="1">
      <c r="A47" s="29"/>
      <c r="B47" s="30"/>
      <c r="C47" s="30"/>
      <c r="D47" s="30"/>
      <c r="E47" s="30"/>
      <c r="F47" s="32"/>
      <c r="T47" s="25"/>
    </row>
    <row r="48" spans="1:20" s="23" customFormat="1" ht="10">
      <c r="A48" s="46"/>
      <c r="B48" s="47"/>
      <c r="C48" s="47"/>
      <c r="D48" s="47"/>
      <c r="E48" s="47"/>
      <c r="F48" s="48"/>
      <c r="T48" s="25"/>
    </row>
    <row r="49" spans="1:20" s="328" customFormat="1" ht="12">
      <c r="A49" s="327"/>
      <c r="B49" s="335" t="s">
        <v>119</v>
      </c>
      <c r="C49" s="336"/>
      <c r="D49" s="336"/>
      <c r="E49" s="336"/>
      <c r="F49" s="329"/>
      <c r="T49" s="330"/>
    </row>
    <row r="50" spans="1:20" s="332" customFormat="1" ht="7">
      <c r="A50" s="331"/>
      <c r="F50" s="333"/>
      <c r="T50" s="334"/>
    </row>
    <row r="51" spans="1:20" s="328" customFormat="1" ht="12">
      <c r="A51" s="327"/>
      <c r="B51" s="328" t="s">
        <v>120</v>
      </c>
      <c r="C51" s="328" t="s">
        <v>406</v>
      </c>
      <c r="F51" s="329"/>
      <c r="T51" s="330"/>
    </row>
    <row r="52" spans="1:20" s="328" customFormat="1" ht="12">
      <c r="A52" s="327"/>
      <c r="B52" s="328" t="s">
        <v>90</v>
      </c>
      <c r="C52" s="489">
        <v>45352</v>
      </c>
      <c r="F52" s="329"/>
      <c r="T52" s="330"/>
    </row>
    <row r="53" spans="1:20" s="23" customFormat="1" ht="11" thickBot="1">
      <c r="A53" s="29"/>
      <c r="B53" s="30"/>
      <c r="C53" s="30"/>
      <c r="D53" s="30"/>
      <c r="E53" s="30"/>
      <c r="F53" s="32"/>
      <c r="T53" s="25"/>
    </row>
  </sheetData>
  <sheetProtection formatCells="0" formatColumns="0" formatRows="0"/>
  <mergeCells count="18">
    <mergeCell ref="H3:J6"/>
    <mergeCell ref="C40:E40"/>
    <mergeCell ref="C42:E42"/>
    <mergeCell ref="C44:E44"/>
    <mergeCell ref="C46:E46"/>
    <mergeCell ref="C9:E9"/>
    <mergeCell ref="C11:E11"/>
    <mergeCell ref="C12:E12"/>
    <mergeCell ref="C18:E18"/>
    <mergeCell ref="E33:E35"/>
    <mergeCell ref="A1:F1"/>
    <mergeCell ref="C17:E17"/>
    <mergeCell ref="C29:E29"/>
    <mergeCell ref="C31:E31"/>
    <mergeCell ref="C19:E19"/>
    <mergeCell ref="C20:E20"/>
    <mergeCell ref="C22:E22"/>
    <mergeCell ref="C23:E23"/>
  </mergeCells>
  <phoneticPr fontId="76" type="noConversion"/>
  <conditionalFormatting sqref="E33">
    <cfRule type="cellIs" dxfId="28" priority="9" operator="equal">
      <formula>"green"</formula>
    </cfRule>
    <cfRule type="cellIs" dxfId="27" priority="10" operator="equal">
      <formula>"yellow"</formula>
    </cfRule>
    <cfRule type="cellIs" dxfId="26" priority="11" operator="equal">
      <formula>"red"</formula>
    </cfRule>
  </conditionalFormatting>
  <conditionalFormatting sqref="C36">
    <cfRule type="expression" dxfId="25" priority="1">
      <formula>$F$36=2</formula>
    </cfRule>
    <cfRule type="cellIs" dxfId="24" priority="3" operator="equal">
      <formula>nichterfuellt</formula>
    </cfRule>
    <cfRule type="cellIs" dxfId="23" priority="5" operator="equal">
      <formula>bedingterfuellt</formula>
    </cfRule>
    <cfRule type="cellIs" dxfId="22" priority="6" operator="equal">
      <formula>erfuellt</formula>
    </cfRule>
  </conditionalFormatting>
  <dataValidations count="2">
    <dataValidation allowBlank="1" showInputMessage="1" showErrorMessage="1" errorTitle="Land auswählen" error="Bitte wählen Sie ein Land aus der Liste" sqref="C16" xr:uid="{00000000-0002-0000-0000-000000000000}"/>
    <dataValidation type="date" allowBlank="1" showInputMessage="1" showErrorMessage="1" errorTitle="Datum eingeben" error="Bitte geben Sie ein gültiges Datum ein." sqref="C4" xr:uid="{C82AA685-4580-4BC8-8CFC-812F17A8A0A8}">
      <formula1>32874</formula1>
      <formula2>365245</formula2>
    </dataValidation>
  </dataValidations>
  <printOptions horizontalCentered="1"/>
  <pageMargins left="0.70866141732283472" right="0.70866141732283472" top="0.9055118110236221" bottom="0.78740157480314965" header="0.31496062992125984" footer="0.31496062992125984"/>
  <pageSetup paperSize="9" scale="99" orientation="portrait" r:id="rId1"/>
  <headerFooter>
    <oddHeader xml:space="preserve">&amp;L&amp;"Calibri"&amp;10&amp;K000000 INTERNAL&amp;1#_x000D_&amp;"Arialri"&amp;11&amp;K000000
&amp;"Calibri,Standard"Kapazitätsplanung und abnahme
&amp;A&amp;R&amp;G
</oddHeader>
    <oddFooter>&amp;L&amp;"Audi Type,Standard"&amp;8&amp;F_x000D_&amp;1#&amp;"Calibri"&amp;10&amp;K000000 Internal&amp;C&amp;"Audi Type,Standard"&amp;8&amp;P von &amp;N&amp;R&amp;"Audi Type,Standard"&amp;8&amp;D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2292" r:id="rId5" name="Option Button 4">
              <controlPr locked="0" defaultSize="0" autoFill="0" autoLine="0" autoPict="0">
                <anchor moveWithCells="1" sizeWithCells="1">
                  <from>
                    <xdr:col>1</xdr:col>
                    <xdr:colOff>2070100</xdr:colOff>
                    <xdr:row>5</xdr:row>
                    <xdr:rowOff>63500</xdr:rowOff>
                  </from>
                  <to>
                    <xdr:col>2</xdr:col>
                    <xdr:colOff>1270000</xdr:colOff>
                    <xdr:row>5</xdr:row>
                    <xdr:rowOff>266700</xdr:rowOff>
                  </to>
                </anchor>
              </controlPr>
            </control>
          </mc:Choice>
        </mc:AlternateContent>
        <mc:AlternateContent xmlns:mc="http://schemas.openxmlformats.org/markup-compatibility/2006">
          <mc:Choice Requires="x14">
            <control shapeId="12293" r:id="rId6" name="Option Button 5">
              <controlPr locked="0" defaultSize="0" autoFill="0" autoLine="0" autoPict="0">
                <anchor moveWithCells="1" sizeWithCells="1">
                  <from>
                    <xdr:col>1</xdr:col>
                    <xdr:colOff>2070100</xdr:colOff>
                    <xdr:row>5</xdr:row>
                    <xdr:rowOff>304800</xdr:rowOff>
                  </from>
                  <to>
                    <xdr:col>2</xdr:col>
                    <xdr:colOff>1562100</xdr:colOff>
                    <xdr:row>5</xdr:row>
                    <xdr:rowOff>482600</xdr:rowOff>
                  </to>
                </anchor>
              </controlPr>
            </control>
          </mc:Choice>
        </mc:AlternateContent>
        <mc:AlternateContent xmlns:mc="http://schemas.openxmlformats.org/markup-compatibility/2006">
          <mc:Choice Requires="x14">
            <control shapeId="12294" r:id="rId7" name="Option Button 6">
              <controlPr locked="0" defaultSize="0" autoFill="0" autoLine="0" autoPict="0">
                <anchor moveWithCells="1" sizeWithCells="1">
                  <from>
                    <xdr:col>2</xdr:col>
                    <xdr:colOff>1574800</xdr:colOff>
                    <xdr:row>5</xdr:row>
                    <xdr:rowOff>63500</xdr:rowOff>
                  </from>
                  <to>
                    <xdr:col>5</xdr:col>
                    <xdr:colOff>76200</xdr:colOff>
                    <xdr:row>5</xdr:row>
                    <xdr:rowOff>254000</xdr:rowOff>
                  </to>
                </anchor>
              </controlPr>
            </control>
          </mc:Choice>
        </mc:AlternateContent>
        <mc:AlternateContent xmlns:mc="http://schemas.openxmlformats.org/markup-compatibility/2006">
          <mc:Choice Requires="x14">
            <control shapeId="12310" r:id="rId8" name="Option Button 22">
              <controlPr locked="0" defaultSize="0" autoFill="0" autoLine="0" autoPict="0">
                <anchor moveWithCells="1" sizeWithCells="1">
                  <from>
                    <xdr:col>2</xdr:col>
                    <xdr:colOff>1574800</xdr:colOff>
                    <xdr:row>5</xdr:row>
                    <xdr:rowOff>304800</xdr:rowOff>
                  </from>
                  <to>
                    <xdr:col>4</xdr:col>
                    <xdr:colOff>901700</xdr:colOff>
                    <xdr:row>5</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Land auswählen" error="Bitte wählen Sie ein Land aus der Liste" xr:uid="{9BE13BDA-380A-4478-BB15-0B6507799989}">
          <x14:formula1>
            <xm:f>Datenquelle!$A$5:$A$206</xm:f>
          </x14:formula1>
          <xm:sqref>C15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5">
    <outlinePr summaryBelow="0"/>
    <pageSetUpPr fitToPage="1"/>
  </sheetPr>
  <dimension ref="A1:X68"/>
  <sheetViews>
    <sheetView topLeftCell="C2" zoomScaleNormal="100" workbookViewId="0">
      <selection activeCell="L25" sqref="L25"/>
    </sheetView>
  </sheetViews>
  <sheetFormatPr baseColWidth="10" defaultColWidth="11" defaultRowHeight="13" outlineLevelRow="1"/>
  <cols>
    <col min="1" max="1" width="2.5" style="2" customWidth="1"/>
    <col min="2" max="2" width="14.6640625" style="2" bestFit="1" customWidth="1"/>
    <col min="3" max="3" width="15.83203125" style="2" customWidth="1"/>
    <col min="4" max="4" width="11" style="2" customWidth="1"/>
    <col min="5" max="5" width="10" style="2" customWidth="1"/>
    <col min="6" max="6" width="18.5" style="2" bestFit="1" customWidth="1"/>
    <col min="7" max="7" width="18" style="2" customWidth="1"/>
    <col min="8" max="9" width="11.5" style="2" customWidth="1"/>
    <col min="10" max="10" width="2.5" style="2" customWidth="1"/>
    <col min="11" max="11" width="3.1640625" style="2" customWidth="1"/>
    <col min="12" max="13" width="15" style="2" customWidth="1"/>
    <col min="14" max="14" width="16" style="2" customWidth="1"/>
    <col min="15" max="16" width="15" style="2" customWidth="1"/>
    <col min="17" max="17" width="8.1640625" style="2" bestFit="1" customWidth="1"/>
    <col min="18" max="20" width="11" style="2"/>
    <col min="21" max="21" width="12.5" style="2" bestFit="1" customWidth="1"/>
    <col min="22" max="22" width="69.33203125" style="2" customWidth="1"/>
    <col min="23" max="16384" width="11" style="2"/>
  </cols>
  <sheetData>
    <row r="1" spans="1:24" ht="36" thickBot="1">
      <c r="A1" s="560" t="s">
        <v>121</v>
      </c>
      <c r="B1" s="560"/>
      <c r="C1" s="560"/>
      <c r="D1" s="560"/>
      <c r="E1" s="560"/>
      <c r="F1" s="560"/>
      <c r="G1" s="560"/>
      <c r="H1" s="560"/>
      <c r="I1" s="560"/>
      <c r="J1" s="560"/>
      <c r="K1" s="44"/>
    </row>
    <row r="2" spans="1:24" ht="25">
      <c r="A2" s="3"/>
      <c r="B2" s="4" t="s">
        <v>122</v>
      </c>
      <c r="C2" s="5"/>
      <c r="D2" s="5"/>
      <c r="E2" s="34"/>
      <c r="F2" s="5"/>
      <c r="G2" s="5"/>
      <c r="H2" s="5"/>
      <c r="I2" s="5"/>
      <c r="J2" s="6"/>
      <c r="L2" s="414" t="s">
        <v>256</v>
      </c>
      <c r="M2" s="415"/>
      <c r="N2" s="579" t="s">
        <v>257</v>
      </c>
      <c r="O2" s="581" t="s">
        <v>258</v>
      </c>
      <c r="P2" s="415"/>
      <c r="Q2" s="416"/>
    </row>
    <row r="3" spans="1:24" s="23" customFormat="1" ht="10">
      <c r="A3" s="22"/>
      <c r="J3" s="24"/>
      <c r="L3" s="417"/>
      <c r="M3" s="418"/>
      <c r="N3" s="580"/>
      <c r="O3" s="582" t="s">
        <v>255</v>
      </c>
      <c r="Q3" s="419"/>
    </row>
    <row r="4" spans="1:24" ht="14">
      <c r="A4" s="7"/>
      <c r="B4" s="564" t="s">
        <v>97</v>
      </c>
      <c r="C4" s="564"/>
      <c r="D4" s="563">
        <f>Datasheet!C11</f>
        <v>0</v>
      </c>
      <c r="E4" s="563"/>
      <c r="F4" s="563"/>
      <c r="G4" s="563"/>
      <c r="H4" s="563"/>
      <c r="I4" s="563"/>
      <c r="J4" s="56"/>
      <c r="L4" s="583" t="s">
        <v>259</v>
      </c>
      <c r="M4" s="570"/>
      <c r="N4" s="420" t="s">
        <v>262</v>
      </c>
      <c r="O4" s="584" t="s">
        <v>267</v>
      </c>
      <c r="P4" s="585"/>
      <c r="Q4" s="586"/>
    </row>
    <row r="5" spans="1:24" ht="14">
      <c r="A5" s="7"/>
      <c r="B5" s="541" t="s">
        <v>98</v>
      </c>
      <c r="C5" s="541"/>
      <c r="D5" s="541">
        <f>Datasheet!C12</f>
        <v>0</v>
      </c>
      <c r="E5" s="541"/>
      <c r="F5" s="541"/>
      <c r="G5" s="541"/>
      <c r="H5" s="541"/>
      <c r="I5" s="541"/>
      <c r="J5" s="56"/>
      <c r="L5" s="587" t="s">
        <v>260</v>
      </c>
      <c r="M5" s="588"/>
      <c r="N5" s="420" t="s">
        <v>263</v>
      </c>
      <c r="O5" s="584" t="s">
        <v>266</v>
      </c>
      <c r="P5" s="589"/>
      <c r="Q5" s="590"/>
    </row>
    <row r="6" spans="1:24" ht="14">
      <c r="A6" s="7"/>
      <c r="B6" s="565" t="s">
        <v>123</v>
      </c>
      <c r="C6" s="565"/>
      <c r="D6" s="566"/>
      <c r="E6" s="566"/>
      <c r="F6" s="566"/>
      <c r="G6" s="14"/>
      <c r="H6" s="14"/>
      <c r="I6" s="412" t="s">
        <v>254</v>
      </c>
      <c r="J6" s="56"/>
      <c r="L6" s="558" t="s">
        <v>261</v>
      </c>
      <c r="M6" s="559"/>
      <c r="N6" s="421" t="s">
        <v>264</v>
      </c>
      <c r="O6" s="573" t="s">
        <v>268</v>
      </c>
      <c r="P6" s="574"/>
      <c r="Q6" s="575"/>
    </row>
    <row r="7" spans="1:24" ht="46" thickBot="1">
      <c r="A7" s="9"/>
      <c r="B7" s="52"/>
      <c r="C7" s="52"/>
      <c r="D7" s="52"/>
      <c r="E7" s="52"/>
      <c r="F7" s="413" t="str">
        <f>CONCATENATE("inkl. ",$Q$9*100,"% Flex")</f>
        <v>inkl. 15% Flex</v>
      </c>
      <c r="G7" s="413" t="str">
        <f>CONCATENATE("exkl. ",$Q$9*100,"% Flex")</f>
        <v>exkl. 15% Flex</v>
      </c>
      <c r="H7" s="52"/>
      <c r="I7" s="235">
        <v>2</v>
      </c>
      <c r="J7" s="302"/>
      <c r="L7" s="576" t="s">
        <v>265</v>
      </c>
      <c r="M7" s="577"/>
      <c r="N7" s="577"/>
      <c r="O7" s="577"/>
      <c r="P7" s="577"/>
      <c r="Q7" s="578"/>
    </row>
    <row r="8" spans="1:24" ht="25">
      <c r="A8" s="3"/>
      <c r="B8" s="4" t="str">
        <f>CONCATENATE("Demands ",IF(Abnahme=1,"Pre-Check",IF(Abnahme=2,"Performance test",IF(Abnahme=3,"Process acceptance",""))))</f>
        <v>Demands Pre-Check</v>
      </c>
      <c r="C8" s="5"/>
      <c r="D8" s="5"/>
      <c r="E8" s="5"/>
      <c r="F8" s="5"/>
      <c r="G8" s="5"/>
      <c r="H8" s="5"/>
      <c r="I8" s="5"/>
      <c r="J8" s="212"/>
      <c r="K8" s="213"/>
      <c r="L8" s="571" t="s">
        <v>130</v>
      </c>
      <c r="M8" s="572"/>
      <c r="N8" s="221" t="s">
        <v>131</v>
      </c>
      <c r="O8" s="221" t="s">
        <v>132</v>
      </c>
      <c r="P8" s="345"/>
      <c r="Q8" s="410" t="s">
        <v>253</v>
      </c>
      <c r="R8" s="213"/>
      <c r="S8" s="213"/>
      <c r="T8" s="213"/>
      <c r="U8" s="213"/>
    </row>
    <row r="9" spans="1:24" ht="18">
      <c r="A9" s="7"/>
      <c r="G9" s="561" t="s">
        <v>127</v>
      </c>
      <c r="H9" s="562"/>
      <c r="I9" s="562"/>
      <c r="J9" s="214"/>
      <c r="K9" s="213"/>
      <c r="L9" s="550" t="s">
        <v>136</v>
      </c>
      <c r="M9" s="551"/>
      <c r="N9" s="356">
        <f>IFERROR(IF(I11&gt;0,F11*I11,0)+IF(I12&gt;0,F12*I12,0)+IF(I13&gt;0,F13*I13,0)+IF(I14&gt;0,F14*I14,0)+IF(I15&gt;0,F15*I15,0),0)</f>
        <v>0</v>
      </c>
      <c r="O9" s="357">
        <f>IFERROR(IF(Q11&gt;0,F11*Q11,0)+IF(Q12&gt;0,F12*Q12,0)+IF(Q13&gt;0,F13*Q13,0)+IF(Q14&gt;0,F14*Q14,0)+IF(Q15&gt;0,F15*Q15,0),0)</f>
        <v>0</v>
      </c>
      <c r="P9" s="346"/>
      <c r="Q9" s="411">
        <v>0.15</v>
      </c>
      <c r="R9" s="213"/>
      <c r="S9" s="213"/>
      <c r="T9" s="213"/>
      <c r="U9" s="213"/>
    </row>
    <row r="10" spans="1:24" s="16" customFormat="1" ht="26">
      <c r="A10" s="303"/>
      <c r="B10" s="304" t="s">
        <v>124</v>
      </c>
      <c r="C10" s="305" t="s">
        <v>125</v>
      </c>
      <c r="D10" s="305" t="s">
        <v>126</v>
      </c>
      <c r="E10" s="306" t="s">
        <v>83</v>
      </c>
      <c r="F10" s="306" t="s">
        <v>84</v>
      </c>
      <c r="G10" s="364" t="s">
        <v>126</v>
      </c>
      <c r="H10" s="365" t="s">
        <v>128</v>
      </c>
      <c r="I10" s="365" t="s">
        <v>129</v>
      </c>
      <c r="J10" s="307"/>
      <c r="L10" s="405" t="s">
        <v>236</v>
      </c>
      <c r="M10" s="308" t="s">
        <v>133</v>
      </c>
      <c r="N10" s="309" t="s">
        <v>134</v>
      </c>
      <c r="O10" s="308" t="s">
        <v>135</v>
      </c>
      <c r="P10" s="309" t="s">
        <v>134</v>
      </c>
      <c r="Q10" s="309" t="s">
        <v>129</v>
      </c>
      <c r="R10" s="310"/>
      <c r="S10" s="310"/>
      <c r="T10" s="310"/>
      <c r="U10" s="310"/>
    </row>
    <row r="11" spans="1:24" ht="18">
      <c r="A11" s="210"/>
      <c r="B11" s="122" t="s">
        <v>508</v>
      </c>
      <c r="C11" s="293"/>
      <c r="D11" s="294"/>
      <c r="E11" s="241"/>
      <c r="F11" s="366"/>
      <c r="G11" s="361">
        <f>ROUNDUP(D11*IF(E11&gt;0,E11,1),1)</f>
        <v>0</v>
      </c>
      <c r="H11" s="362">
        <f>ROUNDUP(G11*IF(F11&gt;0,F11,1),1)</f>
        <v>0</v>
      </c>
      <c r="I11" s="363" t="str">
        <f>IFERROR(IF(H11&lt;&gt;"",H11/SUM($H$11:$H$15),""),"")</f>
        <v/>
      </c>
      <c r="J11" s="214"/>
      <c r="L11" s="299"/>
      <c r="M11" s="347">
        <f>L11*E11</f>
        <v>0</v>
      </c>
      <c r="N11" s="271">
        <f>M11*IF(F11&gt;0,F11,1)</f>
        <v>0</v>
      </c>
      <c r="O11" s="272">
        <f>ROUNDUP(M11*(1+$Q$9),0)</f>
        <v>0</v>
      </c>
      <c r="P11" s="271">
        <f>O11*IF(F11&gt;0,F11,1)</f>
        <v>0</v>
      </c>
      <c r="Q11" s="350" t="str">
        <f>IFERROR(IF(P11&lt;&gt;"",P11/SUM($P$11:$P$15),""),"")</f>
        <v/>
      </c>
      <c r="R11" s="213"/>
      <c r="S11" s="213"/>
      <c r="T11" s="213"/>
      <c r="U11" s="213"/>
    </row>
    <row r="12" spans="1:24" ht="18">
      <c r="A12" s="210"/>
      <c r="B12" s="122" t="s">
        <v>508</v>
      </c>
      <c r="C12" s="295"/>
      <c r="D12" s="296"/>
      <c r="E12" s="165"/>
      <c r="F12" s="367"/>
      <c r="G12" s="246">
        <f>ROUNDUP(D12*IF(E12&gt;0,E12,1),1)</f>
        <v>0</v>
      </c>
      <c r="H12" s="247">
        <f>ROUNDUP(G12*IF(F12&gt;0,F12,1),1)</f>
        <v>0</v>
      </c>
      <c r="I12" s="248" t="str">
        <f>IFERROR(IF(H12&lt;&gt;"",H12/SUM($H$11:$H$15),""),"")</f>
        <v/>
      </c>
      <c r="J12" s="214"/>
      <c r="L12" s="300"/>
      <c r="M12" s="348">
        <f>L12*E12</f>
        <v>0</v>
      </c>
      <c r="N12" s="273">
        <f>M12*IF(F12&gt;0,F12,1)</f>
        <v>0</v>
      </c>
      <c r="O12" s="274">
        <f>ROUNDUP(M12*(1+$Q$9),0)</f>
        <v>0</v>
      </c>
      <c r="P12" s="273">
        <f>O12*IF(F12&gt;0,F12,1)</f>
        <v>0</v>
      </c>
      <c r="Q12" s="351" t="str">
        <f>IFERROR(IF(P12&lt;&gt;"",P12/SUM($P$11:$P$15),""),"")</f>
        <v/>
      </c>
      <c r="R12" s="213"/>
      <c r="S12" s="213"/>
      <c r="T12" s="213"/>
      <c r="U12" s="213"/>
    </row>
    <row r="13" spans="1:24" ht="18">
      <c r="A13" s="210"/>
      <c r="B13" s="122" t="s">
        <v>107</v>
      </c>
      <c r="C13" s="295"/>
      <c r="D13" s="296"/>
      <c r="E13" s="165"/>
      <c r="F13" s="367"/>
      <c r="G13" s="246">
        <f>ROUNDUP(D13*IF(E13&gt;0,E13,1),1)</f>
        <v>0</v>
      </c>
      <c r="H13" s="247">
        <f>ROUNDUP(G13*IF(F13&gt;0,F13,1),1)</f>
        <v>0</v>
      </c>
      <c r="I13" s="248" t="str">
        <f>IFERROR(IF(H13&lt;&gt;"",H13/SUM($H$11:$H$15),""),"")</f>
        <v/>
      </c>
      <c r="J13" s="214"/>
      <c r="L13" s="300"/>
      <c r="M13" s="348">
        <f>L13*E13</f>
        <v>0</v>
      </c>
      <c r="N13" s="273">
        <f>M13*IF(F13&gt;0,F13,1)</f>
        <v>0</v>
      </c>
      <c r="O13" s="274">
        <f>ROUNDUP(M13*(1+$Q$9),0)</f>
        <v>0</v>
      </c>
      <c r="P13" s="273">
        <f>O13*IF(F13&gt;0,F13,1)</f>
        <v>0</v>
      </c>
      <c r="Q13" s="351" t="str">
        <f>IFERROR(IF(P13&lt;&gt;"",P13/SUM($P$11:$P$15),""),"")</f>
        <v/>
      </c>
      <c r="R13" s="213"/>
      <c r="S13" s="213"/>
      <c r="T13" s="213"/>
      <c r="U13" s="240"/>
    </row>
    <row r="14" spans="1:24" ht="18">
      <c r="A14" s="210"/>
      <c r="B14" s="122" t="s">
        <v>107</v>
      </c>
      <c r="C14" s="295"/>
      <c r="D14" s="296"/>
      <c r="E14" s="165"/>
      <c r="F14" s="367"/>
      <c r="G14" s="246">
        <f>ROUNDUP(D14*IF(E14&gt;0,E14,1),1)</f>
        <v>0</v>
      </c>
      <c r="H14" s="247">
        <f>ROUNDUP(G14*IF(F14&gt;0,F14,1),1)</f>
        <v>0</v>
      </c>
      <c r="I14" s="248" t="str">
        <f>IFERROR(IF(H14&lt;&gt;"",H14/SUM($H$11:$H$15),""),"")</f>
        <v/>
      </c>
      <c r="J14" s="214"/>
      <c r="L14" s="300"/>
      <c r="M14" s="348">
        <f>L14*E14</f>
        <v>0</v>
      </c>
      <c r="N14" s="273">
        <f t="shared" ref="N14:N15" si="0">M14*IF(F14&gt;0,F14,1)</f>
        <v>0</v>
      </c>
      <c r="O14" s="274">
        <f>ROUNDUP(M14*(1+$Q$9),0)</f>
        <v>0</v>
      </c>
      <c r="P14" s="273">
        <f>O14*IF(F14&gt;0,F14,1)</f>
        <v>0</v>
      </c>
      <c r="Q14" s="351" t="str">
        <f>IFERROR(IF(P14&lt;&gt;"",P14/SUM($P$11:$P$15),""),"")</f>
        <v/>
      </c>
      <c r="R14" s="213"/>
      <c r="S14" s="213"/>
      <c r="T14" s="213"/>
      <c r="U14" s="240"/>
    </row>
    <row r="15" spans="1:24" ht="18">
      <c r="A15" s="210"/>
      <c r="B15" s="123" t="s">
        <v>107</v>
      </c>
      <c r="C15" s="297"/>
      <c r="D15" s="298"/>
      <c r="E15" s="166"/>
      <c r="F15" s="368"/>
      <c r="G15" s="249">
        <f>ROUNDUP(D15*IF(E15&gt;0,E15,1),1)</f>
        <v>0</v>
      </c>
      <c r="H15" s="250">
        <f>ROUNDUP(G15*IF(F15&gt;0,F15,1),1)</f>
        <v>0</v>
      </c>
      <c r="I15" s="251" t="str">
        <f>IFERROR(IF(H15&lt;&gt;"",H15/SUM($H$11:$H$15),""),"")</f>
        <v/>
      </c>
      <c r="J15" s="214"/>
      <c r="L15" s="301"/>
      <c r="M15" s="349">
        <f>L15*E15</f>
        <v>0</v>
      </c>
      <c r="N15" s="275">
        <f t="shared" si="0"/>
        <v>0</v>
      </c>
      <c r="O15" s="276">
        <f>ROUNDUP(M15*(1+$Q$9),0)</f>
        <v>0</v>
      </c>
      <c r="P15" s="275">
        <f>O15*IF(F15&gt;0,F15,1)</f>
        <v>0</v>
      </c>
      <c r="Q15" s="352" t="str">
        <f>IFERROR(IF(P15&lt;&gt;"",P15/SUM($P$11:$P$15),""),"")</f>
        <v/>
      </c>
      <c r="R15" s="213"/>
      <c r="S15" s="213"/>
      <c r="T15" s="213"/>
      <c r="U15" s="240"/>
    </row>
    <row r="16" spans="1:24" s="23" customFormat="1" ht="14" thickBot="1">
      <c r="A16" s="211"/>
      <c r="G16" s="86"/>
      <c r="H16" s="86"/>
      <c r="J16" s="215"/>
      <c r="L16" s="222"/>
      <c r="M16" s="223"/>
      <c r="N16" s="223"/>
      <c r="O16" s="278"/>
      <c r="P16" s="278"/>
      <c r="Q16" s="354"/>
      <c r="R16" s="216"/>
      <c r="S16" s="216"/>
      <c r="T16" s="216"/>
      <c r="U16" s="240"/>
      <c r="V16" s="2"/>
      <c r="W16" s="2"/>
      <c r="X16" s="2"/>
    </row>
    <row r="17" spans="1:22" ht="19" thickBot="1">
      <c r="A17" s="210"/>
      <c r="E17" s="85"/>
      <c r="F17" s="87" t="s">
        <v>137</v>
      </c>
      <c r="G17" s="88">
        <f>ROUNDUP(SUM(G11:G15),0)</f>
        <v>0</v>
      </c>
      <c r="H17" s="88">
        <f>ROUNDUP(SUM(H11:H15),0)</f>
        <v>0</v>
      </c>
      <c r="J17" s="214"/>
      <c r="L17" s="224">
        <f>ROUNDUP(SUM(L11:L15),0)</f>
        <v>0</v>
      </c>
      <c r="M17" s="224">
        <f>ROUNDUP(SUM(M11:M15),0)</f>
        <v>0</v>
      </c>
      <c r="N17" s="225">
        <f>ROUNDUP(SUM(N11:N15),0)</f>
        <v>0</v>
      </c>
      <c r="O17" s="226">
        <f>ROUNDUP(SUM(O11:O15),0)</f>
        <v>0</v>
      </c>
      <c r="P17" s="225">
        <f>ROUNDUP(SUM(P11:P15),0)</f>
        <v>0</v>
      </c>
      <c r="Q17" s="355"/>
      <c r="R17" s="213"/>
      <c r="S17" s="213"/>
      <c r="T17" s="213"/>
      <c r="U17" s="240"/>
    </row>
    <row r="18" spans="1:22" s="23" customFormat="1" ht="14" thickBot="1">
      <c r="A18" s="22"/>
      <c r="J18" s="215"/>
      <c r="K18" s="216"/>
      <c r="L18" s="218"/>
      <c r="M18" s="220"/>
      <c r="N18" s="220"/>
      <c r="O18" s="220"/>
      <c r="P18" s="353"/>
      <c r="Q18" s="219"/>
      <c r="R18" s="216"/>
      <c r="S18" s="216"/>
      <c r="T18" s="216"/>
      <c r="U18" s="242"/>
      <c r="V18" s="2"/>
    </row>
    <row r="19" spans="1:22" ht="25">
      <c r="A19" s="183"/>
      <c r="B19" s="4" t="s">
        <v>138</v>
      </c>
      <c r="C19" s="227"/>
      <c r="D19" s="227"/>
      <c r="E19" s="227"/>
      <c r="F19" s="227"/>
      <c r="G19" s="227"/>
      <c r="H19" s="227"/>
      <c r="I19" s="227"/>
      <c r="J19" s="50"/>
      <c r="U19" s="242"/>
    </row>
    <row r="20" spans="1:22" s="23" customFormat="1" ht="10">
      <c r="A20" s="311"/>
      <c r="J20" s="24"/>
      <c r="U20" s="312"/>
    </row>
    <row r="21" spans="1:22" ht="18">
      <c r="A21" s="210"/>
      <c r="B21" s="547" t="str">
        <f>CONCATENATE("Nominated volume excl. ",$Q$9*100,"% flex")</f>
        <v>Nominated volume excl. 15% flex</v>
      </c>
      <c r="C21" s="547"/>
      <c r="D21" s="545" t="s">
        <v>139</v>
      </c>
      <c r="E21" s="545"/>
      <c r="F21" s="279">
        <f>M17</f>
        <v>0</v>
      </c>
      <c r="G21" s="544" t="s">
        <v>140</v>
      </c>
      <c r="H21" s="544"/>
      <c r="I21" s="238">
        <f>N17</f>
        <v>0</v>
      </c>
      <c r="J21" s="214"/>
      <c r="K21" s="213"/>
      <c r="L21" s="213"/>
      <c r="M21" s="213"/>
      <c r="N21" s="213"/>
      <c r="O21" s="213"/>
      <c r="P21" s="213"/>
      <c r="Q21" s="213"/>
      <c r="R21" s="213"/>
      <c r="S21" s="213"/>
      <c r="T21" s="213"/>
      <c r="U21" s="242"/>
    </row>
    <row r="22" spans="1:22" ht="18">
      <c r="A22" s="210"/>
      <c r="B22" s="547" t="str">
        <f>CONCATENATE("Nominated volume incl. ",$Q$9*100,"% flex")</f>
        <v>Nominated volume incl. 15% flex</v>
      </c>
      <c r="C22" s="547"/>
      <c r="D22" s="545" t="s">
        <v>139</v>
      </c>
      <c r="E22" s="545"/>
      <c r="F22" s="399">
        <f>O17</f>
        <v>0</v>
      </c>
      <c r="G22" s="546" t="s">
        <v>140</v>
      </c>
      <c r="H22" s="546"/>
      <c r="I22" s="400">
        <f>P17</f>
        <v>0</v>
      </c>
      <c r="J22" s="214"/>
      <c r="K22" s="213"/>
      <c r="L22" s="213"/>
      <c r="M22" s="213"/>
      <c r="N22" s="213"/>
      <c r="O22" s="213"/>
      <c r="P22" s="213"/>
      <c r="Q22" s="213"/>
      <c r="R22" s="213"/>
      <c r="S22" s="213"/>
      <c r="T22" s="213"/>
      <c r="U22" s="242"/>
    </row>
    <row r="23" spans="1:22" s="23" customFormat="1" ht="11" thickBot="1">
      <c r="A23" s="29"/>
      <c r="B23" s="30"/>
      <c r="C23" s="30"/>
      <c r="D23" s="30"/>
      <c r="E23" s="30"/>
      <c r="F23" s="30"/>
      <c r="G23" s="30"/>
      <c r="H23" s="30"/>
      <c r="I23" s="30"/>
      <c r="J23" s="217"/>
      <c r="K23" s="120"/>
      <c r="L23" s="120"/>
      <c r="M23" s="120"/>
      <c r="N23" s="120"/>
      <c r="O23" s="120"/>
      <c r="P23" s="120"/>
      <c r="Q23" s="120"/>
      <c r="R23" s="216"/>
      <c r="S23" s="216"/>
      <c r="T23" s="313"/>
      <c r="U23" s="313"/>
      <c r="V23" s="314"/>
    </row>
    <row r="24" spans="1:22" ht="25">
      <c r="A24" s="183"/>
      <c r="B24" s="4" t="s">
        <v>141</v>
      </c>
      <c r="C24" s="567" t="str">
        <f>'Capacity Calculation'!E6</f>
        <v/>
      </c>
      <c r="D24" s="567"/>
      <c r="E24" s="567"/>
      <c r="F24" s="567"/>
      <c r="G24" s="567"/>
      <c r="H24" s="567"/>
      <c r="I24" s="567"/>
      <c r="J24" s="50"/>
      <c r="K24" s="121"/>
      <c r="L24" s="121"/>
      <c r="M24" s="121"/>
      <c r="N24" s="121"/>
      <c r="O24" s="121"/>
      <c r="P24" s="121"/>
      <c r="Q24" s="121"/>
      <c r="T24" s="243"/>
      <c r="U24" s="245"/>
      <c r="V24" s="244"/>
    </row>
    <row r="25" spans="1:22" ht="152">
      <c r="A25" s="119"/>
      <c r="B25" s="10"/>
      <c r="C25" s="320"/>
      <c r="D25" s="320"/>
      <c r="E25" s="320"/>
      <c r="F25" s="320"/>
      <c r="G25" s="320"/>
      <c r="H25" s="320"/>
      <c r="I25" s="320"/>
      <c r="J25" s="321" t="s">
        <v>89</v>
      </c>
      <c r="K25" s="121"/>
      <c r="L25" s="121"/>
      <c r="M25" s="121"/>
      <c r="N25" s="121"/>
      <c r="O25" s="121"/>
      <c r="P25" s="121"/>
      <c r="Q25" s="121"/>
      <c r="T25" s="243"/>
      <c r="U25" s="245"/>
      <c r="V25" s="244"/>
    </row>
    <row r="26" spans="1:22">
      <c r="A26" s="119"/>
      <c r="F26" s="548" t="s">
        <v>145</v>
      </c>
      <c r="G26" s="549"/>
      <c r="J26" s="107"/>
      <c r="K26" s="121"/>
      <c r="L26" s="121"/>
      <c r="M26" s="121"/>
      <c r="N26" s="121"/>
      <c r="O26" s="121"/>
      <c r="P26" s="121"/>
      <c r="Q26" s="121"/>
      <c r="U26" s="244"/>
      <c r="V26" s="244"/>
    </row>
    <row r="27" spans="1:22" ht="31">
      <c r="A27" s="119"/>
      <c r="B27" s="570" t="s">
        <v>142</v>
      </c>
      <c r="C27" s="570"/>
      <c r="D27" s="568" t="s">
        <v>252</v>
      </c>
      <c r="E27" s="568"/>
      <c r="F27" s="315" t="s">
        <v>143</v>
      </c>
      <c r="G27" s="318" t="s">
        <v>144</v>
      </c>
      <c r="H27" s="569" t="s">
        <v>146</v>
      </c>
      <c r="I27" s="569"/>
      <c r="J27" s="232"/>
      <c r="K27" s="91"/>
      <c r="L27" s="486" t="s">
        <v>291</v>
      </c>
      <c r="M27" s="486" t="s">
        <v>292</v>
      </c>
      <c r="N27" s="164" t="s">
        <v>293</v>
      </c>
      <c r="O27" s="164" t="s">
        <v>294</v>
      </c>
      <c r="P27" s="213"/>
      <c r="Q27" s="121"/>
    </row>
    <row r="28" spans="1:22" ht="18">
      <c r="A28" s="119">
        <f>IFERROR(RANK(K28,$K$28:$K$57,2),9999)</f>
        <v>9999</v>
      </c>
      <c r="B28" s="541" t="str">
        <f>IF('Capacity Calculation'!$C$18="",IF('Capacity Planning'!$C$17="","-",CONCATENATE('Capacity Planning'!$C$15,": ",'Capacity Planning'!$C$17)),CONCATENATE('Capacity Calculation'!$C$16,": ",'Capacity Calculation'!$C$18))</f>
        <v>-</v>
      </c>
      <c r="C28" s="542"/>
      <c r="D28" s="543" t="str">
        <f>'Capacity Calculation'!$C$68</f>
        <v/>
      </c>
      <c r="E28" s="543"/>
      <c r="F28" s="369" t="str">
        <f>'Capacity Planning'!$C$51</f>
        <v/>
      </c>
      <c r="G28" s="370" t="str">
        <f>'Capacity Calculation'!$C$64</f>
        <v/>
      </c>
      <c r="H28" s="544" t="str">
        <f>IF(G28="","",IF(D28&gt;G28,nichterfuellt,IF('Capacity Calculation'!C71&gt;G28,bedingterfuellt,erfuellt)))</f>
        <v/>
      </c>
      <c r="I28" s="544"/>
      <c r="J28" s="118"/>
      <c r="K28" s="270" t="str">
        <f>IFERROR((G28-D28)/D28,"")</f>
        <v/>
      </c>
      <c r="L28" s="121">
        <f t="shared" ref="L28:L57" si="1">IFERROR(M28/(1+$Q$9),0)</f>
        <v>0</v>
      </c>
      <c r="M28" s="359">
        <f>IF(B28="-",$I$22,IF(N28&lt;&gt;"",N28,O28)*IF($I$7=1,1,(1+$Q$9)))</f>
        <v>0</v>
      </c>
      <c r="N28" s="121" t="str">
        <f>'Capacity Calculation'!$C$71</f>
        <v/>
      </c>
      <c r="O28" s="121" t="str">
        <f>'Capacity Planning'!$C$55</f>
        <v/>
      </c>
      <c r="P28" s="213"/>
      <c r="Q28" s="121"/>
    </row>
    <row r="29" spans="1:22" ht="18">
      <c r="A29" s="119">
        <f t="shared" ref="A29:A57" si="2">IFERROR(RANK(K29,$K$28:$K$57,2),9999)</f>
        <v>9999</v>
      </c>
      <c r="B29" s="541" t="str">
        <f>IF('Capacity Calculation'!$D$18="",IF('Capacity Planning'!$D$17="","-",CONCATENATE('Capacity Planning'!$D$15,": ",'Capacity Planning'!$D$17)),CONCATENATE('Capacity Calculation'!$D$16,": ",'Capacity Calculation'!$D$18))</f>
        <v>-</v>
      </c>
      <c r="C29" s="542"/>
      <c r="D29" s="543" t="str">
        <f>'Capacity Calculation'!$D$68</f>
        <v/>
      </c>
      <c r="E29" s="543"/>
      <c r="F29" s="369" t="str">
        <f>'Capacity Planning'!$D$51</f>
        <v/>
      </c>
      <c r="G29" s="370" t="str">
        <f>'Capacity Calculation'!$D$64</f>
        <v/>
      </c>
      <c r="H29" s="544" t="str">
        <f>IF(G29="","",IF(D29&gt;G29,nichterfuellt,IF('Capacity Calculation'!D71&gt;G29,bedingterfuellt,erfuellt)))</f>
        <v/>
      </c>
      <c r="I29" s="544"/>
      <c r="J29" s="118"/>
      <c r="K29" s="270" t="str">
        <f t="shared" ref="K29:K57" si="3">IFERROR((G29-D29)/D29,"")</f>
        <v/>
      </c>
      <c r="L29" s="121">
        <f t="shared" si="1"/>
        <v>0</v>
      </c>
      <c r="M29" s="359">
        <f t="shared" ref="M29:M57" si="4">IF(B29="-",$I$22,IF(N29&lt;&gt;"",N29,O29)*IF($I$7=1,1,(1+$Q$9)))</f>
        <v>0</v>
      </c>
      <c r="N29" s="121" t="str">
        <f>'Capacity Calculation'!$D$71</f>
        <v/>
      </c>
      <c r="O29" s="121" t="str">
        <f>'Capacity Planning'!$D$55</f>
        <v/>
      </c>
      <c r="P29" s="213"/>
      <c r="Q29" s="121"/>
    </row>
    <row r="30" spans="1:22" ht="18">
      <c r="A30" s="119">
        <f t="shared" si="2"/>
        <v>9999</v>
      </c>
      <c r="B30" s="541" t="str">
        <f>IF('Capacity Calculation'!$E$18="",IF('Capacity Planning'!$E$17="","-",CONCATENATE('Capacity Planning'!$E$15,": ",'Capacity Planning'!$E$17)),CONCATENATE('Capacity Calculation'!$E$16,": ",'Capacity Calculation'!$E$18))</f>
        <v>-</v>
      </c>
      <c r="C30" s="542"/>
      <c r="D30" s="543" t="str">
        <f>'Capacity Calculation'!$E$68</f>
        <v/>
      </c>
      <c r="E30" s="543"/>
      <c r="F30" s="369" t="str">
        <f>'Capacity Planning'!$E$51</f>
        <v/>
      </c>
      <c r="G30" s="370" t="str">
        <f>'Capacity Calculation'!$E$64</f>
        <v/>
      </c>
      <c r="H30" s="544" t="str">
        <f>IF(G30="","",IF(D30&gt;G30,nichterfuellt,IF('Capacity Calculation'!E71&gt;G30,bedingterfuellt,erfuellt)))</f>
        <v/>
      </c>
      <c r="I30" s="544"/>
      <c r="J30" s="118"/>
      <c r="K30" s="270" t="str">
        <f t="shared" si="3"/>
        <v/>
      </c>
      <c r="L30" s="121">
        <f t="shared" si="1"/>
        <v>0</v>
      </c>
      <c r="M30" s="359">
        <f t="shared" si="4"/>
        <v>0</v>
      </c>
      <c r="N30" s="121" t="str">
        <f>'Capacity Calculation'!$E$71</f>
        <v/>
      </c>
      <c r="O30" s="121" t="str">
        <f>'Capacity Planning'!$E$55</f>
        <v/>
      </c>
      <c r="P30" s="213"/>
      <c r="Q30" s="121"/>
    </row>
    <row r="31" spans="1:22" ht="18">
      <c r="A31" s="119">
        <f t="shared" si="2"/>
        <v>9999</v>
      </c>
      <c r="B31" s="541" t="str">
        <f>IF('Capacity Calculation'!$F$18="",IF('Capacity Planning'!$F$17="","-",CONCATENATE('Capacity Planning'!$F$15,": ",'Capacity Planning'!$F$17)),CONCATENATE('Capacity Calculation'!$F$16,": ",'Capacity Calculation'!$F$18))</f>
        <v>-</v>
      </c>
      <c r="C31" s="542"/>
      <c r="D31" s="543" t="str">
        <f>'Capacity Calculation'!$F$68</f>
        <v/>
      </c>
      <c r="E31" s="543"/>
      <c r="F31" s="369" t="str">
        <f>'Capacity Planning'!$F$51</f>
        <v/>
      </c>
      <c r="G31" s="370" t="str">
        <f>'Capacity Calculation'!$F$64</f>
        <v/>
      </c>
      <c r="H31" s="544" t="str">
        <f>IF(G31="","",IF(D31&gt;G31,nichterfuellt,IF('Capacity Calculation'!F71&gt;G31,bedingterfuellt,erfuellt)))</f>
        <v/>
      </c>
      <c r="I31" s="544"/>
      <c r="J31" s="118"/>
      <c r="K31" s="270" t="str">
        <f t="shared" si="3"/>
        <v/>
      </c>
      <c r="L31" s="121">
        <f t="shared" si="1"/>
        <v>0</v>
      </c>
      <c r="M31" s="359">
        <f t="shared" si="4"/>
        <v>0</v>
      </c>
      <c r="N31" s="121" t="str">
        <f>'Capacity Calculation'!$F$71</f>
        <v/>
      </c>
      <c r="O31" s="121" t="str">
        <f>'Capacity Planning'!$F$55</f>
        <v/>
      </c>
      <c r="P31" s="213"/>
      <c r="Q31" s="121"/>
    </row>
    <row r="32" spans="1:22" ht="18">
      <c r="A32" s="119">
        <f t="shared" si="2"/>
        <v>9999</v>
      </c>
      <c r="B32" s="541" t="str">
        <f>IF('Capacity Calculation'!$G$18="",IF('Capacity Planning'!$G$17="","-",CONCATENATE('Capacity Planning'!$G$15,": ",'Capacity Planning'!$G$17)),CONCATENATE('Capacity Calculation'!$G$16,": ",'Capacity Calculation'!$G$18))</f>
        <v>-</v>
      </c>
      <c r="C32" s="542"/>
      <c r="D32" s="543" t="str">
        <f>'Capacity Calculation'!$G$68</f>
        <v/>
      </c>
      <c r="E32" s="543"/>
      <c r="F32" s="369" t="str">
        <f>'Capacity Planning'!$G$51</f>
        <v/>
      </c>
      <c r="G32" s="370" t="str">
        <f>'Capacity Calculation'!$G$64</f>
        <v/>
      </c>
      <c r="H32" s="544" t="str">
        <f>IF(G32="","",IF(D32&gt;G32,nichterfuellt,IF('Capacity Calculation'!G71&gt;G32,bedingterfuellt,erfuellt)))</f>
        <v/>
      </c>
      <c r="I32" s="544"/>
      <c r="J32" s="118"/>
      <c r="K32" s="270" t="str">
        <f t="shared" si="3"/>
        <v/>
      </c>
      <c r="L32" s="121">
        <f t="shared" si="1"/>
        <v>0</v>
      </c>
      <c r="M32" s="359">
        <f t="shared" si="4"/>
        <v>0</v>
      </c>
      <c r="N32" s="121" t="str">
        <f>'Capacity Calculation'!$G$71</f>
        <v/>
      </c>
      <c r="O32" s="121" t="str">
        <f>'Capacity Planning'!$G$55</f>
        <v/>
      </c>
      <c r="P32" s="213"/>
      <c r="Q32" s="121"/>
    </row>
    <row r="33" spans="1:17" ht="18">
      <c r="A33" s="119">
        <f t="shared" si="2"/>
        <v>9999</v>
      </c>
      <c r="B33" s="541" t="str">
        <f>IF('Capacity Calculation'!$H$18="",IF('Capacity Planning'!$H$17="","-",CONCATENATE('Capacity Planning'!$H$15,": ",'Capacity Planning'!$H$17)),CONCATENATE('Capacity Calculation'!$H$16,": ",'Capacity Calculation'!$H$18))</f>
        <v>-</v>
      </c>
      <c r="C33" s="542"/>
      <c r="D33" s="543" t="str">
        <f>'Capacity Calculation'!$H$68</f>
        <v/>
      </c>
      <c r="E33" s="543"/>
      <c r="F33" s="369" t="str">
        <f>'Capacity Planning'!$H$51</f>
        <v/>
      </c>
      <c r="G33" s="370" t="str">
        <f>'Capacity Calculation'!$H$64</f>
        <v/>
      </c>
      <c r="H33" s="544" t="str">
        <f>IF(G33="","",IF(D33&gt;G33,nichterfuellt,IF('Capacity Calculation'!H71&gt;G33,bedingterfuellt,erfuellt)))</f>
        <v/>
      </c>
      <c r="I33" s="544"/>
      <c r="J33" s="118"/>
      <c r="K33" s="270" t="str">
        <f t="shared" si="3"/>
        <v/>
      </c>
      <c r="L33" s="121">
        <f t="shared" si="1"/>
        <v>0</v>
      </c>
      <c r="M33" s="359">
        <f t="shared" si="4"/>
        <v>0</v>
      </c>
      <c r="N33" s="121" t="str">
        <f>'Capacity Calculation'!$H$71</f>
        <v/>
      </c>
      <c r="O33" s="121" t="str">
        <f>'Capacity Planning'!$H$55</f>
        <v/>
      </c>
      <c r="P33" s="213"/>
      <c r="Q33" s="121"/>
    </row>
    <row r="34" spans="1:17" ht="18">
      <c r="A34" s="119">
        <f t="shared" si="2"/>
        <v>9999</v>
      </c>
      <c r="B34" s="541" t="str">
        <f>IF('Capacity Calculation'!$I$18="",IF('Capacity Planning'!$I$17="","-",CONCATENATE('Capacity Planning'!$I$15,": ",'Capacity Planning'!$I$17)),CONCATENATE('Capacity Calculation'!$I$16,": ",'Capacity Calculation'!$I$18))</f>
        <v>-</v>
      </c>
      <c r="C34" s="542"/>
      <c r="D34" s="543" t="str">
        <f>'Capacity Calculation'!$I$68</f>
        <v/>
      </c>
      <c r="E34" s="543"/>
      <c r="F34" s="369" t="str">
        <f>'Capacity Planning'!$I$51</f>
        <v/>
      </c>
      <c r="G34" s="370" t="str">
        <f>'Capacity Calculation'!$I$64</f>
        <v/>
      </c>
      <c r="H34" s="544" t="str">
        <f>IF(G34="","",IF(D34&gt;G34,nichterfuellt,IF('Capacity Calculation'!I71&gt;G34,bedingterfuellt,erfuellt)))</f>
        <v/>
      </c>
      <c r="I34" s="544"/>
      <c r="J34" s="118"/>
      <c r="K34" s="270" t="str">
        <f t="shared" si="3"/>
        <v/>
      </c>
      <c r="L34" s="121">
        <f t="shared" si="1"/>
        <v>0</v>
      </c>
      <c r="M34" s="359">
        <f t="shared" si="4"/>
        <v>0</v>
      </c>
      <c r="N34" s="121" t="str">
        <f>'Capacity Calculation'!$I$71</f>
        <v/>
      </c>
      <c r="O34" s="121" t="str">
        <f>'Capacity Planning'!$I$55</f>
        <v/>
      </c>
      <c r="P34" s="213"/>
      <c r="Q34" s="121"/>
    </row>
    <row r="35" spans="1:17" ht="18">
      <c r="A35" s="119">
        <f t="shared" si="2"/>
        <v>9999</v>
      </c>
      <c r="B35" s="541" t="str">
        <f>IF('Capacity Calculation'!$J$18="",IF('Capacity Planning'!$J$17="","-",CONCATENATE('Capacity Planning'!$J$15,": ",'Capacity Planning'!$J$17)),CONCATENATE('Capacity Calculation'!$J$16,": ",'Capacity Calculation'!$J$18))</f>
        <v>-</v>
      </c>
      <c r="C35" s="542"/>
      <c r="D35" s="543" t="str">
        <f>'Capacity Calculation'!$J$68</f>
        <v/>
      </c>
      <c r="E35" s="543"/>
      <c r="F35" s="369" t="str">
        <f>'Capacity Planning'!$J$51</f>
        <v/>
      </c>
      <c r="G35" s="370" t="str">
        <f>'Capacity Calculation'!$J$64</f>
        <v/>
      </c>
      <c r="H35" s="544" t="str">
        <f>IF(G35="","",IF(D35&gt;G35,nichterfuellt,IF('Capacity Calculation'!J71&gt;G35,bedingterfuellt,erfuellt)))</f>
        <v/>
      </c>
      <c r="I35" s="544"/>
      <c r="J35" s="118"/>
      <c r="K35" s="270" t="str">
        <f t="shared" si="3"/>
        <v/>
      </c>
      <c r="L35" s="121">
        <f t="shared" si="1"/>
        <v>0</v>
      </c>
      <c r="M35" s="359">
        <f t="shared" si="4"/>
        <v>0</v>
      </c>
      <c r="N35" s="121" t="str">
        <f>'Capacity Calculation'!$J$71</f>
        <v/>
      </c>
      <c r="O35" s="121" t="str">
        <f>'Capacity Planning'!$J$55</f>
        <v/>
      </c>
      <c r="P35" s="213"/>
      <c r="Q35" s="121"/>
    </row>
    <row r="36" spans="1:17" ht="18">
      <c r="A36" s="119">
        <f t="shared" si="2"/>
        <v>9999</v>
      </c>
      <c r="B36" s="541" t="str">
        <f>IF('Capacity Calculation'!$K$18="",IF('Capacity Planning'!$K$17="","-",CONCATENATE('Capacity Planning'!$K$15,": ",'Capacity Planning'!$K$17)),CONCATENATE('Capacity Calculation'!$K$16,": ",'Capacity Calculation'!$K$18))</f>
        <v>-</v>
      </c>
      <c r="C36" s="542"/>
      <c r="D36" s="543" t="str">
        <f>'Capacity Calculation'!$K$68</f>
        <v/>
      </c>
      <c r="E36" s="543"/>
      <c r="F36" s="369" t="str">
        <f>'Capacity Planning'!$K$51</f>
        <v/>
      </c>
      <c r="G36" s="370" t="str">
        <f>'Capacity Calculation'!$K$64</f>
        <v/>
      </c>
      <c r="H36" s="544" t="str">
        <f>IF(G36="","",IF(D36&gt;G36,nichterfuellt,IF('Capacity Calculation'!K71&gt;G36,bedingterfuellt,erfuellt)))</f>
        <v/>
      </c>
      <c r="I36" s="544"/>
      <c r="J36" s="118"/>
      <c r="K36" s="270" t="str">
        <f t="shared" si="3"/>
        <v/>
      </c>
      <c r="L36" s="121">
        <f t="shared" si="1"/>
        <v>0</v>
      </c>
      <c r="M36" s="359">
        <f t="shared" si="4"/>
        <v>0</v>
      </c>
      <c r="N36" s="121" t="str">
        <f>'Capacity Calculation'!$K$71</f>
        <v/>
      </c>
      <c r="O36" s="121" t="str">
        <f>'Capacity Planning'!$K$55</f>
        <v/>
      </c>
      <c r="P36" s="213"/>
      <c r="Q36" s="121"/>
    </row>
    <row r="37" spans="1:17" ht="18">
      <c r="A37" s="119">
        <f t="shared" si="2"/>
        <v>9999</v>
      </c>
      <c r="B37" s="541" t="str">
        <f>IF('Capacity Calculation'!$L$18="",IF('Capacity Planning'!$L$17="","-",CONCATENATE('Capacity Planning'!$L$15,": ",'Capacity Planning'!$L$17)),CONCATENATE('Capacity Calculation'!$L$16,": ",'Capacity Calculation'!$L$18))</f>
        <v>-</v>
      </c>
      <c r="C37" s="542"/>
      <c r="D37" s="543" t="str">
        <f>'Capacity Calculation'!$L$68</f>
        <v/>
      </c>
      <c r="E37" s="543"/>
      <c r="F37" s="369" t="str">
        <f>'Capacity Planning'!$L$51</f>
        <v/>
      </c>
      <c r="G37" s="370" t="str">
        <f>'Capacity Calculation'!$L$64</f>
        <v/>
      </c>
      <c r="H37" s="544" t="str">
        <f>IF(G37="","",IF(D37&gt;G37,nichterfuellt,IF('Capacity Calculation'!L71&gt;G37,bedingterfuellt,erfuellt)))</f>
        <v/>
      </c>
      <c r="I37" s="544"/>
      <c r="J37" s="118"/>
      <c r="K37" s="270" t="str">
        <f t="shared" si="3"/>
        <v/>
      </c>
      <c r="L37" s="121">
        <f t="shared" si="1"/>
        <v>0</v>
      </c>
      <c r="M37" s="359">
        <f t="shared" si="4"/>
        <v>0</v>
      </c>
      <c r="N37" s="121" t="str">
        <f>'Capacity Calculation'!$L$71</f>
        <v/>
      </c>
      <c r="O37" s="121" t="str">
        <f>'Capacity Planning'!$L$55</f>
        <v/>
      </c>
      <c r="P37" s="213"/>
      <c r="Q37" s="121"/>
    </row>
    <row r="38" spans="1:17" ht="18" outlineLevel="1">
      <c r="A38" s="119">
        <f t="shared" si="2"/>
        <v>9999</v>
      </c>
      <c r="B38" s="541" t="str">
        <f>IF('Capacity Calculation'!$M$18="",IF('Capacity Planning'!$M$17="","-",CONCATENATE('Capacity Planning'!$M$15,": ",'Capacity Planning'!$M$17)),CONCATENATE('Capacity Calculation'!$M$16,": ",'Capacity Calculation'!$M$18))</f>
        <v>-</v>
      </c>
      <c r="C38" s="542"/>
      <c r="D38" s="543" t="str">
        <f>'Capacity Calculation'!$M$68</f>
        <v/>
      </c>
      <c r="E38" s="543"/>
      <c r="F38" s="369" t="str">
        <f>'Capacity Planning'!$M$51</f>
        <v/>
      </c>
      <c r="G38" s="370" t="str">
        <f>'Capacity Calculation'!$M$64</f>
        <v/>
      </c>
      <c r="H38" s="544" t="str">
        <f>IF(G38="","",IF(D38&gt;G38,nichterfuellt,IF('Capacity Calculation'!M$71&gt;G38,bedingterfuellt,erfuellt)))</f>
        <v/>
      </c>
      <c r="I38" s="544"/>
      <c r="J38" s="118"/>
      <c r="K38" s="270" t="str">
        <f t="shared" si="3"/>
        <v/>
      </c>
      <c r="L38" s="121">
        <f t="shared" si="1"/>
        <v>0</v>
      </c>
      <c r="M38" s="359">
        <f t="shared" si="4"/>
        <v>0</v>
      </c>
      <c r="N38" s="121" t="str">
        <f>'Capacity Calculation'!$M$71</f>
        <v/>
      </c>
      <c r="O38" s="121" t="str">
        <f>'Capacity Planning'!$M$55</f>
        <v/>
      </c>
      <c r="P38" s="213"/>
      <c r="Q38" s="121"/>
    </row>
    <row r="39" spans="1:17" ht="18" outlineLevel="1">
      <c r="A39" s="119">
        <f t="shared" si="2"/>
        <v>9999</v>
      </c>
      <c r="B39" s="541" t="str">
        <f>IF('Capacity Calculation'!$N$18="",IF('Capacity Planning'!$N$17="","-",CONCATENATE('Capacity Planning'!$N$15,": ",'Capacity Planning'!$N$17)),CONCATENATE('Capacity Calculation'!$N$16,": ",'Capacity Calculation'!$N$18))</f>
        <v>-</v>
      </c>
      <c r="C39" s="542"/>
      <c r="D39" s="543" t="str">
        <f>'Capacity Calculation'!$N$68</f>
        <v/>
      </c>
      <c r="E39" s="543"/>
      <c r="F39" s="369" t="str">
        <f>'Capacity Planning'!$N$51</f>
        <v/>
      </c>
      <c r="G39" s="370" t="str">
        <f>'Capacity Calculation'!$N$64</f>
        <v/>
      </c>
      <c r="H39" s="544" t="str">
        <f>IF(G39="","",IF(D39&gt;G39,nichterfuellt,IF('Capacity Calculation'!N$71&gt;G39,bedingterfuellt,erfuellt)))</f>
        <v/>
      </c>
      <c r="I39" s="544"/>
      <c r="J39" s="118"/>
      <c r="K39" s="270" t="str">
        <f t="shared" si="3"/>
        <v/>
      </c>
      <c r="L39" s="121">
        <f t="shared" si="1"/>
        <v>0</v>
      </c>
      <c r="M39" s="359">
        <f t="shared" si="4"/>
        <v>0</v>
      </c>
      <c r="N39" s="121" t="str">
        <f>'Capacity Calculation'!$N$71</f>
        <v/>
      </c>
      <c r="O39" s="121" t="str">
        <f>'Capacity Planning'!$N$55</f>
        <v/>
      </c>
      <c r="P39" s="213"/>
      <c r="Q39" s="121"/>
    </row>
    <row r="40" spans="1:17" ht="18" outlineLevel="1">
      <c r="A40" s="119">
        <f t="shared" si="2"/>
        <v>9999</v>
      </c>
      <c r="B40" s="541" t="str">
        <f>IF('Capacity Calculation'!$O$18="",IF('Capacity Planning'!$O$17="","-",CONCATENATE('Capacity Planning'!$O$15,": ",'Capacity Planning'!$O$17)),CONCATENATE('Capacity Calculation'!$O$16,": ",'Capacity Calculation'!$O$18))</f>
        <v>-</v>
      </c>
      <c r="C40" s="542"/>
      <c r="D40" s="543" t="str">
        <f>'Capacity Calculation'!$O$68</f>
        <v/>
      </c>
      <c r="E40" s="543"/>
      <c r="F40" s="369" t="str">
        <f>'Capacity Planning'!$O$51</f>
        <v/>
      </c>
      <c r="G40" s="370" t="str">
        <f>'Capacity Calculation'!$O$64</f>
        <v/>
      </c>
      <c r="H40" s="544" t="str">
        <f>IF(G40="","",IF(D40&gt;G40,nichterfuellt,IF('Capacity Calculation'!O$71&gt;G40,bedingterfuellt,erfuellt)))</f>
        <v/>
      </c>
      <c r="I40" s="544"/>
      <c r="J40" s="118"/>
      <c r="K40" s="270" t="str">
        <f t="shared" si="3"/>
        <v/>
      </c>
      <c r="L40" s="121">
        <f t="shared" si="1"/>
        <v>0</v>
      </c>
      <c r="M40" s="359">
        <f t="shared" si="4"/>
        <v>0</v>
      </c>
      <c r="N40" s="121" t="str">
        <f>'Capacity Calculation'!$O$71</f>
        <v/>
      </c>
      <c r="O40" s="121" t="str">
        <f>'Capacity Planning'!$O$55</f>
        <v/>
      </c>
      <c r="P40" s="213"/>
      <c r="Q40" s="121"/>
    </row>
    <row r="41" spans="1:17" ht="18" outlineLevel="1">
      <c r="A41" s="119">
        <f t="shared" si="2"/>
        <v>9999</v>
      </c>
      <c r="B41" s="541" t="str">
        <f>IF('Capacity Calculation'!$P$18="",IF('Capacity Planning'!$P$17="","-",CONCATENATE('Capacity Planning'!$P$15,": ",'Capacity Planning'!$P$17)),CONCATENATE('Capacity Calculation'!$P$16,": ",'Capacity Calculation'!$P$18))</f>
        <v>-</v>
      </c>
      <c r="C41" s="542"/>
      <c r="D41" s="543" t="str">
        <f>'Capacity Calculation'!$P$68</f>
        <v/>
      </c>
      <c r="E41" s="543"/>
      <c r="F41" s="369" t="str">
        <f>'Capacity Planning'!$P$51</f>
        <v/>
      </c>
      <c r="G41" s="370" t="str">
        <f>'Capacity Calculation'!$P$64</f>
        <v/>
      </c>
      <c r="H41" s="544" t="str">
        <f>IF(G41="","",IF(D41&gt;G41,nichterfuellt,IF('Capacity Calculation'!P$71&gt;G41,bedingterfuellt,erfuellt)))</f>
        <v/>
      </c>
      <c r="I41" s="544"/>
      <c r="J41" s="118"/>
      <c r="K41" s="270" t="str">
        <f t="shared" si="3"/>
        <v/>
      </c>
      <c r="L41" s="121">
        <f t="shared" si="1"/>
        <v>0</v>
      </c>
      <c r="M41" s="359">
        <f t="shared" si="4"/>
        <v>0</v>
      </c>
      <c r="N41" s="121" t="str">
        <f>'Capacity Calculation'!$P$71</f>
        <v/>
      </c>
      <c r="O41" s="121" t="str">
        <f>'Capacity Planning'!$P$55</f>
        <v/>
      </c>
      <c r="P41" s="213"/>
      <c r="Q41" s="121"/>
    </row>
    <row r="42" spans="1:17" ht="18" outlineLevel="1">
      <c r="A42" s="119">
        <f t="shared" si="2"/>
        <v>9999</v>
      </c>
      <c r="B42" s="541" t="str">
        <f>IF('Capacity Calculation'!$Q$18="",IF('Capacity Planning'!$Q$17="","-",CONCATENATE('Capacity Planning'!$Q$15,": ",'Capacity Planning'!$Q$17)),CONCATENATE('Capacity Calculation'!$Q$16,": ",'Capacity Calculation'!$Q$18))</f>
        <v>-</v>
      </c>
      <c r="C42" s="542"/>
      <c r="D42" s="543" t="str">
        <f>'Capacity Calculation'!$Q$68</f>
        <v/>
      </c>
      <c r="E42" s="543"/>
      <c r="F42" s="369" t="str">
        <f>'Capacity Planning'!$Q$51</f>
        <v/>
      </c>
      <c r="G42" s="370" t="str">
        <f>'Capacity Calculation'!$Q$64</f>
        <v/>
      </c>
      <c r="H42" s="544" t="str">
        <f>IF(G42="","",IF(D42&gt;G42,nichterfuellt,IF('Capacity Calculation'!Q$71&gt;G42,bedingterfuellt,erfuellt)))</f>
        <v/>
      </c>
      <c r="I42" s="544"/>
      <c r="J42" s="118"/>
      <c r="K42" s="270" t="str">
        <f t="shared" si="3"/>
        <v/>
      </c>
      <c r="L42" s="121">
        <f t="shared" si="1"/>
        <v>0</v>
      </c>
      <c r="M42" s="359">
        <f t="shared" si="4"/>
        <v>0</v>
      </c>
      <c r="N42" s="121" t="str">
        <f>'Capacity Calculation'!$Q$71</f>
        <v/>
      </c>
      <c r="O42" s="121" t="str">
        <f>'Capacity Planning'!$Q$55</f>
        <v/>
      </c>
      <c r="P42" s="213"/>
      <c r="Q42" s="121"/>
    </row>
    <row r="43" spans="1:17" ht="18" outlineLevel="1">
      <c r="A43" s="119">
        <f t="shared" si="2"/>
        <v>9999</v>
      </c>
      <c r="B43" s="541" t="str">
        <f>IF('Capacity Calculation'!$R$18="",IF('Capacity Planning'!$R$17="","-",CONCATENATE('Capacity Planning'!$R$15,": ",'Capacity Planning'!$R$17)),CONCATENATE('Capacity Calculation'!$R$16,": ",'Capacity Calculation'!$R$18))</f>
        <v>-</v>
      </c>
      <c r="C43" s="542"/>
      <c r="D43" s="543" t="str">
        <f>'Capacity Calculation'!$R$68</f>
        <v/>
      </c>
      <c r="E43" s="543"/>
      <c r="F43" s="369" t="str">
        <f>'Capacity Planning'!$R$51</f>
        <v/>
      </c>
      <c r="G43" s="370" t="str">
        <f>'Capacity Calculation'!$R$64</f>
        <v/>
      </c>
      <c r="H43" s="544" t="str">
        <f>IF(G43="","",IF(D43&gt;G43,nichterfuellt,IF('Capacity Calculation'!R$71&gt;G43,bedingterfuellt,erfuellt)))</f>
        <v/>
      </c>
      <c r="I43" s="544"/>
      <c r="J43" s="118"/>
      <c r="K43" s="270" t="str">
        <f t="shared" si="3"/>
        <v/>
      </c>
      <c r="L43" s="121">
        <f t="shared" si="1"/>
        <v>0</v>
      </c>
      <c r="M43" s="359">
        <f t="shared" si="4"/>
        <v>0</v>
      </c>
      <c r="N43" s="121" t="str">
        <f>'Capacity Calculation'!$R$71</f>
        <v/>
      </c>
      <c r="O43" s="121" t="str">
        <f>'Capacity Planning'!$R$55</f>
        <v/>
      </c>
      <c r="P43" s="213"/>
      <c r="Q43" s="121"/>
    </row>
    <row r="44" spans="1:17" ht="18" outlineLevel="1">
      <c r="A44" s="119">
        <f t="shared" si="2"/>
        <v>9999</v>
      </c>
      <c r="B44" s="541" t="str">
        <f>IF('Capacity Calculation'!$S$18="",IF('Capacity Planning'!$S$17="","-",CONCATENATE('Capacity Planning'!$S$15,": ",'Capacity Planning'!$S$17)),CONCATENATE('Capacity Calculation'!$S$16,": ",'Capacity Calculation'!$S$18))</f>
        <v>-</v>
      </c>
      <c r="C44" s="542"/>
      <c r="D44" s="543" t="str">
        <f>'Capacity Calculation'!$S$68</f>
        <v/>
      </c>
      <c r="E44" s="543"/>
      <c r="F44" s="369" t="str">
        <f>'Capacity Planning'!$S$51</f>
        <v/>
      </c>
      <c r="G44" s="370" t="str">
        <f>'Capacity Calculation'!$S$64</f>
        <v/>
      </c>
      <c r="H44" s="544" t="str">
        <f>IF(G44="","",IF(D44&gt;G44,nichterfuellt,IF('Capacity Calculation'!S$71&gt;G44,bedingterfuellt,erfuellt)))</f>
        <v/>
      </c>
      <c r="I44" s="544"/>
      <c r="J44" s="118"/>
      <c r="K44" s="270" t="str">
        <f t="shared" si="3"/>
        <v/>
      </c>
      <c r="L44" s="121">
        <f t="shared" si="1"/>
        <v>0</v>
      </c>
      <c r="M44" s="359">
        <f t="shared" si="4"/>
        <v>0</v>
      </c>
      <c r="N44" s="121" t="str">
        <f>'Capacity Calculation'!$S$71</f>
        <v/>
      </c>
      <c r="O44" s="121" t="str">
        <f>'Capacity Planning'!$S$55</f>
        <v/>
      </c>
      <c r="P44" s="213"/>
      <c r="Q44" s="121"/>
    </row>
    <row r="45" spans="1:17" ht="18" outlineLevel="1">
      <c r="A45" s="119">
        <f t="shared" si="2"/>
        <v>9999</v>
      </c>
      <c r="B45" s="541" t="str">
        <f>IF('Capacity Calculation'!$T$18="",IF('Capacity Planning'!$T$17="","-",CONCATENATE('Capacity Planning'!$T$15,": ",'Capacity Planning'!$T$17)),CONCATENATE('Capacity Calculation'!$T$16,": ",'Capacity Calculation'!$T$18))</f>
        <v>-</v>
      </c>
      <c r="C45" s="542"/>
      <c r="D45" s="543" t="str">
        <f>'Capacity Calculation'!$T$68</f>
        <v/>
      </c>
      <c r="E45" s="543"/>
      <c r="F45" s="369" t="str">
        <f>'Capacity Planning'!$T$51</f>
        <v/>
      </c>
      <c r="G45" s="370" t="str">
        <f>'Capacity Calculation'!$T$64</f>
        <v/>
      </c>
      <c r="H45" s="544" t="str">
        <f>IF(G45="","",IF(D45&gt;G45,nichterfuellt,IF('Capacity Calculation'!T$71&gt;G45,bedingterfuellt,erfuellt)))</f>
        <v/>
      </c>
      <c r="I45" s="544"/>
      <c r="J45" s="118"/>
      <c r="K45" s="270" t="str">
        <f t="shared" si="3"/>
        <v/>
      </c>
      <c r="L45" s="121">
        <f t="shared" si="1"/>
        <v>0</v>
      </c>
      <c r="M45" s="359">
        <f t="shared" si="4"/>
        <v>0</v>
      </c>
      <c r="N45" s="121" t="str">
        <f>'Capacity Calculation'!$T$71</f>
        <v/>
      </c>
      <c r="O45" s="121" t="str">
        <f>'Capacity Planning'!$T$55</f>
        <v/>
      </c>
      <c r="P45" s="213"/>
      <c r="Q45" s="121"/>
    </row>
    <row r="46" spans="1:17" ht="18" outlineLevel="1">
      <c r="A46" s="119">
        <f t="shared" si="2"/>
        <v>9999</v>
      </c>
      <c r="B46" s="541" t="str">
        <f>IF('Capacity Calculation'!$U$18="",IF('Capacity Planning'!$U$17="","-",CONCATENATE('Capacity Planning'!$U$15,": ",'Capacity Planning'!$U$17)),CONCATENATE('Capacity Calculation'!$U$16,": ",'Capacity Calculation'!$U$18))</f>
        <v>-</v>
      </c>
      <c r="C46" s="542"/>
      <c r="D46" s="543" t="str">
        <f>'Capacity Calculation'!$U$68</f>
        <v/>
      </c>
      <c r="E46" s="543"/>
      <c r="F46" s="369" t="str">
        <f>'Capacity Planning'!$U$51</f>
        <v/>
      </c>
      <c r="G46" s="370" t="str">
        <f>'Capacity Calculation'!$U$64</f>
        <v/>
      </c>
      <c r="H46" s="544" t="str">
        <f>IF(G46="","",IF(D46&gt;G46,nichterfuellt,IF('Capacity Calculation'!U$71&gt;G46,bedingterfuellt,erfuellt)))</f>
        <v/>
      </c>
      <c r="I46" s="544"/>
      <c r="J46" s="118"/>
      <c r="K46" s="270" t="str">
        <f t="shared" si="3"/>
        <v/>
      </c>
      <c r="L46" s="121">
        <f t="shared" si="1"/>
        <v>0</v>
      </c>
      <c r="M46" s="359">
        <f t="shared" si="4"/>
        <v>0</v>
      </c>
      <c r="N46" s="121" t="str">
        <f>'Capacity Calculation'!$U$71</f>
        <v/>
      </c>
      <c r="O46" s="121" t="str">
        <f>'Capacity Planning'!$U$55</f>
        <v/>
      </c>
      <c r="P46" s="213"/>
      <c r="Q46" s="121"/>
    </row>
    <row r="47" spans="1:17" ht="18" outlineLevel="1">
      <c r="A47" s="119">
        <f t="shared" si="2"/>
        <v>9999</v>
      </c>
      <c r="B47" s="541" t="str">
        <f>IF('Capacity Calculation'!$V$18="",IF('Capacity Planning'!$V$17="","-",CONCATENATE('Capacity Planning'!$V$15,": ",'Capacity Planning'!$V$17)),CONCATENATE('Capacity Calculation'!$V$16,": ",'Capacity Calculation'!$V$18))</f>
        <v>-</v>
      </c>
      <c r="C47" s="542"/>
      <c r="D47" s="543" t="str">
        <f>'Capacity Calculation'!$V$68</f>
        <v/>
      </c>
      <c r="E47" s="543"/>
      <c r="F47" s="369" t="str">
        <f>'Capacity Planning'!$V$51</f>
        <v/>
      </c>
      <c r="G47" s="370" t="str">
        <f>'Capacity Calculation'!$V$64</f>
        <v/>
      </c>
      <c r="H47" s="544" t="str">
        <f>IF(G47="","",IF(D47&gt;G47,nichterfuellt,IF('Capacity Calculation'!V$71&gt;G47,bedingterfuellt,erfuellt)))</f>
        <v/>
      </c>
      <c r="I47" s="544"/>
      <c r="J47" s="118"/>
      <c r="K47" s="270" t="str">
        <f t="shared" si="3"/>
        <v/>
      </c>
      <c r="L47" s="121">
        <f t="shared" si="1"/>
        <v>0</v>
      </c>
      <c r="M47" s="359">
        <f t="shared" si="4"/>
        <v>0</v>
      </c>
      <c r="N47" s="121" t="str">
        <f>'Capacity Calculation'!$V$71</f>
        <v/>
      </c>
      <c r="O47" s="121" t="str">
        <f>'Capacity Planning'!$V$55</f>
        <v/>
      </c>
      <c r="P47" s="213"/>
      <c r="Q47" s="121"/>
    </row>
    <row r="48" spans="1:17" ht="18" outlineLevel="1">
      <c r="A48" s="119">
        <f t="shared" si="2"/>
        <v>9999</v>
      </c>
      <c r="B48" s="541" t="str">
        <f>IF('Capacity Calculation'!$W$18="",IF('Capacity Planning'!$W$17="","-",CONCATENATE('Capacity Planning'!$W$15,": ",'Capacity Planning'!$W$17)),CONCATENATE('Capacity Calculation'!$W$16,": ",'Capacity Calculation'!$W$18))</f>
        <v>-</v>
      </c>
      <c r="C48" s="542"/>
      <c r="D48" s="543" t="str">
        <f>'Capacity Calculation'!$W$68</f>
        <v/>
      </c>
      <c r="E48" s="543"/>
      <c r="F48" s="369" t="str">
        <f>'Capacity Planning'!$W$51</f>
        <v/>
      </c>
      <c r="G48" s="370" t="str">
        <f>'Capacity Calculation'!$W$64</f>
        <v/>
      </c>
      <c r="H48" s="544" t="str">
        <f>IF(G48="","",IF(D48&gt;G48,nichterfuellt,IF('Capacity Calculation'!W$71&gt;G48,bedingterfuellt,erfuellt)))</f>
        <v/>
      </c>
      <c r="I48" s="544"/>
      <c r="J48" s="118"/>
      <c r="K48" s="270" t="str">
        <f t="shared" si="3"/>
        <v/>
      </c>
      <c r="L48" s="121">
        <f t="shared" si="1"/>
        <v>0</v>
      </c>
      <c r="M48" s="359">
        <f t="shared" si="4"/>
        <v>0</v>
      </c>
      <c r="N48" s="121" t="str">
        <f>'Capacity Calculation'!$W$71</f>
        <v/>
      </c>
      <c r="O48" s="121" t="str">
        <f>'Capacity Planning'!$W$55</f>
        <v/>
      </c>
      <c r="P48" s="213"/>
      <c r="Q48" s="121"/>
    </row>
    <row r="49" spans="1:22" ht="18" outlineLevel="1">
      <c r="A49" s="119">
        <f t="shared" si="2"/>
        <v>9999</v>
      </c>
      <c r="B49" s="541" t="str">
        <f>IF('Capacity Calculation'!$X$18="",IF('Capacity Planning'!$X$17="","-",CONCATENATE('Capacity Planning'!$X$15,": ",'Capacity Planning'!$X$17)),CONCATENATE('Capacity Calculation'!$X$16,": ",'Capacity Calculation'!$X$18))</f>
        <v>-</v>
      </c>
      <c r="C49" s="542"/>
      <c r="D49" s="543" t="str">
        <f>'Capacity Calculation'!$X$68</f>
        <v/>
      </c>
      <c r="E49" s="543"/>
      <c r="F49" s="369" t="str">
        <f>'Capacity Planning'!$X$51</f>
        <v/>
      </c>
      <c r="G49" s="370" t="str">
        <f>'Capacity Calculation'!$X$64</f>
        <v/>
      </c>
      <c r="H49" s="544" t="str">
        <f>IF(G49="","",IF(D49&gt;G49,nichterfuellt,IF('Capacity Calculation'!X$71&gt;G49,bedingterfuellt,erfuellt)))</f>
        <v/>
      </c>
      <c r="I49" s="544"/>
      <c r="J49" s="118"/>
      <c r="K49" s="270" t="str">
        <f t="shared" si="3"/>
        <v/>
      </c>
      <c r="L49" s="121">
        <f t="shared" si="1"/>
        <v>0</v>
      </c>
      <c r="M49" s="359">
        <f t="shared" si="4"/>
        <v>0</v>
      </c>
      <c r="N49" s="121" t="str">
        <f>'Capacity Calculation'!$X$71</f>
        <v/>
      </c>
      <c r="O49" s="121" t="str">
        <f>'Capacity Planning'!$X$55</f>
        <v/>
      </c>
      <c r="P49" s="213"/>
      <c r="Q49" s="121"/>
    </row>
    <row r="50" spans="1:22" ht="18" outlineLevel="1">
      <c r="A50" s="119">
        <f t="shared" si="2"/>
        <v>9999</v>
      </c>
      <c r="B50" s="541" t="str">
        <f>IF('Capacity Calculation'!$Y$18="",IF('Capacity Planning'!$Y$17="","-",CONCATENATE('Capacity Planning'!$Y$15,": ",'Capacity Planning'!$Y$17)),CONCATENATE('Capacity Calculation'!$Y$16,": ",'Capacity Calculation'!$Y$18))</f>
        <v>-</v>
      </c>
      <c r="C50" s="542"/>
      <c r="D50" s="543" t="str">
        <f>'Capacity Calculation'!$Y$68</f>
        <v/>
      </c>
      <c r="E50" s="543"/>
      <c r="F50" s="369" t="str">
        <f>'Capacity Planning'!$Y$51</f>
        <v/>
      </c>
      <c r="G50" s="370" t="str">
        <f>'Capacity Calculation'!$Y$64</f>
        <v/>
      </c>
      <c r="H50" s="544" t="str">
        <f>IF(G50="","",IF(D50&gt;G50,nichterfuellt,IF('Capacity Calculation'!Y$71&gt;G50,bedingterfuellt,erfuellt)))</f>
        <v/>
      </c>
      <c r="I50" s="544"/>
      <c r="J50" s="118"/>
      <c r="K50" s="270" t="str">
        <f t="shared" si="3"/>
        <v/>
      </c>
      <c r="L50" s="121">
        <f t="shared" si="1"/>
        <v>0</v>
      </c>
      <c r="M50" s="359">
        <f t="shared" si="4"/>
        <v>0</v>
      </c>
      <c r="N50" s="121" t="str">
        <f>'Capacity Calculation'!$Y$71</f>
        <v/>
      </c>
      <c r="O50" s="121" t="str">
        <f>'Capacity Planning'!$Y$55</f>
        <v/>
      </c>
      <c r="P50" s="213"/>
      <c r="Q50" s="121"/>
    </row>
    <row r="51" spans="1:22" ht="18" outlineLevel="1">
      <c r="A51" s="119">
        <f t="shared" si="2"/>
        <v>9999</v>
      </c>
      <c r="B51" s="541" t="str">
        <f>IF('Capacity Calculation'!$Z$18="",IF('Capacity Planning'!$Z$17="","-",CONCATENATE('Capacity Planning'!$Z$15,": ",'Capacity Planning'!$Z$17)),CONCATENATE('Capacity Calculation'!$Z$16,": ",'Capacity Calculation'!$Z$18))</f>
        <v>-</v>
      </c>
      <c r="C51" s="542"/>
      <c r="D51" s="543" t="str">
        <f>'Capacity Calculation'!$Z$68</f>
        <v/>
      </c>
      <c r="E51" s="543"/>
      <c r="F51" s="369" t="str">
        <f>'Capacity Planning'!$Z$51</f>
        <v/>
      </c>
      <c r="G51" s="370" t="str">
        <f>'Capacity Calculation'!$Z$64</f>
        <v/>
      </c>
      <c r="H51" s="544" t="str">
        <f>IF(G51="","",IF(D51&gt;G51,nichterfuellt,IF('Capacity Calculation'!Z$71&gt;G51,bedingterfuellt,erfuellt)))</f>
        <v/>
      </c>
      <c r="I51" s="544"/>
      <c r="J51" s="118"/>
      <c r="K51" s="270" t="str">
        <f t="shared" si="3"/>
        <v/>
      </c>
      <c r="L51" s="121">
        <f t="shared" si="1"/>
        <v>0</v>
      </c>
      <c r="M51" s="359">
        <f t="shared" si="4"/>
        <v>0</v>
      </c>
      <c r="N51" s="121" t="str">
        <f>'Capacity Calculation'!$Z$71</f>
        <v/>
      </c>
      <c r="O51" s="121" t="str">
        <f>'Capacity Planning'!$Z$55</f>
        <v/>
      </c>
      <c r="P51" s="213"/>
      <c r="Q51" s="121"/>
    </row>
    <row r="52" spans="1:22" ht="18" outlineLevel="1">
      <c r="A52" s="119">
        <f t="shared" si="2"/>
        <v>9999</v>
      </c>
      <c r="B52" s="541" t="str">
        <f>IF('Capacity Calculation'!$AA$18="",IF('Capacity Planning'!$AA$17="","-",CONCATENATE('Capacity Planning'!$AA$15,": ",'Capacity Planning'!$AA$17)),CONCATENATE('Capacity Calculation'!$AA$16,": ",'Capacity Calculation'!$AA$18))</f>
        <v>-</v>
      </c>
      <c r="C52" s="542"/>
      <c r="D52" s="543" t="str">
        <f>'Capacity Calculation'!$AA$68</f>
        <v/>
      </c>
      <c r="E52" s="543"/>
      <c r="F52" s="369" t="str">
        <f>'Capacity Planning'!$AA$51</f>
        <v/>
      </c>
      <c r="G52" s="370" t="str">
        <f>'Capacity Calculation'!$AA$64</f>
        <v/>
      </c>
      <c r="H52" s="544" t="str">
        <f>IF(G52="","",IF(D52&gt;G52,nichterfuellt,IF('Capacity Calculation'!AA$71&gt;G52,bedingterfuellt,erfuellt)))</f>
        <v/>
      </c>
      <c r="I52" s="544"/>
      <c r="J52" s="118"/>
      <c r="K52" s="270" t="str">
        <f t="shared" si="3"/>
        <v/>
      </c>
      <c r="L52" s="121">
        <f t="shared" si="1"/>
        <v>0</v>
      </c>
      <c r="M52" s="359">
        <f t="shared" si="4"/>
        <v>0</v>
      </c>
      <c r="N52" s="121" t="str">
        <f>'Capacity Calculation'!$AA$71</f>
        <v/>
      </c>
      <c r="O52" s="121" t="str">
        <f>'Capacity Planning'!$AA$55</f>
        <v/>
      </c>
      <c r="P52" s="213"/>
      <c r="Q52" s="121"/>
    </row>
    <row r="53" spans="1:22" ht="18" outlineLevel="1">
      <c r="A53" s="119">
        <f t="shared" si="2"/>
        <v>9999</v>
      </c>
      <c r="B53" s="541" t="str">
        <f>IF('Capacity Calculation'!$AB$18="",IF('Capacity Planning'!$AB$17="","-",CONCATENATE('Capacity Planning'!$AB$15,": ",'Capacity Planning'!$AB$17)),CONCATENATE('Capacity Calculation'!$AB$16,": ",'Capacity Calculation'!$AB$18))</f>
        <v>-</v>
      </c>
      <c r="C53" s="542"/>
      <c r="D53" s="543" t="str">
        <f>'Capacity Calculation'!$AB$68</f>
        <v/>
      </c>
      <c r="E53" s="543"/>
      <c r="F53" s="369" t="str">
        <f>'Capacity Planning'!$AB$51</f>
        <v/>
      </c>
      <c r="G53" s="370" t="str">
        <f>'Capacity Calculation'!$AB$64</f>
        <v/>
      </c>
      <c r="H53" s="544" t="str">
        <f>IF(G53="","",IF(D53&gt;G53,nichterfuellt,IF('Capacity Calculation'!AB$71&gt;G53,bedingterfuellt,erfuellt)))</f>
        <v/>
      </c>
      <c r="I53" s="544"/>
      <c r="J53" s="118"/>
      <c r="K53" s="270" t="str">
        <f t="shared" si="3"/>
        <v/>
      </c>
      <c r="L53" s="121">
        <f t="shared" si="1"/>
        <v>0</v>
      </c>
      <c r="M53" s="359">
        <f t="shared" si="4"/>
        <v>0</v>
      </c>
      <c r="N53" s="121" t="str">
        <f>'Capacity Calculation'!$AB$71</f>
        <v/>
      </c>
      <c r="O53" s="121" t="str">
        <f>'Capacity Planning'!$AB$55</f>
        <v/>
      </c>
      <c r="P53" s="213"/>
      <c r="Q53" s="121"/>
    </row>
    <row r="54" spans="1:22" ht="18" outlineLevel="1">
      <c r="A54" s="119">
        <f t="shared" si="2"/>
        <v>9999</v>
      </c>
      <c r="B54" s="541" t="str">
        <f>IF('Capacity Calculation'!$AC$18="",IF('Capacity Planning'!$AC$17="","-",CONCATENATE('Capacity Planning'!$AC$15,": ",'Capacity Planning'!$AC$17)),CONCATENATE('Capacity Calculation'!$AC$16,": ",'Capacity Calculation'!$AC$18))</f>
        <v>-</v>
      </c>
      <c r="C54" s="542"/>
      <c r="D54" s="543" t="str">
        <f>'Capacity Calculation'!$AC$68</f>
        <v/>
      </c>
      <c r="E54" s="543"/>
      <c r="F54" s="369" t="str">
        <f>'Capacity Planning'!$AC$51</f>
        <v/>
      </c>
      <c r="G54" s="370" t="str">
        <f>'Capacity Calculation'!$AC$64</f>
        <v/>
      </c>
      <c r="H54" s="544" t="str">
        <f>IF(G54="","",IF(D54&gt;G54,nichterfuellt,IF('Capacity Calculation'!AC$71&gt;G54,bedingterfuellt,erfuellt)))</f>
        <v/>
      </c>
      <c r="I54" s="544"/>
      <c r="J54" s="118"/>
      <c r="K54" s="270" t="str">
        <f t="shared" si="3"/>
        <v/>
      </c>
      <c r="L54" s="121">
        <f t="shared" si="1"/>
        <v>0</v>
      </c>
      <c r="M54" s="359">
        <f t="shared" si="4"/>
        <v>0</v>
      </c>
      <c r="N54" s="121" t="str">
        <f>'Capacity Calculation'!$AC$71</f>
        <v/>
      </c>
      <c r="O54" s="121" t="str">
        <f>'Capacity Planning'!$AC$55</f>
        <v/>
      </c>
      <c r="P54" s="213"/>
      <c r="Q54" s="121"/>
    </row>
    <row r="55" spans="1:22" ht="18" outlineLevel="1">
      <c r="A55" s="119">
        <f t="shared" si="2"/>
        <v>9999</v>
      </c>
      <c r="B55" s="541" t="str">
        <f>IF('Capacity Calculation'!$AD$18="",IF('Capacity Planning'!$AD$17="","-",CONCATENATE('Capacity Planning'!$AD$15,": ",'Capacity Planning'!$AD$17)),CONCATENATE('Capacity Calculation'!$AD$16,": ",'Capacity Calculation'!$AD$18))</f>
        <v>-</v>
      </c>
      <c r="C55" s="542"/>
      <c r="D55" s="543" t="str">
        <f>'Capacity Calculation'!$AD$68</f>
        <v/>
      </c>
      <c r="E55" s="543"/>
      <c r="F55" s="369" t="str">
        <f>'Capacity Planning'!$AD$51</f>
        <v/>
      </c>
      <c r="G55" s="370" t="str">
        <f>'Capacity Calculation'!$AD$64</f>
        <v/>
      </c>
      <c r="H55" s="544" t="str">
        <f>IF(G55="","",IF(D55&gt;G55,nichterfuellt,IF('Capacity Calculation'!AD$71&gt;G55,bedingterfuellt,erfuellt)))</f>
        <v/>
      </c>
      <c r="I55" s="544"/>
      <c r="J55" s="118"/>
      <c r="K55" s="270" t="str">
        <f>IFERROR((G55-D55)/D55,"")</f>
        <v/>
      </c>
      <c r="L55" s="121">
        <f t="shared" si="1"/>
        <v>0</v>
      </c>
      <c r="M55" s="359">
        <f t="shared" si="4"/>
        <v>0</v>
      </c>
      <c r="N55" s="121" t="str">
        <f>'Capacity Calculation'!$AD$71</f>
        <v/>
      </c>
      <c r="O55" s="121" t="str">
        <f>'Capacity Planning'!$AD$55</f>
        <v/>
      </c>
      <c r="P55" s="213"/>
      <c r="Q55" s="121"/>
    </row>
    <row r="56" spans="1:22" ht="18" outlineLevel="1">
      <c r="A56" s="119">
        <f t="shared" si="2"/>
        <v>9999</v>
      </c>
      <c r="B56" s="541" t="str">
        <f>IF('Capacity Calculation'!$AE$18="",IF('Capacity Planning'!$AE$17="","-",CONCATENATE('Capacity Planning'!$AE$15,": ",'Capacity Planning'!$AE$17)),CONCATENATE('Capacity Calculation'!$AE$16,": ",'Capacity Calculation'!$AE$18))</f>
        <v>-</v>
      </c>
      <c r="C56" s="542"/>
      <c r="D56" s="543" t="str">
        <f>'Capacity Calculation'!$AE$68</f>
        <v/>
      </c>
      <c r="E56" s="543"/>
      <c r="F56" s="369" t="str">
        <f>'Capacity Planning'!$AE$51</f>
        <v/>
      </c>
      <c r="G56" s="370" t="str">
        <f>'Capacity Calculation'!$AE$64</f>
        <v/>
      </c>
      <c r="H56" s="544" t="str">
        <f>IF(G56="","",IF(D56&gt;G56,nichterfuellt,IF('Capacity Calculation'!AE$71&gt;G56,bedingterfuellt,erfuellt)))</f>
        <v/>
      </c>
      <c r="I56" s="544"/>
      <c r="J56" s="118"/>
      <c r="K56" s="270" t="str">
        <f t="shared" si="3"/>
        <v/>
      </c>
      <c r="L56" s="121">
        <f t="shared" si="1"/>
        <v>0</v>
      </c>
      <c r="M56" s="359">
        <f t="shared" si="4"/>
        <v>0</v>
      </c>
      <c r="N56" s="121" t="str">
        <f>'Capacity Calculation'!$AE$71</f>
        <v/>
      </c>
      <c r="O56" s="121" t="str">
        <f>'Capacity Planning'!$AE$55</f>
        <v/>
      </c>
      <c r="P56" s="213"/>
      <c r="Q56" s="121"/>
    </row>
    <row r="57" spans="1:22" ht="18" outlineLevel="1">
      <c r="A57" s="119">
        <f t="shared" si="2"/>
        <v>9999</v>
      </c>
      <c r="B57" s="541" t="str">
        <f>IF('Capacity Calculation'!$AF$18="",IF('Capacity Planning'!$AF$17="","-",CONCATENATE('Capacity Planning'!$AF$15,": ",'Capacity Planning'!$AF$17)),CONCATENATE('Capacity Calculation'!$AF$16,": ",'Capacity Calculation'!$AF$18))</f>
        <v>-</v>
      </c>
      <c r="C57" s="542"/>
      <c r="D57" s="543" t="str">
        <f>'Capacity Calculation'!$AF$68</f>
        <v/>
      </c>
      <c r="E57" s="543"/>
      <c r="F57" s="369" t="str">
        <f>'Capacity Planning'!$AF$51</f>
        <v/>
      </c>
      <c r="G57" s="370" t="str">
        <f>'Capacity Calculation'!$AF$64</f>
        <v/>
      </c>
      <c r="H57" s="544" t="str">
        <f>IF(G57="","",IF(D57&gt;G57,nichterfuellt,IF('Capacity Calculation'!AF$71&gt;G57,bedingterfuellt,erfuellt)))</f>
        <v/>
      </c>
      <c r="I57" s="544"/>
      <c r="J57" s="118"/>
      <c r="K57" s="270" t="str">
        <f t="shared" si="3"/>
        <v/>
      </c>
      <c r="L57" s="121">
        <f t="shared" si="1"/>
        <v>0</v>
      </c>
      <c r="M57" s="359">
        <f t="shared" si="4"/>
        <v>0</v>
      </c>
      <c r="N57" s="121" t="str">
        <f>'Capacity Calculation'!$AF$71</f>
        <v/>
      </c>
      <c r="O57" s="121" t="str">
        <f>'Capacity Planning'!$AF$55</f>
        <v/>
      </c>
      <c r="P57" s="213"/>
      <c r="Q57" s="121"/>
    </row>
    <row r="58" spans="1:22" s="23" customFormat="1" ht="14" thickBot="1">
      <c r="A58" s="311"/>
      <c r="D58" s="337" t="str">
        <f>IF(H59="nicht erfüllt",CONCATENATE("Kapazität um ",ROUND((G59/D59-1),4)*-100,"% zu gering!"),"")</f>
        <v/>
      </c>
      <c r="F58" s="316"/>
      <c r="G58" s="317"/>
      <c r="J58" s="215"/>
      <c r="K58" s="98"/>
      <c r="L58" s="120"/>
      <c r="M58" s="120"/>
      <c r="N58" s="120"/>
      <c r="O58" s="121"/>
      <c r="P58" s="216"/>
      <c r="Q58" s="120"/>
      <c r="R58" s="216"/>
      <c r="S58" s="216"/>
      <c r="T58" s="216"/>
      <c r="U58" s="216"/>
    </row>
    <row r="59" spans="1:22" ht="30" customHeight="1" thickBot="1">
      <c r="A59" s="119"/>
      <c r="B59" s="554" t="s">
        <v>150</v>
      </c>
      <c r="C59" s="555"/>
      <c r="D59" s="556" t="str">
        <f>IFERROR(IF($B$28="-","",VLOOKUP(1,$A$28:$I$57,4,FALSE)),"")</f>
        <v/>
      </c>
      <c r="E59" s="557"/>
      <c r="F59" s="500" t="str">
        <f>IFERROR(IF($B$28="-","",VLOOKUP(1,$A$28:$I$57,6,FALSE)),"")</f>
        <v/>
      </c>
      <c r="G59" s="501" t="str">
        <f>IFERROR(IF($B$28="-","",VLOOKUP(1,$A$28:$I$57,7,FALSE)),"")</f>
        <v/>
      </c>
      <c r="H59" s="552" t="str">
        <f>IFERROR(IF($B$28="-","",VLOOKUP(1,$A$28:$I$57,8,FALSE)),"")</f>
        <v/>
      </c>
      <c r="I59" s="553"/>
      <c r="J59" s="233"/>
      <c r="K59" s="91"/>
      <c r="L59" s="121"/>
      <c r="M59" s="121"/>
      <c r="N59" s="121"/>
      <c r="O59" s="213"/>
      <c r="P59" s="121"/>
      <c r="Q59" s="121"/>
    </row>
    <row r="60" spans="1:22" s="23" customFormat="1" ht="14" thickBot="1">
      <c r="A60" s="234"/>
      <c r="B60" s="30"/>
      <c r="C60" s="30"/>
      <c r="D60" s="30"/>
      <c r="E60" s="30"/>
      <c r="F60" s="30"/>
      <c r="G60" s="30"/>
      <c r="H60" s="30"/>
      <c r="I60" s="30"/>
      <c r="J60" s="129"/>
      <c r="K60" s="98"/>
      <c r="L60" s="120"/>
      <c r="M60" s="120"/>
      <c r="N60" s="120"/>
      <c r="O60" s="213"/>
      <c r="P60" s="120"/>
      <c r="Q60" s="120"/>
    </row>
    <row r="61" spans="1:22" ht="25">
      <c r="A61" s="3"/>
      <c r="B61" s="4" t="s">
        <v>151</v>
      </c>
      <c r="C61" s="5"/>
      <c r="D61" s="34"/>
      <c r="E61" s="5"/>
      <c r="F61" s="5"/>
      <c r="G61" s="5"/>
      <c r="H61" s="5"/>
      <c r="I61" s="5"/>
      <c r="J61" s="50"/>
      <c r="K61" s="121"/>
      <c r="L61" s="121"/>
      <c r="M61" s="121"/>
      <c r="N61" s="121"/>
      <c r="O61" s="213"/>
      <c r="P61" s="121"/>
      <c r="Q61" s="121"/>
    </row>
    <row r="62" spans="1:22" ht="84">
      <c r="A62" s="7"/>
      <c r="B62" s="527"/>
      <c r="C62" s="527"/>
      <c r="D62" s="527"/>
      <c r="E62" s="527"/>
      <c r="F62" s="527"/>
      <c r="G62" s="527"/>
      <c r="H62" s="527"/>
      <c r="I62" s="527"/>
      <c r="J62" s="319" t="s">
        <v>88</v>
      </c>
      <c r="K62" s="121"/>
      <c r="L62" s="121"/>
      <c r="M62" s="121"/>
      <c r="N62" s="121"/>
      <c r="O62" s="213"/>
      <c r="P62" s="121"/>
      <c r="Q62" s="121"/>
      <c r="U62" s="45"/>
      <c r="V62" s="164">
        <f>B62</f>
        <v>0</v>
      </c>
    </row>
    <row r="63" spans="1:22" s="23" customFormat="1" ht="14" thickBot="1">
      <c r="A63" s="29"/>
      <c r="B63" s="49"/>
      <c r="C63" s="30"/>
      <c r="D63" s="30"/>
      <c r="E63" s="30"/>
      <c r="F63" s="30"/>
      <c r="G63" s="30"/>
      <c r="H63" s="30"/>
      <c r="I63" s="30"/>
      <c r="J63" s="32"/>
      <c r="O63" s="213"/>
    </row>
    <row r="64" spans="1:22">
      <c r="O64" s="213"/>
    </row>
    <row r="65" spans="15:15">
      <c r="O65" s="213"/>
    </row>
    <row r="66" spans="15:15">
      <c r="O66" s="213"/>
    </row>
    <row r="67" spans="15:15">
      <c r="O67" s="213"/>
    </row>
    <row r="68" spans="15:15">
      <c r="O68" s="213"/>
    </row>
  </sheetData>
  <sheetProtection formatCells="0" formatColumns="0" formatRows="0"/>
  <mergeCells count="124">
    <mergeCell ref="O6:Q6"/>
    <mergeCell ref="L7:Q7"/>
    <mergeCell ref="N2:N3"/>
    <mergeCell ref="O2:O3"/>
    <mergeCell ref="L4:M4"/>
    <mergeCell ref="O4:Q4"/>
    <mergeCell ref="L5:M5"/>
    <mergeCell ref="O5:Q5"/>
    <mergeCell ref="D38:E38"/>
    <mergeCell ref="H38:I38"/>
    <mergeCell ref="B39:C39"/>
    <mergeCell ref="D39:E39"/>
    <mergeCell ref="H39:I39"/>
    <mergeCell ref="B40:C40"/>
    <mergeCell ref="D40:E40"/>
    <mergeCell ref="H40:I40"/>
    <mergeCell ref="L6:M6"/>
    <mergeCell ref="A1:J1"/>
    <mergeCell ref="G9:I9"/>
    <mergeCell ref="D4:I4"/>
    <mergeCell ref="D5:I5"/>
    <mergeCell ref="B4:C4"/>
    <mergeCell ref="B5:C5"/>
    <mergeCell ref="B6:C6"/>
    <mergeCell ref="D6:F6"/>
    <mergeCell ref="C24:I24"/>
    <mergeCell ref="D27:E27"/>
    <mergeCell ref="H27:I27"/>
    <mergeCell ref="B27:C27"/>
    <mergeCell ref="D28:E28"/>
    <mergeCell ref="B28:C28"/>
    <mergeCell ref="H28:I28"/>
    <mergeCell ref="L8:M8"/>
    <mergeCell ref="B32:C32"/>
    <mergeCell ref="B62:I62"/>
    <mergeCell ref="H29:I29"/>
    <mergeCell ref="H30:I30"/>
    <mergeCell ref="H31:I31"/>
    <mergeCell ref="H32:I32"/>
    <mergeCell ref="H33:I33"/>
    <mergeCell ref="D29:E29"/>
    <mergeCell ref="D30:E30"/>
    <mergeCell ref="B34:C34"/>
    <mergeCell ref="D34:E34"/>
    <mergeCell ref="H34:I34"/>
    <mergeCell ref="B35:C35"/>
    <mergeCell ref="D35:E35"/>
    <mergeCell ref="H35:I35"/>
    <mergeCell ref="B36:C36"/>
    <mergeCell ref="D36:E36"/>
    <mergeCell ref="B59:C59"/>
    <mergeCell ref="D31:E31"/>
    <mergeCell ref="D32:E32"/>
    <mergeCell ref="D33:E33"/>
    <mergeCell ref="B29:C29"/>
    <mergeCell ref="B30:C30"/>
    <mergeCell ref="B31:C31"/>
    <mergeCell ref="D59:E59"/>
    <mergeCell ref="H59:I59"/>
    <mergeCell ref="B57:C57"/>
    <mergeCell ref="D57:E57"/>
    <mergeCell ref="H57:I57"/>
    <mergeCell ref="H36:I36"/>
    <mergeCell ref="B37:C37"/>
    <mergeCell ref="D37:E37"/>
    <mergeCell ref="H37:I37"/>
    <mergeCell ref="B38:C38"/>
    <mergeCell ref="B43:C43"/>
    <mergeCell ref="D43:E43"/>
    <mergeCell ref="H43:I43"/>
    <mergeCell ref="B44:C44"/>
    <mergeCell ref="D44:E44"/>
    <mergeCell ref="H44:I44"/>
    <mergeCell ref="B41:C41"/>
    <mergeCell ref="D41:E41"/>
    <mergeCell ref="H41:I41"/>
    <mergeCell ref="B42:C42"/>
    <mergeCell ref="D42:E42"/>
    <mergeCell ref="H42:I42"/>
    <mergeCell ref="B47:C47"/>
    <mergeCell ref="D47:E47"/>
    <mergeCell ref="H47:I47"/>
    <mergeCell ref="B33:C33"/>
    <mergeCell ref="D21:E21"/>
    <mergeCell ref="D22:E22"/>
    <mergeCell ref="G21:H21"/>
    <mergeCell ref="G22:H22"/>
    <mergeCell ref="B21:C21"/>
    <mergeCell ref="B22:C22"/>
    <mergeCell ref="F26:G26"/>
    <mergeCell ref="L9:M9"/>
    <mergeCell ref="B48:C48"/>
    <mergeCell ref="D48:E48"/>
    <mergeCell ref="H48:I48"/>
    <mergeCell ref="B45:C45"/>
    <mergeCell ref="D45:E45"/>
    <mergeCell ref="H45:I45"/>
    <mergeCell ref="B46:C46"/>
    <mergeCell ref="D46:E46"/>
    <mergeCell ref="H46:I46"/>
    <mergeCell ref="B51:C51"/>
    <mergeCell ref="D51:E51"/>
    <mergeCell ref="H51:I51"/>
    <mergeCell ref="B52:C52"/>
    <mergeCell ref="D52:E52"/>
    <mergeCell ref="H52:I52"/>
    <mergeCell ref="B49:C49"/>
    <mergeCell ref="D49:E49"/>
    <mergeCell ref="H49:I49"/>
    <mergeCell ref="B50:C50"/>
    <mergeCell ref="D50:E50"/>
    <mergeCell ref="H50:I50"/>
    <mergeCell ref="B55:C55"/>
    <mergeCell ref="D55:E55"/>
    <mergeCell ref="H55:I55"/>
    <mergeCell ref="B56:C56"/>
    <mergeCell ref="D56:E56"/>
    <mergeCell ref="H56:I56"/>
    <mergeCell ref="B53:C53"/>
    <mergeCell ref="D53:E53"/>
    <mergeCell ref="H53:I53"/>
    <mergeCell ref="B54:C54"/>
    <mergeCell ref="D54:E54"/>
    <mergeCell ref="H54:I54"/>
  </mergeCells>
  <phoneticPr fontId="76" type="noConversion"/>
  <conditionalFormatting sqref="H59:I59">
    <cfRule type="cellIs" dxfId="21" priority="6" operator="equal">
      <formula>erfuellt</formula>
    </cfRule>
  </conditionalFormatting>
  <conditionalFormatting sqref="H59:I59 H28:I57">
    <cfRule type="cellIs" dxfId="20" priority="3" operator="equal">
      <formula>nichterfuellt</formula>
    </cfRule>
    <cfRule type="cellIs" dxfId="19" priority="5" operator="equal">
      <formula>bedingterfuellt</formula>
    </cfRule>
  </conditionalFormatting>
  <dataValidations count="1">
    <dataValidation type="whole" allowBlank="1" showInputMessage="1" showErrorMessage="1" sqref="D6:F6" xr:uid="{2C206F9E-FE7F-4506-A408-52BCCA5D1F0B}">
      <formula1>0</formula1>
      <formula2>100</formula2>
    </dataValidation>
  </dataValidations>
  <printOptions horizontalCentered="1"/>
  <pageMargins left="0.70866141732283472" right="0.70866141732283472" top="0.9055118110236221" bottom="0.78740157480314965" header="0.31496062992125984" footer="0.31496062992125984"/>
  <pageSetup paperSize="9" scale="70" orientation="portrait" r:id="rId1"/>
  <headerFooter>
    <oddHeader>&amp;L&amp;"Calibri"&amp;10&amp;K000000 INTERNAL&amp;1#_x000D_&amp;"Arialri"&amp;11&amp;K000000
&amp;"Calibri,Standard"Kapazitätsplanung und abnahme
&amp;A&amp;R&amp;G</oddHeader>
    <oddFooter>&amp;L&amp;"Audi Type,Standard"&amp;8&amp;F_x000D_&amp;1#&amp;"Calibri"&amp;10&amp;K000000 Internal&amp;C&amp;"Audi Type,Standard"&amp;8&amp;P von &amp;N&amp;R&amp;"Audi Type,Standard"&amp;8&amp;D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04" r:id="rId5" name="Option Button 28">
              <controlPr defaultSize="0" autoFill="0" autoLine="0" autoPict="0">
                <anchor moveWithCells="1" sizeWithCells="1">
                  <from>
                    <xdr:col>5</xdr:col>
                    <xdr:colOff>165100</xdr:colOff>
                    <xdr:row>6</xdr:row>
                    <xdr:rowOff>190500</xdr:rowOff>
                  </from>
                  <to>
                    <xdr:col>6</xdr:col>
                    <xdr:colOff>12700</xdr:colOff>
                    <xdr:row>6</xdr:row>
                    <xdr:rowOff>419100</xdr:rowOff>
                  </to>
                </anchor>
              </controlPr>
            </control>
          </mc:Choice>
        </mc:AlternateContent>
        <mc:AlternateContent xmlns:mc="http://schemas.openxmlformats.org/markup-compatibility/2006">
          <mc:Choice Requires="x14">
            <control shapeId="24605" r:id="rId6" name="Option Button 29">
              <controlPr defaultSize="0" autoFill="0" autoLine="0" autoPict="0">
                <anchor moveWithCells="1" sizeWithCells="1">
                  <from>
                    <xdr:col>6</xdr:col>
                    <xdr:colOff>114300</xdr:colOff>
                    <xdr:row>6</xdr:row>
                    <xdr:rowOff>190500</xdr:rowOff>
                  </from>
                  <to>
                    <xdr:col>6</xdr:col>
                    <xdr:colOff>1371600</xdr:colOff>
                    <xdr:row>6</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Datenquelle!$F$5:$F$116</xm:f>
          </x14:formula1>
          <xm:sqref>B11:B15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8">
    <outlinePr summaryBelow="0" summaryRight="0"/>
    <pageSetUpPr fitToPage="1"/>
  </sheetPr>
  <dimension ref="A1:AR88"/>
  <sheetViews>
    <sheetView topLeftCell="A17" zoomScale="136" zoomScaleNormal="85" workbookViewId="0">
      <selection activeCell="B46" sqref="B46"/>
    </sheetView>
  </sheetViews>
  <sheetFormatPr baseColWidth="10" defaultColWidth="11" defaultRowHeight="13" outlineLevelRow="1" outlineLevelCol="1"/>
  <cols>
    <col min="1" max="1" width="2.5" style="91" customWidth="1"/>
    <col min="2" max="2" width="47.33203125" style="91" customWidth="1"/>
    <col min="3" max="11" width="22.1640625" style="91" customWidth="1"/>
    <col min="12" max="12" width="22.1640625" style="91" customWidth="1" collapsed="1"/>
    <col min="13" max="32" width="22.1640625" style="91" hidden="1" customWidth="1" outlineLevel="1"/>
    <col min="33" max="33" width="2.5" style="91" customWidth="1"/>
    <col min="34" max="45" width="11" style="91"/>
    <col min="46" max="46" width="69.33203125" style="91" customWidth="1"/>
    <col min="47" max="16384" width="11" style="91"/>
  </cols>
  <sheetData>
    <row r="1" spans="1:44" ht="36" thickBot="1">
      <c r="A1" s="520" t="s">
        <v>503</v>
      </c>
      <c r="B1" s="520"/>
      <c r="C1" s="520"/>
      <c r="D1" s="520"/>
      <c r="E1" s="520"/>
      <c r="F1" s="520"/>
      <c r="G1" s="520"/>
      <c r="H1" s="520"/>
      <c r="I1" s="520"/>
      <c r="J1" s="520"/>
      <c r="K1" s="520"/>
      <c r="L1" s="520"/>
      <c r="M1" s="520"/>
      <c r="N1" s="520"/>
      <c r="O1" s="520"/>
      <c r="P1" s="520"/>
      <c r="Q1" s="520"/>
      <c r="R1" s="520"/>
      <c r="S1" s="520"/>
      <c r="T1" s="520"/>
      <c r="U1" s="520"/>
      <c r="V1" s="520"/>
      <c r="W1" s="520"/>
      <c r="X1" s="520"/>
      <c r="Y1" s="520"/>
      <c r="Z1" s="520"/>
      <c r="AA1" s="520"/>
      <c r="AB1" s="520"/>
      <c r="AC1" s="520"/>
      <c r="AD1" s="520"/>
      <c r="AE1" s="520"/>
      <c r="AF1" s="520"/>
      <c r="AG1" s="520"/>
      <c r="AR1" s="102"/>
    </row>
    <row r="2" spans="1:44" ht="25">
      <c r="A2" s="92"/>
      <c r="B2" s="93" t="s">
        <v>152</v>
      </c>
      <c r="C2" s="94"/>
      <c r="D2" s="94"/>
      <c r="E2" s="95"/>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6"/>
    </row>
    <row r="3" spans="1:44" s="98" customFormat="1" ht="10">
      <c r="A3" s="97"/>
      <c r="AG3" s="99"/>
    </row>
    <row r="4" spans="1:44" ht="14">
      <c r="A4" s="100"/>
      <c r="B4" s="103" t="s">
        <v>504</v>
      </c>
      <c r="C4" s="519">
        <f>Datasheet!C11</f>
        <v>0</v>
      </c>
      <c r="D4" s="519"/>
      <c r="E4" s="519"/>
      <c r="F4" s="519"/>
      <c r="G4" s="519"/>
      <c r="H4" s="519"/>
      <c r="I4" s="265"/>
      <c r="J4" s="265"/>
      <c r="K4" s="265"/>
      <c r="L4" s="265"/>
      <c r="M4" s="265"/>
      <c r="N4" s="265"/>
      <c r="O4" s="265"/>
      <c r="P4" s="265"/>
      <c r="Q4" s="265"/>
      <c r="R4" s="265"/>
      <c r="S4" s="265"/>
      <c r="T4" s="265"/>
      <c r="U4" s="265"/>
      <c r="V4" s="265"/>
      <c r="W4" s="265"/>
      <c r="X4" s="265"/>
      <c r="Y4" s="265"/>
      <c r="Z4" s="265"/>
      <c r="AA4" s="265"/>
      <c r="AB4" s="265"/>
      <c r="AC4" s="265"/>
      <c r="AD4" s="265"/>
      <c r="AE4" s="265"/>
      <c r="AF4" s="265"/>
      <c r="AG4" s="101"/>
    </row>
    <row r="5" spans="1:44" ht="14">
      <c r="A5" s="100"/>
      <c r="B5" s="104" t="s">
        <v>505</v>
      </c>
      <c r="C5" s="518">
        <f>Datasheet!C12</f>
        <v>0</v>
      </c>
      <c r="D5" s="518"/>
      <c r="E5" s="518"/>
      <c r="F5" s="518"/>
      <c r="G5" s="518"/>
      <c r="H5" s="518"/>
      <c r="I5" s="266"/>
      <c r="J5" s="266"/>
      <c r="K5" s="266"/>
      <c r="L5" s="266"/>
      <c r="M5" s="266"/>
      <c r="N5" s="266"/>
      <c r="O5" s="266"/>
      <c r="P5" s="266"/>
      <c r="Q5" s="266"/>
      <c r="R5" s="266"/>
      <c r="S5" s="266"/>
      <c r="T5" s="266"/>
      <c r="U5" s="266"/>
      <c r="V5" s="266"/>
      <c r="W5" s="266"/>
      <c r="X5" s="266"/>
      <c r="Y5" s="266"/>
      <c r="Z5" s="266"/>
      <c r="AA5" s="266"/>
      <c r="AB5" s="266"/>
      <c r="AC5" s="266"/>
      <c r="AD5" s="266"/>
      <c r="AE5" s="266"/>
      <c r="AF5" s="266"/>
      <c r="AG5" s="101"/>
    </row>
    <row r="6" spans="1:44" ht="15">
      <c r="A6" s="100"/>
      <c r="B6" s="105" t="s">
        <v>506</v>
      </c>
      <c r="C6" s="521">
        <f>'Capacity overview'!D6</f>
        <v>0</v>
      </c>
      <c r="D6" s="521"/>
      <c r="E6" s="522" t="str">
        <f>IF(MAX(C26:AF26)&gt;C6,"The Oumber of shifts is higher thaO OomiOated Oumber of shifts/week!","")</f>
        <v/>
      </c>
      <c r="F6" s="522"/>
      <c r="G6" s="522"/>
      <c r="H6" s="522"/>
      <c r="I6" s="267"/>
      <c r="J6" s="267"/>
      <c r="K6" s="267"/>
      <c r="L6" s="267"/>
      <c r="M6" s="267"/>
      <c r="N6" s="267"/>
      <c r="O6" s="267"/>
      <c r="P6" s="267"/>
      <c r="Q6" s="267"/>
      <c r="R6" s="267"/>
      <c r="S6" s="267"/>
      <c r="T6" s="267"/>
      <c r="U6" s="267"/>
      <c r="V6" s="267"/>
      <c r="W6" s="267"/>
      <c r="X6" s="267"/>
      <c r="Y6" s="267"/>
      <c r="Z6" s="267"/>
      <c r="AA6" s="267"/>
      <c r="AB6" s="267"/>
      <c r="AC6" s="267"/>
      <c r="AD6" s="267"/>
      <c r="AE6" s="267"/>
      <c r="AF6" s="267"/>
      <c r="AG6" s="101"/>
    </row>
    <row r="7" spans="1:44" ht="14">
      <c r="A7" s="100"/>
      <c r="B7" s="130" t="s">
        <v>507</v>
      </c>
      <c r="C7" s="517">
        <f>IF('Capacity overview'!$I$7=1,'Capacity overview'!I22,'Capacity overview'!I21)</f>
        <v>0</v>
      </c>
      <c r="D7" s="517"/>
      <c r="E7" s="280"/>
      <c r="F7" s="280"/>
      <c r="G7" s="280"/>
      <c r="H7" s="160"/>
      <c r="I7" s="268"/>
      <c r="J7" s="268"/>
      <c r="K7" s="268"/>
      <c r="L7" s="268"/>
      <c r="M7" s="268"/>
      <c r="N7" s="268"/>
      <c r="O7" s="268"/>
      <c r="P7" s="268"/>
      <c r="Q7" s="268"/>
      <c r="R7" s="268"/>
      <c r="S7" s="268"/>
      <c r="T7" s="268"/>
      <c r="U7" s="268"/>
      <c r="V7" s="268"/>
      <c r="W7" s="268"/>
      <c r="X7" s="268"/>
      <c r="Y7" s="268"/>
      <c r="Z7" s="268"/>
      <c r="AA7" s="268"/>
      <c r="AB7" s="268"/>
      <c r="AC7" s="268"/>
      <c r="AD7" s="268"/>
      <c r="AE7" s="268"/>
      <c r="AF7" s="268"/>
      <c r="AG7" s="101"/>
    </row>
    <row r="8" spans="1:44">
      <c r="A8" s="100"/>
      <c r="B8" s="15"/>
      <c r="C8" s="131"/>
      <c r="D8" s="131"/>
      <c r="E8" s="281"/>
      <c r="F8" s="282"/>
      <c r="G8" s="282"/>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07"/>
    </row>
    <row r="9" spans="1:44" ht="18">
      <c r="A9" s="100"/>
      <c r="B9" s="15"/>
      <c r="C9" s="514"/>
      <c r="D9" s="516"/>
      <c r="E9" s="283"/>
      <c r="F9" s="284"/>
      <c r="G9" s="285"/>
      <c r="H9" s="286"/>
      <c r="I9" s="161"/>
      <c r="J9" s="161"/>
      <c r="K9" s="161"/>
      <c r="L9" s="161"/>
      <c r="M9" s="161"/>
      <c r="N9" s="161"/>
      <c r="O9" s="161"/>
      <c r="P9" s="161"/>
      <c r="Q9" s="161"/>
      <c r="R9" s="161"/>
      <c r="S9" s="161"/>
      <c r="T9" s="161"/>
      <c r="U9" s="161"/>
      <c r="V9" s="161"/>
      <c r="W9" s="161"/>
      <c r="X9" s="161"/>
      <c r="Y9" s="161"/>
      <c r="Z9" s="161"/>
      <c r="AA9" s="161"/>
      <c r="AB9" s="161"/>
      <c r="AC9" s="161"/>
      <c r="AD9" s="161"/>
      <c r="AE9" s="161"/>
      <c r="AF9" s="161"/>
      <c r="AG9" s="118"/>
    </row>
    <row r="10" spans="1:44">
      <c r="A10" s="100"/>
      <c r="B10" s="228"/>
      <c r="C10" s="516"/>
      <c r="D10" s="516"/>
      <c r="E10" s="283"/>
      <c r="F10" s="287"/>
      <c r="G10" s="288"/>
      <c r="H10" s="288"/>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07"/>
    </row>
    <row r="11" spans="1:44" ht="18">
      <c r="A11" s="100"/>
      <c r="B11" s="15"/>
      <c r="C11" s="516"/>
      <c r="D11" s="516"/>
      <c r="E11" s="283"/>
      <c r="F11" s="289"/>
      <c r="G11" s="289"/>
      <c r="H11" s="285"/>
      <c r="I11" s="161"/>
      <c r="J11" s="161"/>
      <c r="K11" s="161"/>
      <c r="L11" s="161"/>
      <c r="M11" s="161"/>
      <c r="N11" s="161"/>
      <c r="O11" s="161"/>
      <c r="P11" s="161"/>
      <c r="Q11" s="161"/>
      <c r="R11" s="161"/>
      <c r="S11" s="161"/>
      <c r="T11" s="161"/>
      <c r="U11" s="161"/>
      <c r="V11" s="161"/>
      <c r="W11" s="161"/>
      <c r="X11" s="161"/>
      <c r="Y11" s="161"/>
      <c r="Z11" s="161"/>
      <c r="AA11" s="161"/>
      <c r="AB11" s="161"/>
      <c r="AC11" s="161"/>
      <c r="AD11" s="161"/>
      <c r="AE11" s="161"/>
      <c r="AF11" s="161"/>
      <c r="AG11" s="118"/>
      <c r="AI11" s="147"/>
    </row>
    <row r="12" spans="1:44" s="98" customFormat="1" ht="11" thickBot="1">
      <c r="A12" s="127"/>
      <c r="B12" s="152"/>
      <c r="C12" s="229"/>
      <c r="D12" s="358">
        <f>'Capacity Calculation'!$D$13</f>
        <v>1</v>
      </c>
      <c r="G12" s="128"/>
      <c r="H12" s="163"/>
      <c r="I12" s="163"/>
      <c r="J12" s="163"/>
      <c r="K12" s="163"/>
      <c r="L12" s="163"/>
      <c r="M12" s="163"/>
      <c r="N12" s="163"/>
      <c r="O12" s="163"/>
      <c r="P12" s="163"/>
      <c r="Q12" s="163"/>
      <c r="R12" s="163"/>
      <c r="S12" s="163"/>
      <c r="T12" s="163"/>
      <c r="U12" s="163"/>
      <c r="V12" s="163"/>
      <c r="W12" s="163"/>
      <c r="X12" s="163"/>
      <c r="Y12" s="163"/>
      <c r="Z12" s="163"/>
      <c r="AA12" s="163"/>
      <c r="AB12" s="163"/>
      <c r="AC12" s="163"/>
      <c r="AD12" s="163"/>
      <c r="AE12" s="163"/>
      <c r="AF12" s="163"/>
      <c r="AG12" s="129"/>
    </row>
    <row r="13" spans="1:44" ht="18">
      <c r="A13" s="92"/>
      <c r="B13" s="93" t="s">
        <v>154</v>
      </c>
      <c r="C13" s="94"/>
      <c r="D13" s="94"/>
      <c r="E13" s="94"/>
      <c r="F13" s="94"/>
      <c r="K13" s="94"/>
      <c r="L13" s="94"/>
      <c r="M13" s="94"/>
      <c r="N13" s="94"/>
      <c r="O13" s="94"/>
      <c r="P13" s="94"/>
      <c r="Q13" s="94"/>
      <c r="R13" s="94"/>
      <c r="S13" s="94"/>
      <c r="T13" s="94"/>
      <c r="U13" s="94"/>
      <c r="V13" s="94"/>
      <c r="W13" s="94"/>
      <c r="X13" s="94"/>
      <c r="Y13" s="94"/>
      <c r="Z13" s="94"/>
      <c r="AA13" s="94"/>
      <c r="AB13" s="94"/>
      <c r="AC13" s="94"/>
      <c r="AD13" s="94"/>
      <c r="AE13" s="94"/>
      <c r="AF13" s="94"/>
      <c r="AG13" s="96"/>
    </row>
    <row r="14" spans="1:44" s="98" customFormat="1" ht="10">
      <c r="A14" s="97"/>
      <c r="AG14" s="99"/>
    </row>
    <row r="15" spans="1:44">
      <c r="A15" s="100"/>
      <c r="B15" s="109"/>
      <c r="C15" s="494" t="s">
        <v>155</v>
      </c>
      <c r="D15" s="494" t="s">
        <v>483</v>
      </c>
      <c r="E15" s="494" t="s">
        <v>484</v>
      </c>
      <c r="F15" s="494" t="s">
        <v>156</v>
      </c>
      <c r="G15" s="494" t="s">
        <v>157</v>
      </c>
      <c r="H15" s="495" t="s">
        <v>158</v>
      </c>
      <c r="I15" s="494" t="s">
        <v>159</v>
      </c>
      <c r="J15" s="494" t="s">
        <v>160</v>
      </c>
      <c r="K15" s="494" t="s">
        <v>161</v>
      </c>
      <c r="L15" s="494" t="s">
        <v>162</v>
      </c>
      <c r="M15" s="494" t="s">
        <v>163</v>
      </c>
      <c r="N15" s="494" t="s">
        <v>164</v>
      </c>
      <c r="O15" s="494" t="s">
        <v>485</v>
      </c>
      <c r="P15" s="494" t="s">
        <v>486</v>
      </c>
      <c r="Q15" s="494" t="s">
        <v>487</v>
      </c>
      <c r="R15" s="494" t="s">
        <v>488</v>
      </c>
      <c r="S15" s="494" t="s">
        <v>489</v>
      </c>
      <c r="T15" s="494" t="s">
        <v>490</v>
      </c>
      <c r="U15" s="494" t="s">
        <v>491</v>
      </c>
      <c r="V15" s="494" t="s">
        <v>492</v>
      </c>
      <c r="W15" s="494" t="s">
        <v>493</v>
      </c>
      <c r="X15" s="494" t="s">
        <v>494</v>
      </c>
      <c r="Y15" s="494" t="s">
        <v>495</v>
      </c>
      <c r="Z15" s="494" t="s">
        <v>496</v>
      </c>
      <c r="AA15" s="494" t="s">
        <v>497</v>
      </c>
      <c r="AB15" s="494" t="s">
        <v>498</v>
      </c>
      <c r="AC15" s="494" t="s">
        <v>499</v>
      </c>
      <c r="AD15" s="494" t="s">
        <v>500</v>
      </c>
      <c r="AE15" s="494" t="s">
        <v>501</v>
      </c>
      <c r="AF15" s="494" t="s">
        <v>502</v>
      </c>
      <c r="AG15" s="107"/>
    </row>
    <row r="16" spans="1:44" ht="18">
      <c r="A16" s="100"/>
      <c r="B16" s="125" t="s">
        <v>165</v>
      </c>
      <c r="C16" s="508"/>
      <c r="D16" s="508"/>
      <c r="E16" s="508"/>
      <c r="F16" s="508"/>
      <c r="G16" s="508"/>
      <c r="H16" s="508"/>
      <c r="I16" s="508"/>
      <c r="J16" s="116"/>
      <c r="K16" s="115"/>
      <c r="L16" s="116"/>
      <c r="M16" s="115"/>
      <c r="N16" s="116"/>
      <c r="O16" s="116"/>
      <c r="P16" s="116"/>
      <c r="Q16" s="116"/>
      <c r="R16" s="116"/>
      <c r="S16" s="116"/>
      <c r="T16" s="116"/>
      <c r="U16" s="116"/>
      <c r="V16" s="116"/>
      <c r="W16" s="116"/>
      <c r="X16" s="116"/>
      <c r="Y16" s="116"/>
      <c r="Z16" s="116"/>
      <c r="AA16" s="116"/>
      <c r="AB16" s="116"/>
      <c r="AC16" s="116"/>
      <c r="AD16" s="116"/>
      <c r="AE16" s="116"/>
      <c r="AF16" s="116"/>
      <c r="AG16" s="118"/>
    </row>
    <row r="17" spans="1:34">
      <c r="A17" s="100"/>
      <c r="B17" s="167" t="s">
        <v>166</v>
      </c>
      <c r="C17" s="502"/>
      <c r="D17" s="502"/>
      <c r="E17" s="507"/>
      <c r="F17" s="507"/>
      <c r="G17" s="507"/>
      <c r="H17" s="507"/>
      <c r="I17" s="502"/>
      <c r="J17" s="341"/>
      <c r="K17" s="341"/>
      <c r="L17" s="341"/>
      <c r="M17" s="341"/>
      <c r="N17" s="341"/>
      <c r="O17" s="341"/>
      <c r="P17" s="341"/>
      <c r="Q17" s="341"/>
      <c r="R17" s="341"/>
      <c r="S17" s="341"/>
      <c r="T17" s="341"/>
      <c r="U17" s="341"/>
      <c r="V17" s="341"/>
      <c r="W17" s="341"/>
      <c r="X17" s="341"/>
      <c r="Y17" s="341"/>
      <c r="Z17" s="341"/>
      <c r="AA17" s="341"/>
      <c r="AB17" s="341"/>
      <c r="AC17" s="341"/>
      <c r="AD17" s="341"/>
      <c r="AE17" s="341"/>
      <c r="AF17" s="341"/>
      <c r="AG17" s="107"/>
    </row>
    <row r="18" spans="1:34">
      <c r="A18" s="100"/>
      <c r="B18" s="168" t="s">
        <v>167</v>
      </c>
      <c r="C18" s="503"/>
      <c r="D18" s="503"/>
      <c r="E18" s="503"/>
      <c r="F18" s="503"/>
      <c r="G18" s="503"/>
      <c r="H18" s="503"/>
      <c r="I18" s="503"/>
      <c r="J18" s="401"/>
      <c r="K18" s="401"/>
      <c r="L18" s="401"/>
      <c r="M18" s="402"/>
      <c r="N18" s="401"/>
      <c r="O18" s="401"/>
      <c r="P18" s="401"/>
      <c r="Q18" s="401"/>
      <c r="R18" s="499"/>
      <c r="S18" s="499"/>
      <c r="T18" s="499"/>
      <c r="U18" s="499"/>
      <c r="V18" s="499"/>
      <c r="W18" s="401"/>
      <c r="X18" s="401"/>
      <c r="Y18" s="401"/>
      <c r="Z18" s="401"/>
      <c r="AA18" s="401"/>
      <c r="AB18" s="402"/>
      <c r="AC18" s="401"/>
      <c r="AD18" s="401"/>
      <c r="AE18" s="401"/>
      <c r="AF18" s="401"/>
      <c r="AG18" s="107"/>
    </row>
    <row r="19" spans="1:34">
      <c r="A19" s="100"/>
      <c r="B19" s="169" t="s">
        <v>168</v>
      </c>
      <c r="C19" s="504"/>
      <c r="D19" s="504"/>
      <c r="E19" s="504"/>
      <c r="F19" s="504"/>
      <c r="G19" s="504"/>
      <c r="H19" s="504"/>
      <c r="I19" s="504"/>
      <c r="J19" s="491"/>
      <c r="K19" s="491"/>
      <c r="L19" s="491"/>
      <c r="M19" s="491"/>
      <c r="N19" s="491"/>
      <c r="O19" s="491"/>
      <c r="P19" s="491"/>
      <c r="Q19" s="491"/>
      <c r="R19" s="491"/>
      <c r="S19" s="491"/>
      <c r="T19" s="491"/>
      <c r="U19" s="491"/>
      <c r="V19" s="491"/>
      <c r="W19" s="491"/>
      <c r="X19" s="491"/>
      <c r="Y19" s="491"/>
      <c r="Z19" s="491"/>
      <c r="AA19" s="491"/>
      <c r="AB19" s="491"/>
      <c r="AC19" s="491"/>
      <c r="AD19" s="491"/>
      <c r="AE19" s="491"/>
      <c r="AF19" s="491"/>
      <c r="AG19" s="107"/>
    </row>
    <row r="20" spans="1:34">
      <c r="A20" s="100"/>
      <c r="B20" s="169" t="s">
        <v>171</v>
      </c>
      <c r="C20" s="505"/>
      <c r="D20" s="505"/>
      <c r="E20" s="505"/>
      <c r="F20" s="505"/>
      <c r="G20" s="505"/>
      <c r="H20" s="505"/>
      <c r="I20" s="505"/>
      <c r="J20" s="492"/>
      <c r="K20" s="492"/>
      <c r="L20" s="492"/>
      <c r="M20" s="492"/>
      <c r="N20" s="492"/>
      <c r="O20" s="492"/>
      <c r="P20" s="492"/>
      <c r="Q20" s="492"/>
      <c r="R20" s="492"/>
      <c r="S20" s="492"/>
      <c r="T20" s="492"/>
      <c r="U20" s="492"/>
      <c r="V20" s="492"/>
      <c r="W20" s="492"/>
      <c r="X20" s="492"/>
      <c r="Y20" s="492"/>
      <c r="Z20" s="492"/>
      <c r="AA20" s="492"/>
      <c r="AB20" s="492"/>
      <c r="AC20" s="492"/>
      <c r="AD20" s="492"/>
      <c r="AE20" s="492"/>
      <c r="AF20" s="492"/>
      <c r="AG20" s="107"/>
    </row>
    <row r="21" spans="1:34">
      <c r="A21" s="100"/>
      <c r="B21" s="169" t="s">
        <v>169</v>
      </c>
      <c r="C21" s="506"/>
      <c r="D21" s="506"/>
      <c r="E21" s="506"/>
      <c r="F21" s="506"/>
      <c r="G21" s="506"/>
      <c r="H21" s="506"/>
      <c r="I21" s="506"/>
      <c r="J21" s="208"/>
      <c r="K21" s="208"/>
      <c r="L21" s="208"/>
      <c r="M21" s="209"/>
      <c r="N21" s="208"/>
      <c r="O21" s="208"/>
      <c r="P21" s="208"/>
      <c r="Q21" s="208"/>
      <c r="R21" s="208"/>
      <c r="S21" s="208"/>
      <c r="T21" s="208"/>
      <c r="U21" s="208"/>
      <c r="V21" s="209"/>
      <c r="W21" s="208"/>
      <c r="X21" s="208"/>
      <c r="Y21" s="208"/>
      <c r="Z21" s="208"/>
      <c r="AA21" s="208"/>
      <c r="AB21" s="209"/>
      <c r="AC21" s="208"/>
      <c r="AD21" s="208"/>
      <c r="AE21" s="208"/>
      <c r="AF21" s="208"/>
      <c r="AG21" s="107"/>
    </row>
    <row r="22" spans="1:34">
      <c r="A22" s="100"/>
      <c r="B22" s="169" t="s">
        <v>170</v>
      </c>
      <c r="C22" s="505"/>
      <c r="D22" s="505"/>
      <c r="E22" s="505"/>
      <c r="F22" s="505"/>
      <c r="G22" s="505"/>
      <c r="H22" s="505"/>
      <c r="I22" s="505"/>
      <c r="J22" s="403"/>
      <c r="K22" s="403"/>
      <c r="L22" s="403"/>
      <c r="M22" s="404"/>
      <c r="N22" s="403"/>
      <c r="O22" s="403"/>
      <c r="P22" s="403"/>
      <c r="Q22" s="403"/>
      <c r="R22" s="499"/>
      <c r="S22" s="403"/>
      <c r="T22" s="499"/>
      <c r="U22" s="499"/>
      <c r="V22" s="403"/>
      <c r="W22" s="403"/>
      <c r="X22" s="403"/>
      <c r="Y22" s="403"/>
      <c r="Z22" s="403"/>
      <c r="AA22" s="403"/>
      <c r="AB22" s="404"/>
      <c r="AC22" s="403"/>
      <c r="AD22" s="403"/>
      <c r="AE22" s="403"/>
      <c r="AF22" s="403"/>
      <c r="AG22" s="107"/>
    </row>
    <row r="23" spans="1:34" s="98" customFormat="1" ht="10">
      <c r="A23" s="97"/>
      <c r="B23" s="110"/>
      <c r="C23" s="132"/>
      <c r="D23" s="132"/>
      <c r="E23" s="132"/>
      <c r="F23" s="132"/>
      <c r="G23" s="132"/>
      <c r="H23" s="133"/>
      <c r="I23" s="132"/>
      <c r="J23" s="132"/>
      <c r="K23" s="132"/>
      <c r="L23" s="132"/>
      <c r="M23" s="132"/>
      <c r="N23" s="133"/>
      <c r="O23" s="133"/>
      <c r="P23" s="133"/>
      <c r="Q23" s="133"/>
      <c r="R23" s="133"/>
      <c r="S23" s="133"/>
      <c r="T23" s="133"/>
      <c r="U23" s="133"/>
      <c r="V23" s="133"/>
      <c r="W23" s="133"/>
      <c r="X23" s="133"/>
      <c r="Y23" s="133"/>
      <c r="Z23" s="133"/>
      <c r="AA23" s="133"/>
      <c r="AB23" s="133"/>
      <c r="AC23" s="133"/>
      <c r="AD23" s="133"/>
      <c r="AE23" s="133"/>
      <c r="AF23" s="133"/>
      <c r="AG23" s="99"/>
    </row>
    <row r="24" spans="1:34" ht="18">
      <c r="A24" s="100"/>
      <c r="B24" s="125" t="s">
        <v>172</v>
      </c>
      <c r="C24" s="134"/>
      <c r="D24" s="134"/>
      <c r="E24" s="134"/>
      <c r="F24" s="134"/>
      <c r="G24" s="134"/>
      <c r="H24" s="135"/>
      <c r="I24" s="134"/>
      <c r="J24" s="134"/>
      <c r="K24" s="134"/>
      <c r="L24" s="134"/>
      <c r="M24" s="134"/>
      <c r="N24" s="135"/>
      <c r="O24" s="135"/>
      <c r="P24" s="135"/>
      <c r="Q24" s="135"/>
      <c r="R24" s="135"/>
      <c r="S24" s="135"/>
      <c r="T24" s="135"/>
      <c r="U24" s="135"/>
      <c r="V24" s="135"/>
      <c r="W24" s="135"/>
      <c r="X24" s="135"/>
      <c r="Y24" s="135"/>
      <c r="Z24" s="135"/>
      <c r="AA24" s="135"/>
      <c r="AB24" s="135"/>
      <c r="AC24" s="135"/>
      <c r="AD24" s="135"/>
      <c r="AE24" s="135"/>
      <c r="AF24" s="135"/>
      <c r="AG24" s="118"/>
    </row>
    <row r="25" spans="1:34">
      <c r="A25" s="100"/>
      <c r="B25" s="170" t="s">
        <v>173</v>
      </c>
      <c r="C25" s="371"/>
      <c r="D25" s="371"/>
      <c r="E25" s="371"/>
      <c r="F25" s="371"/>
      <c r="G25" s="509"/>
      <c r="H25" s="509"/>
      <c r="I25" s="371"/>
      <c r="J25" s="371"/>
      <c r="K25" s="371"/>
      <c r="L25" s="371"/>
      <c r="M25" s="371"/>
      <c r="N25" s="371"/>
      <c r="O25" s="371"/>
      <c r="P25" s="371"/>
      <c r="Q25" s="371"/>
      <c r="R25" s="371"/>
      <c r="S25" s="371"/>
      <c r="T25" s="371"/>
      <c r="U25" s="371"/>
      <c r="V25" s="371"/>
      <c r="W25" s="371"/>
      <c r="X25" s="371"/>
      <c r="Y25" s="371"/>
      <c r="Z25" s="371"/>
      <c r="AA25" s="371"/>
      <c r="AB25" s="371"/>
      <c r="AC25" s="371"/>
      <c r="AD25" s="371"/>
      <c r="AE25" s="371"/>
      <c r="AF25" s="371"/>
      <c r="AG25" s="107"/>
    </row>
    <row r="26" spans="1:34">
      <c r="A26" s="100"/>
      <c r="B26" s="171" t="s">
        <v>174</v>
      </c>
      <c r="C26" s="372"/>
      <c r="D26" s="372"/>
      <c r="E26" s="372"/>
      <c r="F26" s="372"/>
      <c r="G26" s="372"/>
      <c r="H26" s="372"/>
      <c r="I26" s="372"/>
      <c r="J26" s="372"/>
      <c r="K26" s="372"/>
      <c r="L26" s="372"/>
      <c r="M26" s="372"/>
      <c r="N26" s="372"/>
      <c r="O26" s="372"/>
      <c r="P26" s="372"/>
      <c r="Q26" s="372"/>
      <c r="R26" s="372"/>
      <c r="S26" s="372"/>
      <c r="T26" s="372"/>
      <c r="U26" s="372"/>
      <c r="V26" s="372"/>
      <c r="W26" s="372"/>
      <c r="X26" s="372"/>
      <c r="Y26" s="372"/>
      <c r="Z26" s="372"/>
      <c r="AA26" s="372"/>
      <c r="AB26" s="372"/>
      <c r="AC26" s="372"/>
      <c r="AD26" s="372"/>
      <c r="AE26" s="372"/>
      <c r="AF26" s="372"/>
      <c r="AG26" s="107"/>
    </row>
    <row r="27" spans="1:34">
      <c r="A27" s="100"/>
      <c r="B27" s="171" t="s">
        <v>175</v>
      </c>
      <c r="C27" s="136"/>
      <c r="D27" s="136"/>
      <c r="E27" s="136"/>
      <c r="F27" s="136"/>
      <c r="G27" s="137"/>
      <c r="H27" s="137"/>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07"/>
    </row>
    <row r="28" spans="1:34">
      <c r="A28" s="100"/>
      <c r="B28" s="112" t="s">
        <v>176</v>
      </c>
      <c r="C28" s="138" t="str">
        <f>IFERROR(IF(C27="","",C27/60),0)</f>
        <v/>
      </c>
      <c r="D28" s="138" t="str">
        <f t="shared" ref="D28:M28" si="0">IFERROR(IF(D27="","",D27/60),0)</f>
        <v/>
      </c>
      <c r="E28" s="138" t="str">
        <f t="shared" si="0"/>
        <v/>
      </c>
      <c r="F28" s="138" t="str">
        <f t="shared" si="0"/>
        <v/>
      </c>
      <c r="G28" s="138" t="str">
        <f t="shared" si="0"/>
        <v/>
      </c>
      <c r="H28" s="139" t="str">
        <f t="shared" si="0"/>
        <v/>
      </c>
      <c r="I28" s="138" t="str">
        <f t="shared" si="0"/>
        <v/>
      </c>
      <c r="J28" s="138" t="str">
        <f t="shared" si="0"/>
        <v/>
      </c>
      <c r="K28" s="138" t="str">
        <f t="shared" si="0"/>
        <v/>
      </c>
      <c r="L28" s="138" t="str">
        <f t="shared" si="0"/>
        <v/>
      </c>
      <c r="M28" s="138" t="str">
        <f t="shared" si="0"/>
        <v/>
      </c>
      <c r="N28" s="138" t="str">
        <f t="shared" ref="N28:AF28" si="1">IFERROR(IF(N27="","",N27/60),0)</f>
        <v/>
      </c>
      <c r="O28" s="138" t="str">
        <f t="shared" si="1"/>
        <v/>
      </c>
      <c r="P28" s="138" t="str">
        <f t="shared" si="1"/>
        <v/>
      </c>
      <c r="Q28" s="138" t="str">
        <f t="shared" si="1"/>
        <v/>
      </c>
      <c r="R28" s="138" t="str">
        <f t="shared" si="1"/>
        <v/>
      </c>
      <c r="S28" s="138" t="str">
        <f t="shared" si="1"/>
        <v/>
      </c>
      <c r="T28" s="138" t="str">
        <f t="shared" si="1"/>
        <v/>
      </c>
      <c r="U28" s="138" t="str">
        <f t="shared" si="1"/>
        <v/>
      </c>
      <c r="V28" s="138" t="str">
        <f t="shared" si="1"/>
        <v/>
      </c>
      <c r="W28" s="138" t="str">
        <f t="shared" si="1"/>
        <v/>
      </c>
      <c r="X28" s="138" t="str">
        <f t="shared" si="1"/>
        <v/>
      </c>
      <c r="Y28" s="138" t="str">
        <f t="shared" si="1"/>
        <v/>
      </c>
      <c r="Z28" s="138" t="str">
        <f t="shared" si="1"/>
        <v/>
      </c>
      <c r="AA28" s="138" t="str">
        <f t="shared" si="1"/>
        <v/>
      </c>
      <c r="AB28" s="138" t="str">
        <f t="shared" si="1"/>
        <v/>
      </c>
      <c r="AC28" s="138" t="str">
        <f t="shared" si="1"/>
        <v/>
      </c>
      <c r="AD28" s="138" t="str">
        <f t="shared" si="1"/>
        <v/>
      </c>
      <c r="AE28" s="138" t="str">
        <f t="shared" si="1"/>
        <v/>
      </c>
      <c r="AF28" s="138" t="str">
        <f t="shared" si="1"/>
        <v/>
      </c>
      <c r="AG28" s="107"/>
    </row>
    <row r="29" spans="1:34">
      <c r="A29" s="100"/>
      <c r="B29" s="113" t="s">
        <v>177</v>
      </c>
      <c r="C29" s="373" t="str">
        <f>IFERROR(IF(C28="","",C28*C26),0)</f>
        <v/>
      </c>
      <c r="D29" s="373" t="str">
        <f t="shared" ref="D29:M29" si="2">IFERROR(IF(D28="","",D28*D26),0)</f>
        <v/>
      </c>
      <c r="E29" s="373" t="str">
        <f t="shared" si="2"/>
        <v/>
      </c>
      <c r="F29" s="373" t="str">
        <f t="shared" si="2"/>
        <v/>
      </c>
      <c r="G29" s="373" t="str">
        <f t="shared" si="2"/>
        <v/>
      </c>
      <c r="H29" s="382" t="str">
        <f t="shared" si="2"/>
        <v/>
      </c>
      <c r="I29" s="373" t="str">
        <f t="shared" si="2"/>
        <v/>
      </c>
      <c r="J29" s="373" t="str">
        <f t="shared" si="2"/>
        <v/>
      </c>
      <c r="K29" s="373" t="str">
        <f t="shared" si="2"/>
        <v/>
      </c>
      <c r="L29" s="373" t="str">
        <f t="shared" si="2"/>
        <v/>
      </c>
      <c r="M29" s="373" t="str">
        <f t="shared" si="2"/>
        <v/>
      </c>
      <c r="N29" s="373" t="str">
        <f t="shared" ref="N29:AF29" si="3">IFERROR(IF(N28="","",N28*N26),0)</f>
        <v/>
      </c>
      <c r="O29" s="373" t="str">
        <f t="shared" si="3"/>
        <v/>
      </c>
      <c r="P29" s="373" t="str">
        <f t="shared" si="3"/>
        <v/>
      </c>
      <c r="Q29" s="373" t="str">
        <f t="shared" si="3"/>
        <v/>
      </c>
      <c r="R29" s="373" t="str">
        <f t="shared" si="3"/>
        <v/>
      </c>
      <c r="S29" s="373" t="str">
        <f t="shared" si="3"/>
        <v/>
      </c>
      <c r="T29" s="373" t="str">
        <f t="shared" si="3"/>
        <v/>
      </c>
      <c r="U29" s="373" t="str">
        <f t="shared" si="3"/>
        <v/>
      </c>
      <c r="V29" s="373" t="str">
        <f t="shared" si="3"/>
        <v/>
      </c>
      <c r="W29" s="373" t="str">
        <f t="shared" si="3"/>
        <v/>
      </c>
      <c r="X29" s="373" t="str">
        <f t="shared" si="3"/>
        <v/>
      </c>
      <c r="Y29" s="373" t="str">
        <f t="shared" si="3"/>
        <v/>
      </c>
      <c r="Z29" s="373" t="str">
        <f t="shared" si="3"/>
        <v/>
      </c>
      <c r="AA29" s="373" t="str">
        <f t="shared" si="3"/>
        <v/>
      </c>
      <c r="AB29" s="373" t="str">
        <f t="shared" si="3"/>
        <v/>
      </c>
      <c r="AC29" s="373" t="str">
        <f t="shared" si="3"/>
        <v/>
      </c>
      <c r="AD29" s="373" t="str">
        <f t="shared" si="3"/>
        <v/>
      </c>
      <c r="AE29" s="373" t="str">
        <f t="shared" si="3"/>
        <v/>
      </c>
      <c r="AF29" s="373" t="str">
        <f t="shared" si="3"/>
        <v/>
      </c>
      <c r="AG29" s="107"/>
    </row>
    <row r="30" spans="1:34" s="98" customFormat="1" ht="10">
      <c r="A30" s="97"/>
      <c r="B30" s="110"/>
      <c r="C30" s="132"/>
      <c r="D30" s="132"/>
      <c r="E30" s="132"/>
      <c r="F30" s="132"/>
      <c r="G30" s="132"/>
      <c r="H30" s="133"/>
      <c r="I30" s="132"/>
      <c r="J30" s="132"/>
      <c r="K30" s="132"/>
      <c r="L30" s="132"/>
      <c r="M30" s="132"/>
      <c r="N30" s="133"/>
      <c r="O30" s="133"/>
      <c r="P30" s="133"/>
      <c r="Q30" s="133"/>
      <c r="R30" s="133"/>
      <c r="S30" s="133"/>
      <c r="T30" s="133"/>
      <c r="U30" s="133"/>
      <c r="V30" s="133"/>
      <c r="W30" s="133"/>
      <c r="X30" s="133"/>
      <c r="Y30" s="133"/>
      <c r="Z30" s="133"/>
      <c r="AA30" s="133"/>
      <c r="AB30" s="133"/>
      <c r="AC30" s="133"/>
      <c r="AD30" s="133"/>
      <c r="AE30" s="133"/>
      <c r="AF30" s="133"/>
      <c r="AG30" s="99"/>
    </row>
    <row r="31" spans="1:34" ht="18">
      <c r="A31" s="100"/>
      <c r="B31" s="125" t="s">
        <v>178</v>
      </c>
      <c r="C31" s="134"/>
      <c r="D31" s="134"/>
      <c r="E31" s="134"/>
      <c r="F31" s="134"/>
      <c r="G31" s="134"/>
      <c r="H31" s="135"/>
      <c r="I31" s="134"/>
      <c r="J31" s="134"/>
      <c r="K31" s="134"/>
      <c r="L31" s="134"/>
      <c r="M31" s="134"/>
      <c r="N31" s="135"/>
      <c r="O31" s="135"/>
      <c r="P31" s="135"/>
      <c r="Q31" s="135"/>
      <c r="R31" s="135"/>
      <c r="S31" s="135"/>
      <c r="T31" s="135"/>
      <c r="U31" s="135"/>
      <c r="V31" s="135"/>
      <c r="W31" s="135"/>
      <c r="X31" s="135"/>
      <c r="Y31" s="135"/>
      <c r="Z31" s="135"/>
      <c r="AA31" s="135"/>
      <c r="AB31" s="135"/>
      <c r="AC31" s="135"/>
      <c r="AD31" s="135"/>
      <c r="AE31" s="135"/>
      <c r="AF31" s="135"/>
      <c r="AG31" s="118"/>
    </row>
    <row r="32" spans="1:34">
      <c r="A32" s="100"/>
      <c r="B32" s="170" t="s">
        <v>235</v>
      </c>
      <c r="C32" s="179"/>
      <c r="D32" s="179"/>
      <c r="E32" s="179"/>
      <c r="F32" s="179"/>
      <c r="G32" s="179"/>
      <c r="H32" s="179"/>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07"/>
      <c r="AH32" s="147"/>
    </row>
    <row r="33" spans="1:38" ht="14">
      <c r="A33" s="100"/>
      <c r="B33" s="180" t="s">
        <v>237</v>
      </c>
      <c r="C33" s="178"/>
      <c r="D33" s="178"/>
      <c r="E33" s="178"/>
      <c r="F33" s="178"/>
      <c r="G33" s="178"/>
      <c r="H33" s="178"/>
      <c r="I33" s="178"/>
      <c r="J33" s="178"/>
      <c r="K33" s="178"/>
      <c r="L33" s="178"/>
      <c r="M33" s="178"/>
      <c r="N33" s="178"/>
      <c r="O33" s="178"/>
      <c r="P33" s="178"/>
      <c r="Q33" s="178"/>
      <c r="R33" s="178"/>
      <c r="S33" s="178"/>
      <c r="T33" s="178"/>
      <c r="U33" s="178"/>
      <c r="V33" s="178"/>
      <c r="W33" s="178"/>
      <c r="X33" s="178"/>
      <c r="Y33" s="178"/>
      <c r="Z33" s="178"/>
      <c r="AA33" s="178"/>
      <c r="AB33" s="178"/>
      <c r="AC33" s="178"/>
      <c r="AD33" s="178"/>
      <c r="AE33" s="178"/>
      <c r="AF33" s="178"/>
      <c r="AG33" s="107"/>
    </row>
    <row r="34" spans="1:38">
      <c r="A34" s="100"/>
      <c r="B34" s="111" t="s">
        <v>179</v>
      </c>
      <c r="C34" s="177" t="str">
        <f>IFERROR(C32*(C27+C33)/C27,"")</f>
        <v/>
      </c>
      <c r="D34" s="177" t="str">
        <f t="shared" ref="D34:M34" si="4">IFERROR(D32*(D27+D33)/D27,"")</f>
        <v/>
      </c>
      <c r="E34" s="177" t="str">
        <f t="shared" si="4"/>
        <v/>
      </c>
      <c r="F34" s="177" t="str">
        <f t="shared" si="4"/>
        <v/>
      </c>
      <c r="G34" s="177" t="str">
        <f t="shared" si="4"/>
        <v/>
      </c>
      <c r="H34" s="292" t="str">
        <f t="shared" si="4"/>
        <v/>
      </c>
      <c r="I34" s="177" t="str">
        <f t="shared" si="4"/>
        <v/>
      </c>
      <c r="J34" s="177" t="str">
        <f t="shared" si="4"/>
        <v/>
      </c>
      <c r="K34" s="177" t="str">
        <f t="shared" si="4"/>
        <v/>
      </c>
      <c r="L34" s="177" t="str">
        <f t="shared" si="4"/>
        <v/>
      </c>
      <c r="M34" s="177" t="str">
        <f t="shared" si="4"/>
        <v/>
      </c>
      <c r="N34" s="177" t="str">
        <f t="shared" ref="N34:AF34" si="5">IFERROR(N32*(N27+N33)/N27,"")</f>
        <v/>
      </c>
      <c r="O34" s="177" t="str">
        <f t="shared" si="5"/>
        <v/>
      </c>
      <c r="P34" s="177" t="str">
        <f t="shared" si="5"/>
        <v/>
      </c>
      <c r="Q34" s="177" t="str">
        <f t="shared" si="5"/>
        <v/>
      </c>
      <c r="R34" s="177" t="str">
        <f t="shared" si="5"/>
        <v/>
      </c>
      <c r="S34" s="177" t="str">
        <f t="shared" si="5"/>
        <v/>
      </c>
      <c r="T34" s="177" t="str">
        <f t="shared" si="5"/>
        <v/>
      </c>
      <c r="U34" s="177" t="str">
        <f t="shared" si="5"/>
        <v/>
      </c>
      <c r="V34" s="177" t="str">
        <f t="shared" si="5"/>
        <v/>
      </c>
      <c r="W34" s="177" t="str">
        <f t="shared" si="5"/>
        <v/>
      </c>
      <c r="X34" s="177" t="str">
        <f t="shared" si="5"/>
        <v/>
      </c>
      <c r="Y34" s="177" t="str">
        <f t="shared" si="5"/>
        <v/>
      </c>
      <c r="Z34" s="177" t="str">
        <f t="shared" si="5"/>
        <v/>
      </c>
      <c r="AA34" s="177" t="str">
        <f t="shared" si="5"/>
        <v/>
      </c>
      <c r="AB34" s="177" t="str">
        <f t="shared" si="5"/>
        <v/>
      </c>
      <c r="AC34" s="177" t="str">
        <f t="shared" si="5"/>
        <v/>
      </c>
      <c r="AD34" s="177" t="str">
        <f t="shared" si="5"/>
        <v/>
      </c>
      <c r="AE34" s="177" t="str">
        <f t="shared" si="5"/>
        <v/>
      </c>
      <c r="AF34" s="177" t="str">
        <f t="shared" si="5"/>
        <v/>
      </c>
      <c r="AG34" s="107"/>
    </row>
    <row r="35" spans="1:38">
      <c r="A35" s="100"/>
      <c r="B35" s="109" t="s">
        <v>180</v>
      </c>
      <c r="C35" s="374" t="str">
        <f>IF(C34="","",C29*C34)</f>
        <v/>
      </c>
      <c r="D35" s="374" t="str">
        <f t="shared" ref="D35:M35" si="6">IF(D34="","",D29*D34)</f>
        <v/>
      </c>
      <c r="E35" s="374" t="str">
        <f t="shared" si="6"/>
        <v/>
      </c>
      <c r="F35" s="374" t="str">
        <f t="shared" si="6"/>
        <v/>
      </c>
      <c r="G35" s="374" t="str">
        <f t="shared" si="6"/>
        <v/>
      </c>
      <c r="H35" s="383" t="str">
        <f t="shared" si="6"/>
        <v/>
      </c>
      <c r="I35" s="374" t="str">
        <f t="shared" si="6"/>
        <v/>
      </c>
      <c r="J35" s="374" t="str">
        <f t="shared" si="6"/>
        <v/>
      </c>
      <c r="K35" s="374" t="str">
        <f t="shared" si="6"/>
        <v/>
      </c>
      <c r="L35" s="374" t="str">
        <f t="shared" si="6"/>
        <v/>
      </c>
      <c r="M35" s="374" t="str">
        <f t="shared" si="6"/>
        <v/>
      </c>
      <c r="N35" s="374" t="str">
        <f t="shared" ref="N35:AF35" si="7">IF(N34="","",N29*N34)</f>
        <v/>
      </c>
      <c r="O35" s="374" t="str">
        <f t="shared" si="7"/>
        <v/>
      </c>
      <c r="P35" s="374" t="str">
        <f t="shared" si="7"/>
        <v/>
      </c>
      <c r="Q35" s="374" t="str">
        <f t="shared" si="7"/>
        <v/>
      </c>
      <c r="R35" s="374" t="str">
        <f t="shared" si="7"/>
        <v/>
      </c>
      <c r="S35" s="374" t="str">
        <f t="shared" si="7"/>
        <v/>
      </c>
      <c r="T35" s="374" t="str">
        <f t="shared" si="7"/>
        <v/>
      </c>
      <c r="U35" s="374" t="str">
        <f t="shared" si="7"/>
        <v/>
      </c>
      <c r="V35" s="374" t="str">
        <f t="shared" si="7"/>
        <v/>
      </c>
      <c r="W35" s="374" t="str">
        <f t="shared" si="7"/>
        <v/>
      </c>
      <c r="X35" s="374" t="str">
        <f t="shared" si="7"/>
        <v/>
      </c>
      <c r="Y35" s="374" t="str">
        <f t="shared" si="7"/>
        <v/>
      </c>
      <c r="Z35" s="374" t="str">
        <f t="shared" si="7"/>
        <v/>
      </c>
      <c r="AA35" s="374" t="str">
        <f t="shared" si="7"/>
        <v/>
      </c>
      <c r="AB35" s="374" t="str">
        <f t="shared" si="7"/>
        <v/>
      </c>
      <c r="AC35" s="374" t="str">
        <f t="shared" si="7"/>
        <v/>
      </c>
      <c r="AD35" s="374" t="str">
        <f t="shared" si="7"/>
        <v/>
      </c>
      <c r="AE35" s="374" t="str">
        <f t="shared" si="7"/>
        <v/>
      </c>
      <c r="AF35" s="374" t="str">
        <f t="shared" si="7"/>
        <v/>
      </c>
      <c r="AG35" s="107"/>
    </row>
    <row r="36" spans="1:38" s="98" customFormat="1">
      <c r="A36" s="97"/>
      <c r="B36" s="110"/>
      <c r="C36" s="173"/>
      <c r="D36" s="173"/>
      <c r="E36" s="173"/>
      <c r="F36" s="173"/>
      <c r="G36" s="173"/>
      <c r="H36" s="174"/>
      <c r="I36" s="173"/>
      <c r="J36" s="173"/>
      <c r="K36" s="173"/>
      <c r="L36" s="173"/>
      <c r="M36" s="173"/>
      <c r="N36" s="174"/>
      <c r="O36" s="174"/>
      <c r="P36" s="174"/>
      <c r="Q36" s="174"/>
      <c r="R36" s="174"/>
      <c r="S36" s="174"/>
      <c r="T36" s="174"/>
      <c r="U36" s="174"/>
      <c r="V36" s="174"/>
      <c r="W36" s="174"/>
      <c r="X36" s="174"/>
      <c r="Y36" s="174"/>
      <c r="Z36" s="174"/>
      <c r="AA36" s="174"/>
      <c r="AB36" s="174"/>
      <c r="AC36" s="174"/>
      <c r="AD36" s="174"/>
      <c r="AE36" s="174"/>
      <c r="AF36" s="174"/>
      <c r="AG36" s="99"/>
      <c r="AH36" s="91"/>
      <c r="AI36" s="91"/>
      <c r="AL36" s="91"/>
    </row>
    <row r="37" spans="1:38">
      <c r="A37" s="100"/>
      <c r="B37" s="170" t="s">
        <v>509</v>
      </c>
      <c r="C37" s="140"/>
      <c r="D37" s="140"/>
      <c r="E37" s="140"/>
      <c r="F37" s="140"/>
      <c r="G37" s="51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07"/>
    </row>
    <row r="38" spans="1:38">
      <c r="A38" s="100"/>
      <c r="B38" s="112" t="s">
        <v>182</v>
      </c>
      <c r="C38" s="375" t="str">
        <f>IFERROR(IF(C37="","",C35*C37),"")</f>
        <v/>
      </c>
      <c r="D38" s="375" t="str">
        <f t="shared" ref="D38:M38" si="8">IFERROR(IF(D37="","",D35*D37),"")</f>
        <v/>
      </c>
      <c r="E38" s="375" t="str">
        <f t="shared" si="8"/>
        <v/>
      </c>
      <c r="F38" s="375" t="str">
        <f t="shared" si="8"/>
        <v/>
      </c>
      <c r="G38" s="375" t="str">
        <f t="shared" si="8"/>
        <v/>
      </c>
      <c r="H38" s="384" t="str">
        <f t="shared" si="8"/>
        <v/>
      </c>
      <c r="I38" s="375" t="str">
        <f t="shared" si="8"/>
        <v/>
      </c>
      <c r="J38" s="375" t="str">
        <f t="shared" si="8"/>
        <v/>
      </c>
      <c r="K38" s="375" t="str">
        <f t="shared" si="8"/>
        <v/>
      </c>
      <c r="L38" s="375" t="str">
        <f t="shared" si="8"/>
        <v/>
      </c>
      <c r="M38" s="375" t="str">
        <f t="shared" si="8"/>
        <v/>
      </c>
      <c r="N38" s="375" t="str">
        <f t="shared" ref="N38:AF38" si="9">IFERROR(IF(N37="","",N35*N37),"")</f>
        <v/>
      </c>
      <c r="O38" s="375" t="str">
        <f t="shared" si="9"/>
        <v/>
      </c>
      <c r="P38" s="375" t="str">
        <f t="shared" si="9"/>
        <v/>
      </c>
      <c r="Q38" s="375" t="str">
        <f t="shared" si="9"/>
        <v/>
      </c>
      <c r="R38" s="375" t="str">
        <f t="shared" si="9"/>
        <v/>
      </c>
      <c r="S38" s="375" t="str">
        <f t="shared" si="9"/>
        <v/>
      </c>
      <c r="T38" s="375" t="str">
        <f t="shared" si="9"/>
        <v/>
      </c>
      <c r="U38" s="375" t="str">
        <f t="shared" si="9"/>
        <v/>
      </c>
      <c r="V38" s="375" t="str">
        <f t="shared" si="9"/>
        <v/>
      </c>
      <c r="W38" s="375" t="str">
        <f t="shared" si="9"/>
        <v/>
      </c>
      <c r="X38" s="375" t="str">
        <f t="shared" si="9"/>
        <v/>
      </c>
      <c r="Y38" s="375" t="str">
        <f t="shared" si="9"/>
        <v/>
      </c>
      <c r="Z38" s="375" t="str">
        <f t="shared" si="9"/>
        <v/>
      </c>
      <c r="AA38" s="375" t="str">
        <f t="shared" si="9"/>
        <v/>
      </c>
      <c r="AB38" s="375" t="str">
        <f t="shared" si="9"/>
        <v/>
      </c>
      <c r="AC38" s="375" t="str">
        <f t="shared" si="9"/>
        <v/>
      </c>
      <c r="AD38" s="375" t="str">
        <f t="shared" si="9"/>
        <v/>
      </c>
      <c r="AE38" s="375" t="str">
        <f t="shared" si="9"/>
        <v/>
      </c>
      <c r="AF38" s="375" t="str">
        <f t="shared" si="9"/>
        <v/>
      </c>
      <c r="AG38" s="107"/>
    </row>
    <row r="39" spans="1:38">
      <c r="A39" s="100"/>
      <c r="B39" s="112" t="s">
        <v>183</v>
      </c>
      <c r="C39" s="175" t="str">
        <f>IFERROR(IF(C37="","",1-C37),"")</f>
        <v/>
      </c>
      <c r="D39" s="175" t="str">
        <f t="shared" ref="D39:M39" si="10">IFERROR(IF(D37="","",1-D37),"")</f>
        <v/>
      </c>
      <c r="E39" s="175" t="str">
        <f t="shared" si="10"/>
        <v/>
      </c>
      <c r="F39" s="175" t="str">
        <f t="shared" si="10"/>
        <v/>
      </c>
      <c r="G39" s="175" t="str">
        <f t="shared" si="10"/>
        <v/>
      </c>
      <c r="H39" s="184" t="str">
        <f t="shared" si="10"/>
        <v/>
      </c>
      <c r="I39" s="175" t="str">
        <f t="shared" si="10"/>
        <v/>
      </c>
      <c r="J39" s="175" t="str">
        <f t="shared" si="10"/>
        <v/>
      </c>
      <c r="K39" s="175" t="str">
        <f t="shared" si="10"/>
        <v/>
      </c>
      <c r="L39" s="175" t="str">
        <f t="shared" si="10"/>
        <v/>
      </c>
      <c r="M39" s="175" t="str">
        <f t="shared" si="10"/>
        <v/>
      </c>
      <c r="N39" s="175" t="str">
        <f t="shared" ref="N39:AE39" si="11">IFERROR(IF(N37="","",1-N37),"")</f>
        <v/>
      </c>
      <c r="O39" s="175" t="str">
        <f t="shared" si="11"/>
        <v/>
      </c>
      <c r="P39" s="175" t="str">
        <f t="shared" si="11"/>
        <v/>
      </c>
      <c r="Q39" s="175" t="str">
        <f t="shared" si="11"/>
        <v/>
      </c>
      <c r="R39" s="175" t="str">
        <f t="shared" si="11"/>
        <v/>
      </c>
      <c r="S39" s="175" t="str">
        <f t="shared" si="11"/>
        <v/>
      </c>
      <c r="T39" s="175" t="str">
        <f t="shared" si="11"/>
        <v/>
      </c>
      <c r="U39" s="175" t="str">
        <f t="shared" si="11"/>
        <v/>
      </c>
      <c r="V39" s="175" t="str">
        <f t="shared" si="11"/>
        <v/>
      </c>
      <c r="W39" s="175" t="str">
        <f t="shared" si="11"/>
        <v/>
      </c>
      <c r="X39" s="175" t="str">
        <f t="shared" si="11"/>
        <v/>
      </c>
      <c r="Y39" s="175" t="str">
        <f t="shared" si="11"/>
        <v/>
      </c>
      <c r="Z39" s="175" t="str">
        <f t="shared" si="11"/>
        <v/>
      </c>
      <c r="AA39" s="175" t="str">
        <f t="shared" si="11"/>
        <v/>
      </c>
      <c r="AB39" s="175" t="str">
        <f t="shared" si="11"/>
        <v/>
      </c>
      <c r="AC39" s="175" t="str">
        <f t="shared" si="11"/>
        <v/>
      </c>
      <c r="AD39" s="175" t="str">
        <f t="shared" si="11"/>
        <v/>
      </c>
      <c r="AE39" s="175" t="str">
        <f t="shared" si="11"/>
        <v/>
      </c>
      <c r="AF39" s="175" t="str">
        <f>IFERROR(IF(AF37="","",1-AF37),"")</f>
        <v/>
      </c>
      <c r="AG39" s="107"/>
    </row>
    <row r="40" spans="1:38">
      <c r="A40" s="100"/>
      <c r="B40" s="113" t="s">
        <v>184</v>
      </c>
      <c r="C40" s="376" t="str">
        <f>IFERROR(IF(C39="","",C35*C39),"")</f>
        <v/>
      </c>
      <c r="D40" s="376" t="str">
        <f>IFERROR(IF(D39="","",D35*D39),"")</f>
        <v/>
      </c>
      <c r="E40" s="376" t="str">
        <f t="shared" ref="E40:M40" si="12">IFERROR(IF(E39="","",E35*E39),"")</f>
        <v/>
      </c>
      <c r="F40" s="376" t="str">
        <f t="shared" si="12"/>
        <v/>
      </c>
      <c r="G40" s="376" t="str">
        <f t="shared" si="12"/>
        <v/>
      </c>
      <c r="H40" s="385" t="str">
        <f t="shared" si="12"/>
        <v/>
      </c>
      <c r="I40" s="376" t="str">
        <f t="shared" si="12"/>
        <v/>
      </c>
      <c r="J40" s="376" t="str">
        <f t="shared" si="12"/>
        <v/>
      </c>
      <c r="K40" s="376" t="str">
        <f t="shared" si="12"/>
        <v/>
      </c>
      <c r="L40" s="376" t="str">
        <f t="shared" si="12"/>
        <v/>
      </c>
      <c r="M40" s="376" t="str">
        <f t="shared" si="12"/>
        <v/>
      </c>
      <c r="N40" s="376" t="str">
        <f t="shared" ref="N40:AF40" si="13">IFERROR(IF(N39="","",N35*N39),"")</f>
        <v/>
      </c>
      <c r="O40" s="376" t="str">
        <f t="shared" si="13"/>
        <v/>
      </c>
      <c r="P40" s="376" t="str">
        <f t="shared" si="13"/>
        <v/>
      </c>
      <c r="Q40" s="376" t="str">
        <f t="shared" si="13"/>
        <v/>
      </c>
      <c r="R40" s="376" t="str">
        <f t="shared" si="13"/>
        <v/>
      </c>
      <c r="S40" s="376" t="str">
        <f t="shared" si="13"/>
        <v/>
      </c>
      <c r="T40" s="376" t="str">
        <f t="shared" si="13"/>
        <v/>
      </c>
      <c r="U40" s="376" t="str">
        <f t="shared" si="13"/>
        <v/>
      </c>
      <c r="V40" s="376" t="str">
        <f t="shared" si="13"/>
        <v/>
      </c>
      <c r="W40" s="376" t="str">
        <f t="shared" si="13"/>
        <v/>
      </c>
      <c r="X40" s="376" t="str">
        <f t="shared" si="13"/>
        <v/>
      </c>
      <c r="Y40" s="376" t="str">
        <f t="shared" si="13"/>
        <v/>
      </c>
      <c r="Z40" s="376" t="str">
        <f t="shared" si="13"/>
        <v/>
      </c>
      <c r="AA40" s="376" t="str">
        <f t="shared" si="13"/>
        <v/>
      </c>
      <c r="AB40" s="376" t="str">
        <f t="shared" si="13"/>
        <v/>
      </c>
      <c r="AC40" s="376" t="str">
        <f t="shared" si="13"/>
        <v/>
      </c>
      <c r="AD40" s="376" t="str">
        <f t="shared" si="13"/>
        <v/>
      </c>
      <c r="AE40" s="376" t="str">
        <f t="shared" si="13"/>
        <v/>
      </c>
      <c r="AF40" s="376" t="str">
        <f t="shared" si="13"/>
        <v/>
      </c>
      <c r="AG40" s="107"/>
    </row>
    <row r="41" spans="1:38" s="98" customFormat="1" ht="10">
      <c r="A41" s="97"/>
      <c r="B41" s="110"/>
      <c r="C41" s="132"/>
      <c r="D41" s="132"/>
      <c r="E41" s="132"/>
      <c r="F41" s="132"/>
      <c r="G41" s="132"/>
      <c r="H41" s="133"/>
      <c r="I41" s="132"/>
      <c r="J41" s="132"/>
      <c r="K41" s="132"/>
      <c r="L41" s="132"/>
      <c r="M41" s="132"/>
      <c r="N41" s="133"/>
      <c r="O41" s="133"/>
      <c r="P41" s="133"/>
      <c r="Q41" s="133"/>
      <c r="R41" s="133"/>
      <c r="S41" s="133"/>
      <c r="T41" s="133"/>
      <c r="U41" s="133"/>
      <c r="V41" s="133"/>
      <c r="W41" s="133"/>
      <c r="X41" s="133"/>
      <c r="Y41" s="133"/>
      <c r="Z41" s="133"/>
      <c r="AA41" s="133"/>
      <c r="AB41" s="133"/>
      <c r="AC41" s="133"/>
      <c r="AD41" s="133"/>
      <c r="AE41" s="133"/>
      <c r="AF41" s="133"/>
      <c r="AG41" s="99"/>
    </row>
    <row r="42" spans="1:38" ht="18">
      <c r="A42" s="100"/>
      <c r="B42" s="187" t="s">
        <v>185</v>
      </c>
      <c r="C42" s="134"/>
      <c r="D42" s="134"/>
      <c r="E42" s="134"/>
      <c r="F42" s="134"/>
      <c r="G42" s="134"/>
      <c r="H42" s="135"/>
      <c r="I42" s="134"/>
      <c r="J42" s="134"/>
      <c r="K42" s="134"/>
      <c r="L42" s="134"/>
      <c r="M42" s="134"/>
      <c r="N42" s="135"/>
      <c r="O42" s="135"/>
      <c r="P42" s="135"/>
      <c r="Q42" s="135"/>
      <c r="R42" s="135"/>
      <c r="S42" s="135"/>
      <c r="T42" s="135"/>
      <c r="U42" s="135"/>
      <c r="V42" s="135"/>
      <c r="W42" s="135"/>
      <c r="X42" s="135"/>
      <c r="Y42" s="135"/>
      <c r="Z42" s="135"/>
      <c r="AA42" s="135"/>
      <c r="AB42" s="135"/>
      <c r="AC42" s="135"/>
      <c r="AD42" s="135"/>
      <c r="AE42" s="135"/>
      <c r="AF42" s="135"/>
      <c r="AG42" s="118"/>
    </row>
    <row r="43" spans="1:38" ht="18">
      <c r="A43" s="100"/>
      <c r="B43" s="170" t="s">
        <v>186</v>
      </c>
      <c r="C43" s="291"/>
      <c r="D43" s="291"/>
      <c r="E43" s="291"/>
      <c r="F43" s="291"/>
      <c r="G43" s="511"/>
      <c r="H43" s="291"/>
      <c r="I43" s="291"/>
      <c r="J43" s="291"/>
      <c r="K43" s="291"/>
      <c r="L43" s="291"/>
      <c r="M43" s="291"/>
      <c r="N43" s="291"/>
      <c r="O43" s="291"/>
      <c r="P43" s="291"/>
      <c r="Q43" s="291"/>
      <c r="R43" s="291"/>
      <c r="S43" s="291"/>
      <c r="T43" s="291"/>
      <c r="U43" s="291"/>
      <c r="V43" s="291"/>
      <c r="W43" s="291"/>
      <c r="X43" s="291"/>
      <c r="Y43" s="291"/>
      <c r="Z43" s="291"/>
      <c r="AA43" s="291"/>
      <c r="AB43" s="291"/>
      <c r="AC43" s="291"/>
      <c r="AD43" s="291"/>
      <c r="AE43" s="291"/>
      <c r="AF43" s="291"/>
      <c r="AG43" s="118"/>
    </row>
    <row r="44" spans="1:38" ht="18">
      <c r="A44" s="100"/>
      <c r="B44" s="170" t="s">
        <v>187</v>
      </c>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18"/>
    </row>
    <row r="45" spans="1:38" ht="18">
      <c r="A45" s="100"/>
      <c r="B45" s="176" t="s">
        <v>188</v>
      </c>
      <c r="C45" s="290"/>
      <c r="D45" s="290"/>
      <c r="E45" s="290"/>
      <c r="F45" s="290"/>
      <c r="G45" s="512"/>
      <c r="H45" s="512"/>
      <c r="I45" s="512"/>
      <c r="J45" s="290"/>
      <c r="K45" s="290"/>
      <c r="L45" s="290"/>
      <c r="M45" s="290"/>
      <c r="N45" s="290"/>
      <c r="O45" s="290"/>
      <c r="P45" s="290"/>
      <c r="Q45" s="290"/>
      <c r="R45" s="290"/>
      <c r="S45" s="290"/>
      <c r="T45" s="290"/>
      <c r="U45" s="290"/>
      <c r="V45" s="290"/>
      <c r="W45" s="290"/>
      <c r="X45" s="290"/>
      <c r="Y45" s="290"/>
      <c r="Z45" s="290"/>
      <c r="AA45" s="290"/>
      <c r="AB45" s="290"/>
      <c r="AC45" s="290"/>
      <c r="AD45" s="290"/>
      <c r="AE45" s="290"/>
      <c r="AF45" s="290"/>
      <c r="AG45" s="118"/>
    </row>
    <row r="46" spans="1:38" ht="18">
      <c r="A46" s="100"/>
      <c r="B46" s="339" t="s">
        <v>189</v>
      </c>
      <c r="C46" s="340" t="str">
        <f>IF(C45&gt;0,C34*C44*(1-C45),"")</f>
        <v/>
      </c>
      <c r="D46" s="340" t="str">
        <f>IF(D45&gt;0,D34*D44*(1-D45),"")</f>
        <v/>
      </c>
      <c r="E46" s="340" t="str">
        <f>IF(E45&gt;0,E34*E44*(1-E45),"")</f>
        <v/>
      </c>
      <c r="F46" s="340" t="str">
        <f t="shared" ref="F46:AF46" si="14">IF(F45&gt;0,F34*F44*(1-F45),"")</f>
        <v/>
      </c>
      <c r="G46" s="340" t="str">
        <f t="shared" si="14"/>
        <v/>
      </c>
      <c r="H46" s="340" t="str">
        <f t="shared" si="14"/>
        <v/>
      </c>
      <c r="I46" s="340" t="str">
        <f t="shared" si="14"/>
        <v/>
      </c>
      <c r="J46" s="340" t="str">
        <f t="shared" si="14"/>
        <v/>
      </c>
      <c r="K46" s="340" t="str">
        <f t="shared" si="14"/>
        <v/>
      </c>
      <c r="L46" s="340" t="str">
        <f t="shared" si="14"/>
        <v/>
      </c>
      <c r="M46" s="340" t="str">
        <f t="shared" si="14"/>
        <v/>
      </c>
      <c r="N46" s="340" t="str">
        <f t="shared" si="14"/>
        <v/>
      </c>
      <c r="O46" s="340" t="str">
        <f t="shared" si="14"/>
        <v/>
      </c>
      <c r="P46" s="340" t="str">
        <f t="shared" si="14"/>
        <v/>
      </c>
      <c r="Q46" s="340" t="str">
        <f t="shared" si="14"/>
        <v/>
      </c>
      <c r="R46" s="340" t="str">
        <f t="shared" si="14"/>
        <v/>
      </c>
      <c r="S46" s="340" t="str">
        <f t="shared" si="14"/>
        <v/>
      </c>
      <c r="T46" s="340" t="str">
        <f t="shared" si="14"/>
        <v/>
      </c>
      <c r="U46" s="340" t="str">
        <f t="shared" si="14"/>
        <v/>
      </c>
      <c r="V46" s="340" t="str">
        <f t="shared" si="14"/>
        <v/>
      </c>
      <c r="W46" s="340" t="str">
        <f t="shared" si="14"/>
        <v/>
      </c>
      <c r="X46" s="340" t="str">
        <f t="shared" si="14"/>
        <v/>
      </c>
      <c r="Y46" s="340" t="str">
        <f t="shared" si="14"/>
        <v/>
      </c>
      <c r="Z46" s="340" t="str">
        <f t="shared" si="14"/>
        <v/>
      </c>
      <c r="AA46" s="340" t="str">
        <f t="shared" si="14"/>
        <v/>
      </c>
      <c r="AB46" s="340" t="str">
        <f t="shared" si="14"/>
        <v/>
      </c>
      <c r="AC46" s="340" t="str">
        <f t="shared" si="14"/>
        <v/>
      </c>
      <c r="AD46" s="340" t="str">
        <f t="shared" si="14"/>
        <v/>
      </c>
      <c r="AE46" s="340" t="str">
        <f t="shared" si="14"/>
        <v/>
      </c>
      <c r="AF46" s="340" t="str">
        <f t="shared" si="14"/>
        <v/>
      </c>
      <c r="AG46" s="118"/>
    </row>
    <row r="47" spans="1:38">
      <c r="A47" s="100"/>
      <c r="B47" s="407" t="s">
        <v>190</v>
      </c>
      <c r="C47" s="408"/>
      <c r="D47" s="408"/>
      <c r="E47" s="408"/>
      <c r="F47" s="408"/>
      <c r="G47" s="408"/>
      <c r="H47" s="409"/>
      <c r="I47" s="408"/>
      <c r="J47" s="408"/>
      <c r="K47" s="408"/>
      <c r="L47" s="408"/>
      <c r="M47" s="408"/>
      <c r="N47" s="409"/>
      <c r="O47" s="409"/>
      <c r="P47" s="409"/>
      <c r="Q47" s="409"/>
      <c r="R47" s="409"/>
      <c r="S47" s="409"/>
      <c r="T47" s="409"/>
      <c r="U47" s="409"/>
      <c r="V47" s="409"/>
      <c r="W47" s="409"/>
      <c r="X47" s="409"/>
      <c r="Y47" s="409"/>
      <c r="Z47" s="409"/>
      <c r="AA47" s="409"/>
      <c r="AB47" s="409"/>
      <c r="AC47" s="409"/>
      <c r="AD47" s="409"/>
      <c r="AE47" s="409"/>
      <c r="AF47" s="409"/>
      <c r="AG47" s="107"/>
    </row>
    <row r="48" spans="1:38" s="98" customFormat="1" ht="10">
      <c r="A48" s="97"/>
      <c r="B48" s="110"/>
      <c r="C48" s="132"/>
      <c r="D48" s="132"/>
      <c r="E48" s="132"/>
      <c r="F48" s="132"/>
      <c r="G48" s="132"/>
      <c r="H48" s="133"/>
      <c r="I48" s="132"/>
      <c r="J48" s="132"/>
      <c r="K48" s="132"/>
      <c r="L48" s="132"/>
      <c r="M48" s="132"/>
      <c r="N48" s="133"/>
      <c r="O48" s="133"/>
      <c r="P48" s="133"/>
      <c r="Q48" s="133"/>
      <c r="R48" s="133"/>
      <c r="S48" s="133"/>
      <c r="T48" s="133"/>
      <c r="U48" s="133"/>
      <c r="V48" s="133"/>
      <c r="W48" s="133"/>
      <c r="X48" s="133"/>
      <c r="Y48" s="133"/>
      <c r="Z48" s="133"/>
      <c r="AA48" s="133"/>
      <c r="AB48" s="133"/>
      <c r="AC48" s="133"/>
      <c r="AD48" s="133"/>
      <c r="AE48" s="133"/>
      <c r="AF48" s="133"/>
      <c r="AG48" s="99"/>
    </row>
    <row r="49" spans="1:33" ht="18">
      <c r="A49" s="100"/>
      <c r="B49" s="125" t="s">
        <v>191</v>
      </c>
      <c r="C49" s="134"/>
      <c r="D49" s="134"/>
      <c r="E49" s="134"/>
      <c r="F49" s="134"/>
      <c r="G49" s="134"/>
      <c r="H49" s="135"/>
      <c r="I49" s="134"/>
      <c r="J49" s="134"/>
      <c r="K49" s="134"/>
      <c r="L49" s="134"/>
      <c r="M49" s="134"/>
      <c r="N49" s="135"/>
      <c r="O49" s="135"/>
      <c r="P49" s="135"/>
      <c r="Q49" s="135"/>
      <c r="R49" s="135"/>
      <c r="S49" s="135"/>
      <c r="T49" s="135"/>
      <c r="U49" s="135"/>
      <c r="V49" s="135"/>
      <c r="W49" s="135"/>
      <c r="X49" s="135"/>
      <c r="Y49" s="135"/>
      <c r="Z49" s="135"/>
      <c r="AA49" s="135"/>
      <c r="AB49" s="135"/>
      <c r="AC49" s="135"/>
      <c r="AD49" s="135"/>
      <c r="AE49" s="135"/>
      <c r="AF49" s="135"/>
      <c r="AG49" s="118"/>
    </row>
    <row r="50" spans="1:33">
      <c r="A50" s="100"/>
      <c r="B50" s="111" t="s">
        <v>192</v>
      </c>
      <c r="C50" s="377" t="str">
        <f>IF(C51="","",C51/(C26*C37))</f>
        <v/>
      </c>
      <c r="D50" s="377" t="str">
        <f t="shared" ref="D50:M50" si="15">IF(D51="","",D51/(D26*D37))</f>
        <v/>
      </c>
      <c r="E50" s="377" t="str">
        <f t="shared" si="15"/>
        <v/>
      </c>
      <c r="F50" s="377" t="str">
        <f t="shared" si="15"/>
        <v/>
      </c>
      <c r="G50" s="377" t="str">
        <f t="shared" si="15"/>
        <v/>
      </c>
      <c r="H50" s="386" t="str">
        <f t="shared" si="15"/>
        <v/>
      </c>
      <c r="I50" s="377" t="str">
        <f t="shared" si="15"/>
        <v/>
      </c>
      <c r="J50" s="377" t="str">
        <f t="shared" si="15"/>
        <v/>
      </c>
      <c r="K50" s="377" t="str">
        <f t="shared" si="15"/>
        <v/>
      </c>
      <c r="L50" s="377" t="str">
        <f t="shared" si="15"/>
        <v/>
      </c>
      <c r="M50" s="377" t="str">
        <f t="shared" si="15"/>
        <v/>
      </c>
      <c r="N50" s="377" t="str">
        <f t="shared" ref="N50:AF50" si="16">IF(N51="","",N51/(N26*N37))</f>
        <v/>
      </c>
      <c r="O50" s="377" t="str">
        <f t="shared" si="16"/>
        <v/>
      </c>
      <c r="P50" s="377" t="str">
        <f t="shared" si="16"/>
        <v/>
      </c>
      <c r="Q50" s="377" t="str">
        <f t="shared" si="16"/>
        <v/>
      </c>
      <c r="R50" s="377" t="str">
        <f t="shared" si="16"/>
        <v/>
      </c>
      <c r="S50" s="377" t="str">
        <f t="shared" si="16"/>
        <v/>
      </c>
      <c r="T50" s="377" t="str">
        <f t="shared" si="16"/>
        <v/>
      </c>
      <c r="U50" s="377" t="str">
        <f t="shared" si="16"/>
        <v/>
      </c>
      <c r="V50" s="377" t="str">
        <f t="shared" si="16"/>
        <v/>
      </c>
      <c r="W50" s="377" t="str">
        <f t="shared" si="16"/>
        <v/>
      </c>
      <c r="X50" s="377" t="str">
        <f t="shared" si="16"/>
        <v/>
      </c>
      <c r="Y50" s="377" t="str">
        <f t="shared" si="16"/>
        <v/>
      </c>
      <c r="Z50" s="377" t="str">
        <f t="shared" si="16"/>
        <v/>
      </c>
      <c r="AA50" s="377" t="str">
        <f t="shared" si="16"/>
        <v/>
      </c>
      <c r="AB50" s="377" t="str">
        <f t="shared" si="16"/>
        <v/>
      </c>
      <c r="AC50" s="377" t="str">
        <f t="shared" si="16"/>
        <v/>
      </c>
      <c r="AD50" s="377" t="str">
        <f t="shared" si="16"/>
        <v/>
      </c>
      <c r="AE50" s="377" t="str">
        <f t="shared" si="16"/>
        <v/>
      </c>
      <c r="AF50" s="377" t="str">
        <f t="shared" si="16"/>
        <v/>
      </c>
      <c r="AG50" s="107"/>
    </row>
    <row r="51" spans="1:33" ht="18">
      <c r="A51" s="100"/>
      <c r="B51" s="111" t="s">
        <v>193</v>
      </c>
      <c r="C51" s="378" t="str">
        <f>IFERROR(C38*3600/(C43/C44)*(1-C45)*IF(C19="",1,C19)*IF(C20="",1,C20),"")</f>
        <v/>
      </c>
      <c r="D51" s="378" t="str">
        <f t="shared" ref="D51:M51" si="17">IFERROR(D38*3600/(D43/D44)*(1-D45)*IF(D19="",1,D19)*IF(D20="",1,D20),"")</f>
        <v/>
      </c>
      <c r="E51" s="378" t="str">
        <f t="shared" si="17"/>
        <v/>
      </c>
      <c r="F51" s="378" t="str">
        <f t="shared" si="17"/>
        <v/>
      </c>
      <c r="G51" s="378" t="str">
        <f t="shared" si="17"/>
        <v/>
      </c>
      <c r="H51" s="387" t="str">
        <f t="shared" si="17"/>
        <v/>
      </c>
      <c r="I51" s="378" t="str">
        <f t="shared" si="17"/>
        <v/>
      </c>
      <c r="J51" s="378" t="str">
        <f t="shared" si="17"/>
        <v/>
      </c>
      <c r="K51" s="378" t="str">
        <f t="shared" si="17"/>
        <v/>
      </c>
      <c r="L51" s="378" t="str">
        <f t="shared" si="17"/>
        <v/>
      </c>
      <c r="M51" s="378" t="str">
        <f t="shared" si="17"/>
        <v/>
      </c>
      <c r="N51" s="378" t="str">
        <f t="shared" ref="N51:AF51" si="18">IFERROR(N38*3600/(N43/N44)*(1-N45)*IF(N19="",1,N19)*IF(N20="",1,N20),"")</f>
        <v/>
      </c>
      <c r="O51" s="378" t="str">
        <f t="shared" si="18"/>
        <v/>
      </c>
      <c r="P51" s="378" t="str">
        <f t="shared" si="18"/>
        <v/>
      </c>
      <c r="Q51" s="378" t="str">
        <f t="shared" si="18"/>
        <v/>
      </c>
      <c r="R51" s="378" t="str">
        <f t="shared" si="18"/>
        <v/>
      </c>
      <c r="S51" s="378" t="str">
        <f t="shared" si="18"/>
        <v/>
      </c>
      <c r="T51" s="378" t="str">
        <f t="shared" si="18"/>
        <v/>
      </c>
      <c r="U51" s="378" t="str">
        <f t="shared" si="18"/>
        <v/>
      </c>
      <c r="V51" s="378" t="str">
        <f t="shared" si="18"/>
        <v/>
      </c>
      <c r="W51" s="378" t="str">
        <f t="shared" si="18"/>
        <v/>
      </c>
      <c r="X51" s="378" t="str">
        <f t="shared" si="18"/>
        <v/>
      </c>
      <c r="Y51" s="378" t="str">
        <f t="shared" si="18"/>
        <v/>
      </c>
      <c r="Z51" s="378" t="str">
        <f t="shared" si="18"/>
        <v/>
      </c>
      <c r="AA51" s="378" t="str">
        <f t="shared" si="18"/>
        <v/>
      </c>
      <c r="AB51" s="378" t="str">
        <f t="shared" si="18"/>
        <v/>
      </c>
      <c r="AC51" s="378" t="str">
        <f t="shared" si="18"/>
        <v/>
      </c>
      <c r="AD51" s="378" t="str">
        <f t="shared" si="18"/>
        <v/>
      </c>
      <c r="AE51" s="378" t="str">
        <f t="shared" si="18"/>
        <v/>
      </c>
      <c r="AF51" s="378" t="str">
        <f t="shared" si="18"/>
        <v/>
      </c>
      <c r="AG51" s="118"/>
    </row>
    <row r="52" spans="1:33" ht="18">
      <c r="A52" s="100"/>
      <c r="B52" s="111" t="s">
        <v>194</v>
      </c>
      <c r="C52" s="379" t="str">
        <f>IFERROR(IF(C51="","",C51/'Capacity overview'!$O$9),"")</f>
        <v/>
      </c>
      <c r="D52" s="379" t="str">
        <f>IFERROR(IF(D51="","",D51/'Capacity overview'!$O$9),"")</f>
        <v/>
      </c>
      <c r="E52" s="379" t="str">
        <f>IFERROR(IF(E51="","",E51/'Capacity overview'!$O$9),"")</f>
        <v/>
      </c>
      <c r="F52" s="379" t="str">
        <f>IFERROR(IF(F51="","",F51/'Capacity overview'!$O$9),"")</f>
        <v/>
      </c>
      <c r="G52" s="379" t="str">
        <f>IFERROR(IF(G51="","",G51/'Capacity overview'!$O$9),"")</f>
        <v/>
      </c>
      <c r="H52" s="388" t="str">
        <f>IFERROR(IF(H51="","",H51/'Capacity overview'!$O$9),"")</f>
        <v/>
      </c>
      <c r="I52" s="379" t="str">
        <f>IFERROR(IF(I51="","",I51/'Capacity overview'!$O$9),"")</f>
        <v/>
      </c>
      <c r="J52" s="379" t="str">
        <f>IFERROR(IF(J51="","",J51/'Capacity overview'!$O$9),"")</f>
        <v/>
      </c>
      <c r="K52" s="379" t="str">
        <f>IFERROR(IF(K51="","",K51/'Capacity overview'!$O$9),"")</f>
        <v/>
      </c>
      <c r="L52" s="379" t="str">
        <f>IFERROR(IF(L51="","",L51/'Capacity overview'!$O$9),"")</f>
        <v/>
      </c>
      <c r="M52" s="379" t="str">
        <f>IFERROR(IF(M51="","",M51/'Capacity overview'!$O$9),"")</f>
        <v/>
      </c>
      <c r="N52" s="379" t="str">
        <f>IFERROR(IF(N51="","",N51/'Capacity overview'!$O$9),"")</f>
        <v/>
      </c>
      <c r="O52" s="379" t="str">
        <f>IFERROR(IF(O51="","",O51/'Capacity overview'!$O$9),"")</f>
        <v/>
      </c>
      <c r="P52" s="379" t="str">
        <f>IFERROR(IF(P51="","",P51/'Capacity overview'!$O$9),"")</f>
        <v/>
      </c>
      <c r="Q52" s="379" t="str">
        <f>IFERROR(IF(Q51="","",Q51/'Capacity overview'!$O$9),"")</f>
        <v/>
      </c>
      <c r="R52" s="379" t="str">
        <f>IFERROR(IF(R51="","",R51/'Capacity overview'!$O$9),"")</f>
        <v/>
      </c>
      <c r="S52" s="379" t="str">
        <f>IFERROR(IF(S51="","",S51/'Capacity overview'!$O$9),"")</f>
        <v/>
      </c>
      <c r="T52" s="379" t="str">
        <f>IFERROR(IF(T51="","",T51/'Capacity overview'!$O$9),"")</f>
        <v/>
      </c>
      <c r="U52" s="379" t="str">
        <f>IFERROR(IF(U51="","",U51/'Capacity overview'!$O$9),"")</f>
        <v/>
      </c>
      <c r="V52" s="379" t="str">
        <f>IFERROR(IF(V51="","",V51/'Capacity overview'!$O$9),"")</f>
        <v/>
      </c>
      <c r="W52" s="379" t="str">
        <f>IFERROR(IF(W51="","",W51/'Capacity overview'!$O$9),"")</f>
        <v/>
      </c>
      <c r="X52" s="379" t="str">
        <f>IFERROR(IF(X51="","",X51/'Capacity overview'!$O$9),"")</f>
        <v/>
      </c>
      <c r="Y52" s="379" t="str">
        <f>IFERROR(IF(Y51="","",Y51/'Capacity overview'!$O$9),"")</f>
        <v/>
      </c>
      <c r="Z52" s="379" t="str">
        <f>IFERROR(IF(Z51="","",Z51/'Capacity overview'!$O$9),"")</f>
        <v/>
      </c>
      <c r="AA52" s="379" t="str">
        <f>IFERROR(IF(AA51="","",AA51/'Capacity overview'!$O$9),"")</f>
        <v/>
      </c>
      <c r="AB52" s="379" t="str">
        <f>IFERROR(IF(AB51="","",AB51/'Capacity overview'!$O$9),"")</f>
        <v/>
      </c>
      <c r="AC52" s="379" t="str">
        <f>IFERROR(IF(AC51="","",AC51/'Capacity overview'!$O$9),"")</f>
        <v/>
      </c>
      <c r="AD52" s="379" t="str">
        <f>IFERROR(IF(AD51="","",AD51/'Capacity overview'!$O$9),"")</f>
        <v/>
      </c>
      <c r="AE52" s="379" t="str">
        <f>IFERROR(IF(AE51="","",AE51/'Capacity overview'!$O$9),"")</f>
        <v/>
      </c>
      <c r="AF52" s="379" t="str">
        <f>IFERROR(IF(AF51="","",AF51/'Capacity overview'!$O$9),"")</f>
        <v/>
      </c>
      <c r="AG52" s="118"/>
    </row>
    <row r="53" spans="1:33">
      <c r="A53" s="100"/>
      <c r="B53" s="113" t="s">
        <v>195</v>
      </c>
      <c r="C53" s="144" t="str">
        <f>IFERROR(IF(C51="","",C51/C55-1),"")</f>
        <v/>
      </c>
      <c r="D53" s="144" t="str">
        <f t="shared" ref="D53:M53" si="19">IFERROR(IF(D51="","",D51/D55-1),"")</f>
        <v/>
      </c>
      <c r="E53" s="144" t="str">
        <f t="shared" si="19"/>
        <v/>
      </c>
      <c r="F53" s="144" t="str">
        <f t="shared" si="19"/>
        <v/>
      </c>
      <c r="G53" s="144" t="str">
        <f t="shared" si="19"/>
        <v/>
      </c>
      <c r="H53" s="145" t="str">
        <f t="shared" si="19"/>
        <v/>
      </c>
      <c r="I53" s="144" t="str">
        <f t="shared" si="19"/>
        <v/>
      </c>
      <c r="J53" s="144" t="str">
        <f t="shared" si="19"/>
        <v/>
      </c>
      <c r="K53" s="144" t="str">
        <f t="shared" si="19"/>
        <v/>
      </c>
      <c r="L53" s="144" t="str">
        <f t="shared" si="19"/>
        <v/>
      </c>
      <c r="M53" s="144" t="str">
        <f t="shared" si="19"/>
        <v/>
      </c>
      <c r="N53" s="144" t="str">
        <f t="shared" ref="N53:AF53" si="20">IFERROR(IF(N51="","",N51/N55-1),"")</f>
        <v/>
      </c>
      <c r="O53" s="144" t="str">
        <f t="shared" si="20"/>
        <v/>
      </c>
      <c r="P53" s="144" t="str">
        <f t="shared" si="20"/>
        <v/>
      </c>
      <c r="Q53" s="144" t="str">
        <f t="shared" si="20"/>
        <v/>
      </c>
      <c r="R53" s="144" t="str">
        <f t="shared" si="20"/>
        <v/>
      </c>
      <c r="S53" s="144" t="str">
        <f t="shared" si="20"/>
        <v/>
      </c>
      <c r="T53" s="144" t="str">
        <f t="shared" si="20"/>
        <v/>
      </c>
      <c r="U53" s="144" t="str">
        <f t="shared" si="20"/>
        <v/>
      </c>
      <c r="V53" s="144" t="str">
        <f t="shared" si="20"/>
        <v/>
      </c>
      <c r="W53" s="144" t="str">
        <f t="shared" si="20"/>
        <v/>
      </c>
      <c r="X53" s="144" t="str">
        <f t="shared" si="20"/>
        <v/>
      </c>
      <c r="Y53" s="144" t="str">
        <f t="shared" si="20"/>
        <v/>
      </c>
      <c r="Z53" s="144" t="str">
        <f t="shared" si="20"/>
        <v/>
      </c>
      <c r="AA53" s="144" t="str">
        <f t="shared" si="20"/>
        <v/>
      </c>
      <c r="AB53" s="144" t="str">
        <f t="shared" si="20"/>
        <v/>
      </c>
      <c r="AC53" s="144" t="str">
        <f t="shared" si="20"/>
        <v/>
      </c>
      <c r="AD53" s="144" t="str">
        <f t="shared" si="20"/>
        <v/>
      </c>
      <c r="AE53" s="144" t="str">
        <f t="shared" si="20"/>
        <v/>
      </c>
      <c r="AF53" s="144" t="str">
        <f t="shared" si="20"/>
        <v/>
      </c>
      <c r="AG53" s="107"/>
    </row>
    <row r="54" spans="1:33" s="98" customFormat="1" ht="11" thickBot="1">
      <c r="A54" s="97"/>
      <c r="B54" s="108"/>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99"/>
    </row>
    <row r="55" spans="1:33" ht="18">
      <c r="A55" s="92"/>
      <c r="B55" s="191" t="s">
        <v>196</v>
      </c>
      <c r="C55" s="380" t="str">
        <f>IF(C17="","",ROUNDUP($C$7*IF(C21="",1,C21)*IF($D$12=1,1/((1-C59)*(1-C60)*(1-C61)*(1-C62)*(1-C63)*(1-C64)*(1-C65)*(1-C66)*(1-C67)*(1-C68)*(1-C69)*(1-C70)*(1-C71)*(1-C72)*(1-C73)*(1-C74)*(1-C75)*(1-C76)*(1-C77)*(1-C78)*(1-C79)*(1-C80)*(1-C81)*(1-C82)*(1-C83)*(1-C84)*(1-C85)*(1-C86)*(1-C87)),1),0))</f>
        <v/>
      </c>
      <c r="D55" s="380" t="str">
        <f t="shared" ref="D55:AF55" si="21">IF(D17="","",ROUNDUP($C$7*IF(D21="",1,D21)*IF($D$12=1,1/((1-D59)*(1-D60)*(1-D61)*(1-D62)*(1-D63)*(1-D64)*(1-D65)*(1-D66)*(1-D67)*(1-D68)*(1-D69)*(1-D70)*(1-D71)*(1-D72)*(1-D73)*(1-D74)*(1-D75)*(1-D76)*(1-D77)*(1-D78)*(1-D79)*(1-D80)*(1-D81)*(1-D82)*(1-D83)*(1-D84)*(1-D85)*(1-D86)*(1-D87)),1),0))</f>
        <v/>
      </c>
      <c r="E55" s="380" t="str">
        <f t="shared" si="21"/>
        <v/>
      </c>
      <c r="F55" s="380" t="str">
        <f t="shared" si="21"/>
        <v/>
      </c>
      <c r="G55" s="380" t="str">
        <f t="shared" si="21"/>
        <v/>
      </c>
      <c r="H55" s="380" t="str">
        <f t="shared" si="21"/>
        <v/>
      </c>
      <c r="I55" s="380" t="str">
        <f t="shared" si="21"/>
        <v/>
      </c>
      <c r="J55" s="380" t="str">
        <f t="shared" si="21"/>
        <v/>
      </c>
      <c r="K55" s="380" t="str">
        <f t="shared" si="21"/>
        <v/>
      </c>
      <c r="L55" s="380" t="str">
        <f t="shared" si="21"/>
        <v/>
      </c>
      <c r="M55" s="380" t="str">
        <f t="shared" si="21"/>
        <v/>
      </c>
      <c r="N55" s="380" t="str">
        <f t="shared" si="21"/>
        <v/>
      </c>
      <c r="O55" s="380" t="str">
        <f t="shared" si="21"/>
        <v/>
      </c>
      <c r="P55" s="380" t="str">
        <f t="shared" si="21"/>
        <v/>
      </c>
      <c r="Q55" s="380" t="str">
        <f t="shared" si="21"/>
        <v/>
      </c>
      <c r="R55" s="380" t="str">
        <f t="shared" si="21"/>
        <v/>
      </c>
      <c r="S55" s="380" t="str">
        <f t="shared" si="21"/>
        <v/>
      </c>
      <c r="T55" s="380" t="str">
        <f t="shared" si="21"/>
        <v/>
      </c>
      <c r="U55" s="380" t="str">
        <f t="shared" si="21"/>
        <v/>
      </c>
      <c r="V55" s="380" t="str">
        <f t="shared" si="21"/>
        <v/>
      </c>
      <c r="W55" s="380" t="str">
        <f t="shared" si="21"/>
        <v/>
      </c>
      <c r="X55" s="380" t="str">
        <f t="shared" si="21"/>
        <v/>
      </c>
      <c r="Y55" s="380" t="str">
        <f t="shared" si="21"/>
        <v/>
      </c>
      <c r="Z55" s="380" t="str">
        <f t="shared" si="21"/>
        <v/>
      </c>
      <c r="AA55" s="380" t="str">
        <f t="shared" si="21"/>
        <v/>
      </c>
      <c r="AB55" s="380" t="str">
        <f t="shared" si="21"/>
        <v/>
      </c>
      <c r="AC55" s="380" t="str">
        <f t="shared" si="21"/>
        <v/>
      </c>
      <c r="AD55" s="380" t="str">
        <f t="shared" si="21"/>
        <v/>
      </c>
      <c r="AE55" s="380" t="str">
        <f t="shared" si="21"/>
        <v/>
      </c>
      <c r="AF55" s="380" t="str">
        <f t="shared" si="21"/>
        <v/>
      </c>
      <c r="AG55" s="188"/>
    </row>
    <row r="56" spans="1:33" ht="19" collapsed="1" thickBot="1">
      <c r="A56" s="189"/>
      <c r="B56" s="192" t="s">
        <v>197</v>
      </c>
      <c r="C56" s="381" t="str">
        <f>IFERROR(IF(C17="","",ROUNDUP(C55/'Capacity overview'!$O$9,1)),"")</f>
        <v/>
      </c>
      <c r="D56" s="381" t="str">
        <f>IFERROR(IF(D17="","",ROUNDUP(D55/'Capacity overview'!$O$9,1)),"")</f>
        <v/>
      </c>
      <c r="E56" s="381" t="str">
        <f>IFERROR(IF(E17="","",ROUNDUP(E55/'Capacity overview'!$O$9,1)),"")</f>
        <v/>
      </c>
      <c r="F56" s="381" t="str">
        <f>IFERROR(IF(F17="","",ROUNDUP(F55/'Capacity overview'!$O$9,1)),"")</f>
        <v/>
      </c>
      <c r="G56" s="381" t="str">
        <f>IFERROR(IF(G17="","",ROUNDUP(G55/'Capacity overview'!$O$9,1)),"")</f>
        <v/>
      </c>
      <c r="H56" s="381" t="str">
        <f>IFERROR(IF(H17="","",ROUNDUP(H55/'Capacity overview'!$O$9,1)),"")</f>
        <v/>
      </c>
      <c r="I56" s="381" t="str">
        <f>IFERROR(IF(I17="","",ROUNDUP(I55/'Capacity overview'!$O$9,1)),"")</f>
        <v/>
      </c>
      <c r="J56" s="381" t="str">
        <f>IFERROR(IF(J17="","",ROUNDUP(J55/'Capacity overview'!$O$9,1)),"")</f>
        <v/>
      </c>
      <c r="K56" s="381" t="str">
        <f>IFERROR(IF(K17="","",ROUNDUP(K55/'Capacity overview'!$O$9,1)),"")</f>
        <v/>
      </c>
      <c r="L56" s="381" t="str">
        <f>IFERROR(IF(L17="","",ROUNDUP(L55/'Capacity overview'!$O$9,1)),"")</f>
        <v/>
      </c>
      <c r="M56" s="381" t="str">
        <f>IFERROR(IF(M17="","",ROUNDUP(M55/'Capacity overview'!$O$9,1)),"")</f>
        <v/>
      </c>
      <c r="N56" s="381" t="str">
        <f>IFERROR(IF(N17="","",ROUNDUP(N55/'Capacity overview'!$O$9,1)),"")</f>
        <v/>
      </c>
      <c r="O56" s="381" t="str">
        <f>IFERROR(IF(O17="","",ROUNDUP(O55/'Capacity overview'!$O$9,1)),"")</f>
        <v/>
      </c>
      <c r="P56" s="381" t="str">
        <f>IFERROR(IF(P17="","",ROUNDUP(P55/'Capacity overview'!$O$9,1)),"")</f>
        <v/>
      </c>
      <c r="Q56" s="381" t="str">
        <f>IFERROR(IF(Q17="","",ROUNDUP(Q55/'Capacity overview'!$O$9,1)),"")</f>
        <v/>
      </c>
      <c r="R56" s="381" t="str">
        <f>IFERROR(IF(R17="","",ROUNDUP(R55/'Capacity overview'!$O$9,1)),"")</f>
        <v/>
      </c>
      <c r="S56" s="381" t="str">
        <f>IFERROR(IF(S17="","",ROUNDUP(S55/'Capacity overview'!$O$9,1)),"")</f>
        <v/>
      </c>
      <c r="T56" s="381" t="str">
        <f>IFERROR(IF(T17="","",ROUNDUP(T55/'Capacity overview'!$O$9,1)),"")</f>
        <v/>
      </c>
      <c r="U56" s="381" t="str">
        <f>IFERROR(IF(U17="","",ROUNDUP(U55/'Capacity overview'!$O$9,1)),"")</f>
        <v/>
      </c>
      <c r="V56" s="381" t="str">
        <f>IFERROR(IF(V17="","",ROUNDUP(V55/'Capacity overview'!$O$9,1)),"")</f>
        <v/>
      </c>
      <c r="W56" s="381" t="str">
        <f>IFERROR(IF(W17="","",ROUNDUP(W55/'Capacity overview'!$O$9,1)),"")</f>
        <v/>
      </c>
      <c r="X56" s="381" t="str">
        <f>IFERROR(IF(X17="","",ROUNDUP(X55/'Capacity overview'!$O$9,1)),"")</f>
        <v/>
      </c>
      <c r="Y56" s="381" t="str">
        <f>IFERROR(IF(Y17="","",ROUNDUP(Y55/'Capacity overview'!$O$9,1)),"")</f>
        <v/>
      </c>
      <c r="Z56" s="381" t="str">
        <f>IFERROR(IF(Z17="","",ROUNDUP(Z55/'Capacity overview'!$O$9,1)),"")</f>
        <v/>
      </c>
      <c r="AA56" s="381" t="str">
        <f>IFERROR(IF(AA17="","",ROUNDUP(AA55/'Capacity overview'!$O$9,1)),"")</f>
        <v/>
      </c>
      <c r="AB56" s="381" t="str">
        <f>IFERROR(IF(AB17="","",ROUNDUP(AB55/'Capacity overview'!$O$9,1)),"")</f>
        <v/>
      </c>
      <c r="AC56" s="381" t="str">
        <f>IFERROR(IF(AC17="","",ROUNDUP(AC55/'Capacity overview'!$O$9,1)),"")</f>
        <v/>
      </c>
      <c r="AD56" s="381" t="str">
        <f>IFERROR(IF(AD17="","",ROUNDUP(AD55/'Capacity overview'!$O$9,1)),"")</f>
        <v/>
      </c>
      <c r="AE56" s="381" t="str">
        <f>IFERROR(IF(AE17="","",ROUNDUP(AE55/'Capacity overview'!$O$9,1)),"")</f>
        <v/>
      </c>
      <c r="AF56" s="381" t="str">
        <f>IFERROR(IF(AF17="","",ROUNDUP(AF55/'Capacity overview'!$O$9,1)),"")</f>
        <v/>
      </c>
      <c r="AG56" s="190"/>
    </row>
    <row r="57" spans="1:33" s="98" customFormat="1" ht="10" hidden="1" outlineLevel="1">
      <c r="A57" s="97"/>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c r="AA57" s="108"/>
      <c r="AB57" s="108"/>
      <c r="AC57" s="108"/>
      <c r="AD57" s="108"/>
      <c r="AE57" s="108"/>
      <c r="AF57" s="108"/>
      <c r="AG57" s="99"/>
    </row>
    <row r="58" spans="1:33" ht="18" hidden="1" outlineLevel="1">
      <c r="A58" s="100"/>
      <c r="B58" s="126" t="s">
        <v>198</v>
      </c>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24"/>
    </row>
    <row r="59" spans="1:33" hidden="1" outlineLevel="1">
      <c r="A59" s="100"/>
      <c r="B59" s="106" t="str">
        <f>D15</f>
        <v>Process 2</v>
      </c>
      <c r="C59" s="497">
        <f>IF($D$45="",0,$D$45)</f>
        <v>0</v>
      </c>
      <c r="D59" s="497"/>
      <c r="E59" s="497"/>
      <c r="F59" s="497"/>
      <c r="G59" s="497"/>
      <c r="H59" s="497"/>
      <c r="I59" s="497"/>
      <c r="J59" s="497"/>
      <c r="K59" s="497"/>
      <c r="L59" s="497"/>
      <c r="M59" s="497"/>
      <c r="N59" s="497"/>
      <c r="O59" s="497"/>
      <c r="P59" s="497"/>
      <c r="Q59" s="497"/>
      <c r="R59" s="497"/>
      <c r="S59" s="497"/>
      <c r="T59" s="497"/>
      <c r="U59" s="497"/>
      <c r="V59" s="497"/>
      <c r="W59" s="497"/>
      <c r="X59" s="497"/>
      <c r="Y59" s="497"/>
      <c r="Z59" s="497"/>
      <c r="AA59" s="497"/>
      <c r="AB59" s="497"/>
      <c r="AC59" s="497"/>
      <c r="AD59" s="497"/>
      <c r="AE59" s="497"/>
      <c r="AF59" s="497"/>
      <c r="AG59" s="107"/>
    </row>
    <row r="60" spans="1:33" hidden="1" outlineLevel="1">
      <c r="A60" s="100"/>
      <c r="B60" s="106" t="str">
        <f>E15</f>
        <v>Process 3</v>
      </c>
      <c r="C60" s="497">
        <f>IF($E$45="",0,$E$45)</f>
        <v>0</v>
      </c>
      <c r="D60" s="497">
        <f>IF($E$45="",0,$E$45)</f>
        <v>0</v>
      </c>
      <c r="E60" s="497"/>
      <c r="F60" s="497"/>
      <c r="G60" s="497"/>
      <c r="H60" s="497"/>
      <c r="I60" s="497"/>
      <c r="J60" s="497"/>
      <c r="K60" s="497"/>
      <c r="L60" s="497"/>
      <c r="M60" s="497"/>
      <c r="N60" s="497"/>
      <c r="O60" s="497"/>
      <c r="P60" s="497"/>
      <c r="Q60" s="497"/>
      <c r="R60" s="497"/>
      <c r="S60" s="497"/>
      <c r="T60" s="497"/>
      <c r="U60" s="497"/>
      <c r="V60" s="497"/>
      <c r="W60" s="497"/>
      <c r="X60" s="497"/>
      <c r="Y60" s="497"/>
      <c r="Z60" s="497"/>
      <c r="AA60" s="497"/>
      <c r="AB60" s="497"/>
      <c r="AC60" s="497"/>
      <c r="AD60" s="497"/>
      <c r="AE60" s="497"/>
      <c r="AF60" s="497"/>
      <c r="AG60" s="107"/>
    </row>
    <row r="61" spans="1:33" hidden="1" outlineLevel="1">
      <c r="A61" s="100"/>
      <c r="B61" s="106" t="str">
        <f>F15</f>
        <v>Process 4</v>
      </c>
      <c r="C61" s="497">
        <f>IF($F$45="",0,$F$45)</f>
        <v>0</v>
      </c>
      <c r="D61" s="497">
        <f t="shared" ref="D61:E61" si="22">IF($F$45="",0,$F$45)</f>
        <v>0</v>
      </c>
      <c r="E61" s="497">
        <f t="shared" si="22"/>
        <v>0</v>
      </c>
      <c r="F61" s="497"/>
      <c r="G61" s="497"/>
      <c r="H61" s="497"/>
      <c r="I61" s="497"/>
      <c r="J61" s="497"/>
      <c r="K61" s="497"/>
      <c r="L61" s="497"/>
      <c r="M61" s="497"/>
      <c r="N61" s="497"/>
      <c r="O61" s="497"/>
      <c r="P61" s="497"/>
      <c r="Q61" s="497"/>
      <c r="R61" s="497"/>
      <c r="S61" s="497"/>
      <c r="T61" s="497"/>
      <c r="U61" s="497"/>
      <c r="V61" s="497"/>
      <c r="W61" s="497"/>
      <c r="X61" s="497"/>
      <c r="Y61" s="497"/>
      <c r="Z61" s="497"/>
      <c r="AA61" s="497"/>
      <c r="AB61" s="497"/>
      <c r="AC61" s="497"/>
      <c r="AD61" s="497"/>
      <c r="AE61" s="497"/>
      <c r="AF61" s="497"/>
      <c r="AG61" s="107"/>
    </row>
    <row r="62" spans="1:33" hidden="1" outlineLevel="1">
      <c r="A62" s="100"/>
      <c r="B62" s="106" t="str">
        <f>G15</f>
        <v>Process 5</v>
      </c>
      <c r="C62" s="497">
        <f>IF($G$45="",0,$G$45)</f>
        <v>0</v>
      </c>
      <c r="D62" s="497">
        <f t="shared" ref="D62:F62" si="23">IF($G$45="",0,$G$45)</f>
        <v>0</v>
      </c>
      <c r="E62" s="497">
        <f t="shared" si="23"/>
        <v>0</v>
      </c>
      <c r="F62" s="497">
        <f t="shared" si="23"/>
        <v>0</v>
      </c>
      <c r="G62" s="497"/>
      <c r="H62" s="497"/>
      <c r="I62" s="497"/>
      <c r="J62" s="497"/>
      <c r="K62" s="497"/>
      <c r="L62" s="497"/>
      <c r="M62" s="497"/>
      <c r="N62" s="497"/>
      <c r="O62" s="497"/>
      <c r="P62" s="497"/>
      <c r="Q62" s="497"/>
      <c r="R62" s="497"/>
      <c r="S62" s="497"/>
      <c r="T62" s="497"/>
      <c r="U62" s="497"/>
      <c r="V62" s="497"/>
      <c r="W62" s="497"/>
      <c r="X62" s="497"/>
      <c r="Y62" s="497"/>
      <c r="Z62" s="497"/>
      <c r="AA62" s="497"/>
      <c r="AB62" s="497"/>
      <c r="AC62" s="497"/>
      <c r="AD62" s="497"/>
      <c r="AE62" s="497"/>
      <c r="AF62" s="497"/>
      <c r="AG62" s="107"/>
    </row>
    <row r="63" spans="1:33" hidden="1" outlineLevel="1">
      <c r="A63" s="100"/>
      <c r="B63" s="269" t="str">
        <f>H15</f>
        <v>Process 6</v>
      </c>
      <c r="C63" s="497">
        <f>IF($H$45="",0,$H$45)</f>
        <v>0</v>
      </c>
      <c r="D63" s="497">
        <f t="shared" ref="D63:G63" si="24">IF($H$45="",0,$H$45)</f>
        <v>0</v>
      </c>
      <c r="E63" s="497">
        <f t="shared" si="24"/>
        <v>0</v>
      </c>
      <c r="F63" s="497">
        <f t="shared" si="24"/>
        <v>0</v>
      </c>
      <c r="G63" s="497">
        <f t="shared" si="24"/>
        <v>0</v>
      </c>
      <c r="H63" s="497"/>
      <c r="I63" s="497"/>
      <c r="J63" s="497"/>
      <c r="K63" s="497"/>
      <c r="L63" s="497"/>
      <c r="M63" s="497"/>
      <c r="N63" s="497"/>
      <c r="O63" s="497"/>
      <c r="P63" s="497"/>
      <c r="Q63" s="497"/>
      <c r="R63" s="497"/>
      <c r="S63" s="497"/>
      <c r="T63" s="497"/>
      <c r="U63" s="497"/>
      <c r="V63" s="497"/>
      <c r="W63" s="497"/>
      <c r="X63" s="497"/>
      <c r="Y63" s="497"/>
      <c r="Z63" s="497"/>
      <c r="AA63" s="497"/>
      <c r="AB63" s="497"/>
      <c r="AC63" s="497"/>
      <c r="AD63" s="497"/>
      <c r="AE63" s="497"/>
      <c r="AF63" s="497"/>
      <c r="AG63" s="107"/>
    </row>
    <row r="64" spans="1:33" hidden="1" outlineLevel="1">
      <c r="A64" s="100"/>
      <c r="B64" s="106" t="str">
        <f>I15</f>
        <v>Process 7</v>
      </c>
      <c r="C64" s="497">
        <f>IF($I$45="",0,$I$45)</f>
        <v>0</v>
      </c>
      <c r="D64" s="497">
        <f t="shared" ref="D64:H64" si="25">IF($I$45="",0,$I$45)</f>
        <v>0</v>
      </c>
      <c r="E64" s="497">
        <f t="shared" si="25"/>
        <v>0</v>
      </c>
      <c r="F64" s="497">
        <f t="shared" si="25"/>
        <v>0</v>
      </c>
      <c r="G64" s="497">
        <f t="shared" si="25"/>
        <v>0</v>
      </c>
      <c r="H64" s="497">
        <f t="shared" si="25"/>
        <v>0</v>
      </c>
      <c r="I64" s="497"/>
      <c r="J64" s="497"/>
      <c r="K64" s="497"/>
      <c r="L64" s="497"/>
      <c r="M64" s="497"/>
      <c r="N64" s="497"/>
      <c r="O64" s="497"/>
      <c r="P64" s="497"/>
      <c r="Q64" s="497"/>
      <c r="R64" s="497"/>
      <c r="S64" s="497"/>
      <c r="T64" s="497"/>
      <c r="U64" s="497"/>
      <c r="V64" s="497"/>
      <c r="W64" s="497"/>
      <c r="X64" s="497"/>
      <c r="Y64" s="497"/>
      <c r="Z64" s="497"/>
      <c r="AA64" s="497"/>
      <c r="AB64" s="497"/>
      <c r="AC64" s="497"/>
      <c r="AD64" s="497"/>
      <c r="AE64" s="497"/>
      <c r="AF64" s="497"/>
      <c r="AG64" s="107"/>
    </row>
    <row r="65" spans="1:33" hidden="1" outlineLevel="1">
      <c r="A65" s="100"/>
      <c r="B65" s="106" t="str">
        <f>J15</f>
        <v>Process 8</v>
      </c>
      <c r="C65" s="497">
        <f>IF($J$45="",0,$J$45)</f>
        <v>0</v>
      </c>
      <c r="D65" s="497">
        <f t="shared" ref="D65:I65" si="26">IF($J$45="",0,$J$45)</f>
        <v>0</v>
      </c>
      <c r="E65" s="497">
        <f t="shared" si="26"/>
        <v>0</v>
      </c>
      <c r="F65" s="497">
        <f t="shared" si="26"/>
        <v>0</v>
      </c>
      <c r="G65" s="497">
        <f t="shared" si="26"/>
        <v>0</v>
      </c>
      <c r="H65" s="497">
        <f t="shared" si="26"/>
        <v>0</v>
      </c>
      <c r="I65" s="497">
        <f t="shared" si="26"/>
        <v>0</v>
      </c>
      <c r="J65" s="497"/>
      <c r="K65" s="497"/>
      <c r="L65" s="497"/>
      <c r="M65" s="497"/>
      <c r="N65" s="497"/>
      <c r="O65" s="497"/>
      <c r="P65" s="497"/>
      <c r="Q65" s="497"/>
      <c r="R65" s="497"/>
      <c r="S65" s="497"/>
      <c r="T65" s="497"/>
      <c r="U65" s="497"/>
      <c r="V65" s="497"/>
      <c r="W65" s="497"/>
      <c r="X65" s="497"/>
      <c r="Y65" s="497"/>
      <c r="Z65" s="497"/>
      <c r="AA65" s="497"/>
      <c r="AB65" s="497"/>
      <c r="AC65" s="497"/>
      <c r="AD65" s="497"/>
      <c r="AE65" s="497"/>
      <c r="AF65" s="497"/>
      <c r="AG65" s="107"/>
    </row>
    <row r="66" spans="1:33" hidden="1" outlineLevel="1">
      <c r="A66" s="100"/>
      <c r="B66" s="106" t="str">
        <f>K15</f>
        <v>Process 9</v>
      </c>
      <c r="C66" s="497">
        <f>IF($K$45="",0,$K$45)</f>
        <v>0</v>
      </c>
      <c r="D66" s="497">
        <f t="shared" ref="D66:J66" si="27">IF($K$45="",0,$K$45)</f>
        <v>0</v>
      </c>
      <c r="E66" s="497">
        <f t="shared" si="27"/>
        <v>0</v>
      </c>
      <c r="F66" s="497">
        <f t="shared" si="27"/>
        <v>0</v>
      </c>
      <c r="G66" s="497">
        <f t="shared" si="27"/>
        <v>0</v>
      </c>
      <c r="H66" s="497">
        <f t="shared" si="27"/>
        <v>0</v>
      </c>
      <c r="I66" s="497">
        <f t="shared" si="27"/>
        <v>0</v>
      </c>
      <c r="J66" s="497">
        <f t="shared" si="27"/>
        <v>0</v>
      </c>
      <c r="K66" s="497"/>
      <c r="L66" s="497"/>
      <c r="M66" s="497"/>
      <c r="N66" s="497"/>
      <c r="O66" s="497"/>
      <c r="P66" s="497"/>
      <c r="Q66" s="497"/>
      <c r="R66" s="497"/>
      <c r="S66" s="497"/>
      <c r="T66" s="497"/>
      <c r="U66" s="497"/>
      <c r="V66" s="497"/>
      <c r="W66" s="497"/>
      <c r="X66" s="497"/>
      <c r="Y66" s="497"/>
      <c r="Z66" s="497"/>
      <c r="AA66" s="497"/>
      <c r="AB66" s="497"/>
      <c r="AC66" s="497"/>
      <c r="AD66" s="497"/>
      <c r="AE66" s="497"/>
      <c r="AF66" s="497"/>
      <c r="AG66" s="107"/>
    </row>
    <row r="67" spans="1:33" hidden="1" outlineLevel="1">
      <c r="A67" s="100"/>
      <c r="B67" s="106" t="str">
        <f>L15</f>
        <v>Process 10</v>
      </c>
      <c r="C67" s="497">
        <f>IF($L$45="",0,$L$45)</f>
        <v>0</v>
      </c>
      <c r="D67" s="497">
        <f t="shared" ref="D67:I67" si="28">IF($L$45="",0,$L$45)</f>
        <v>0</v>
      </c>
      <c r="E67" s="497">
        <f t="shared" si="28"/>
        <v>0</v>
      </c>
      <c r="F67" s="497">
        <f t="shared" si="28"/>
        <v>0</v>
      </c>
      <c r="G67" s="497">
        <f t="shared" si="28"/>
        <v>0</v>
      </c>
      <c r="H67" s="497">
        <f t="shared" si="28"/>
        <v>0</v>
      </c>
      <c r="I67" s="497">
        <f t="shared" si="28"/>
        <v>0</v>
      </c>
      <c r="J67" s="497">
        <f>IF($L$45="",0,$L$45)</f>
        <v>0</v>
      </c>
      <c r="K67" s="497">
        <f>IF($L$45="",0,$L$45)</f>
        <v>0</v>
      </c>
      <c r="L67" s="497"/>
      <c r="M67" s="497"/>
      <c r="N67" s="497"/>
      <c r="O67" s="497"/>
      <c r="P67" s="497"/>
      <c r="Q67" s="497"/>
      <c r="R67" s="497"/>
      <c r="S67" s="497"/>
      <c r="T67" s="497"/>
      <c r="U67" s="497"/>
      <c r="V67" s="497"/>
      <c r="W67" s="497"/>
      <c r="X67" s="497"/>
      <c r="Y67" s="497"/>
      <c r="Z67" s="497"/>
      <c r="AA67" s="497"/>
      <c r="AB67" s="497"/>
      <c r="AC67" s="497"/>
      <c r="AD67" s="497"/>
      <c r="AE67" s="497"/>
      <c r="AF67" s="497"/>
      <c r="AG67" s="107"/>
    </row>
    <row r="68" spans="1:33" hidden="1" outlineLevel="1">
      <c r="A68" s="100"/>
      <c r="B68" s="106" t="str">
        <f>M15</f>
        <v>Process 11</v>
      </c>
      <c r="C68" s="497">
        <f>IF($M$45="",0,$M$45)</f>
        <v>0</v>
      </c>
      <c r="D68" s="497">
        <f t="shared" ref="D68:L68" si="29">IF($M$45="",0,$M$45)</f>
        <v>0</v>
      </c>
      <c r="E68" s="497">
        <f t="shared" si="29"/>
        <v>0</v>
      </c>
      <c r="F68" s="497">
        <f t="shared" si="29"/>
        <v>0</v>
      </c>
      <c r="G68" s="497">
        <f t="shared" si="29"/>
        <v>0</v>
      </c>
      <c r="H68" s="497">
        <f t="shared" si="29"/>
        <v>0</v>
      </c>
      <c r="I68" s="497">
        <f t="shared" si="29"/>
        <v>0</v>
      </c>
      <c r="J68" s="497">
        <f t="shared" si="29"/>
        <v>0</v>
      </c>
      <c r="K68" s="497">
        <f t="shared" si="29"/>
        <v>0</v>
      </c>
      <c r="L68" s="497">
        <f t="shared" si="29"/>
        <v>0</v>
      </c>
      <c r="M68" s="497"/>
      <c r="N68" s="497"/>
      <c r="O68" s="497"/>
      <c r="P68" s="497"/>
      <c r="Q68" s="497"/>
      <c r="R68" s="497"/>
      <c r="S68" s="497"/>
      <c r="T68" s="497"/>
      <c r="U68" s="497"/>
      <c r="V68" s="497"/>
      <c r="W68" s="497"/>
      <c r="X68" s="497"/>
      <c r="Y68" s="497"/>
      <c r="Z68" s="497"/>
      <c r="AA68" s="497"/>
      <c r="AB68" s="497"/>
      <c r="AC68" s="497"/>
      <c r="AD68" s="497"/>
      <c r="AE68" s="497"/>
      <c r="AF68" s="497"/>
      <c r="AG68" s="107"/>
    </row>
    <row r="69" spans="1:33" hidden="1" outlineLevel="1">
      <c r="A69" s="100"/>
      <c r="B69" s="106" t="str">
        <f>N15</f>
        <v>Process 12</v>
      </c>
      <c r="C69" s="497">
        <f>IF($N$45="",0,$N$45)</f>
        <v>0</v>
      </c>
      <c r="D69" s="497">
        <f t="shared" ref="D69:M69" si="30">IF($N$45="",0,$N$45)</f>
        <v>0</v>
      </c>
      <c r="E69" s="497">
        <f t="shared" si="30"/>
        <v>0</v>
      </c>
      <c r="F69" s="497">
        <f t="shared" si="30"/>
        <v>0</v>
      </c>
      <c r="G69" s="497">
        <f t="shared" si="30"/>
        <v>0</v>
      </c>
      <c r="H69" s="497">
        <f t="shared" si="30"/>
        <v>0</v>
      </c>
      <c r="I69" s="497">
        <f t="shared" si="30"/>
        <v>0</v>
      </c>
      <c r="J69" s="497">
        <f t="shared" si="30"/>
        <v>0</v>
      </c>
      <c r="K69" s="497">
        <f t="shared" si="30"/>
        <v>0</v>
      </c>
      <c r="L69" s="497">
        <f t="shared" si="30"/>
        <v>0</v>
      </c>
      <c r="M69" s="497">
        <f t="shared" si="30"/>
        <v>0</v>
      </c>
      <c r="N69" s="497"/>
      <c r="O69" s="497"/>
      <c r="P69" s="497"/>
      <c r="Q69" s="497"/>
      <c r="R69" s="497"/>
      <c r="S69" s="497"/>
      <c r="T69" s="497"/>
      <c r="U69" s="497"/>
      <c r="V69" s="497"/>
      <c r="W69" s="497"/>
      <c r="X69" s="497"/>
      <c r="Y69" s="497"/>
      <c r="Z69" s="497"/>
      <c r="AA69" s="497"/>
      <c r="AB69" s="497"/>
      <c r="AC69" s="497"/>
      <c r="AD69" s="497"/>
      <c r="AE69" s="497"/>
      <c r="AF69" s="497"/>
      <c r="AG69" s="107"/>
    </row>
    <row r="70" spans="1:33" hidden="1" outlineLevel="1">
      <c r="A70" s="100"/>
      <c r="B70" s="106" t="str">
        <f>O15</f>
        <v>Process 13</v>
      </c>
      <c r="C70" s="497">
        <f>IF($O$45="",0,$O$45)</f>
        <v>0</v>
      </c>
      <c r="D70" s="497">
        <f t="shared" ref="D70:N70" si="31">IF($O$45="",0,$O$45)</f>
        <v>0</v>
      </c>
      <c r="E70" s="497">
        <f t="shared" si="31"/>
        <v>0</v>
      </c>
      <c r="F70" s="497">
        <f t="shared" si="31"/>
        <v>0</v>
      </c>
      <c r="G70" s="497">
        <f t="shared" si="31"/>
        <v>0</v>
      </c>
      <c r="H70" s="497">
        <f t="shared" si="31"/>
        <v>0</v>
      </c>
      <c r="I70" s="497">
        <f t="shared" si="31"/>
        <v>0</v>
      </c>
      <c r="J70" s="497">
        <f t="shared" si="31"/>
        <v>0</v>
      </c>
      <c r="K70" s="497">
        <f t="shared" si="31"/>
        <v>0</v>
      </c>
      <c r="L70" s="497">
        <f t="shared" si="31"/>
        <v>0</v>
      </c>
      <c r="M70" s="497">
        <f t="shared" si="31"/>
        <v>0</v>
      </c>
      <c r="N70" s="497">
        <f t="shared" si="31"/>
        <v>0</v>
      </c>
      <c r="O70" s="497"/>
      <c r="P70" s="497"/>
      <c r="Q70" s="497"/>
      <c r="R70" s="497"/>
      <c r="S70" s="497"/>
      <c r="T70" s="497"/>
      <c r="U70" s="497"/>
      <c r="V70" s="497"/>
      <c r="W70" s="497"/>
      <c r="X70" s="497"/>
      <c r="Y70" s="497"/>
      <c r="Z70" s="497"/>
      <c r="AA70" s="497"/>
      <c r="AB70" s="497"/>
      <c r="AC70" s="497"/>
      <c r="AD70" s="497"/>
      <c r="AE70" s="497"/>
      <c r="AF70" s="497"/>
      <c r="AG70" s="107"/>
    </row>
    <row r="71" spans="1:33" hidden="1" outlineLevel="1">
      <c r="A71" s="100"/>
      <c r="B71" s="106" t="str">
        <f>P15</f>
        <v>Process 14</v>
      </c>
      <c r="C71" s="497">
        <f>IF($P$45="",0,$P$45)</f>
        <v>0</v>
      </c>
      <c r="D71" s="497">
        <f t="shared" ref="D71:O71" si="32">IF($P$45="",0,$P$45)</f>
        <v>0</v>
      </c>
      <c r="E71" s="497">
        <f t="shared" si="32"/>
        <v>0</v>
      </c>
      <c r="F71" s="497">
        <f t="shared" si="32"/>
        <v>0</v>
      </c>
      <c r="G71" s="497">
        <f t="shared" si="32"/>
        <v>0</v>
      </c>
      <c r="H71" s="497">
        <f t="shared" si="32"/>
        <v>0</v>
      </c>
      <c r="I71" s="497">
        <f t="shared" si="32"/>
        <v>0</v>
      </c>
      <c r="J71" s="497">
        <f t="shared" si="32"/>
        <v>0</v>
      </c>
      <c r="K71" s="497">
        <f t="shared" si="32"/>
        <v>0</v>
      </c>
      <c r="L71" s="497">
        <f t="shared" si="32"/>
        <v>0</v>
      </c>
      <c r="M71" s="497">
        <f t="shared" si="32"/>
        <v>0</v>
      </c>
      <c r="N71" s="497">
        <f t="shared" si="32"/>
        <v>0</v>
      </c>
      <c r="O71" s="497">
        <f t="shared" si="32"/>
        <v>0</v>
      </c>
      <c r="P71" s="497"/>
      <c r="Q71" s="497"/>
      <c r="R71" s="497"/>
      <c r="S71" s="497"/>
      <c r="T71" s="497"/>
      <c r="U71" s="497"/>
      <c r="V71" s="497"/>
      <c r="W71" s="497"/>
      <c r="X71" s="497"/>
      <c r="Y71" s="497"/>
      <c r="Z71" s="497"/>
      <c r="AA71" s="497"/>
      <c r="AB71" s="497"/>
      <c r="AC71" s="497"/>
      <c r="AD71" s="497"/>
      <c r="AE71" s="497"/>
      <c r="AF71" s="497"/>
      <c r="AG71" s="107"/>
    </row>
    <row r="72" spans="1:33" hidden="1" outlineLevel="1">
      <c r="A72" s="100"/>
      <c r="B72" s="106" t="str">
        <f>Q15</f>
        <v>Process 15</v>
      </c>
      <c r="C72" s="497">
        <f>IF($Q$45="",0,$Q$45)</f>
        <v>0</v>
      </c>
      <c r="D72" s="497">
        <f t="shared" ref="D72:P72" si="33">IF($Q$45="",0,$Q$45)</f>
        <v>0</v>
      </c>
      <c r="E72" s="497">
        <f t="shared" si="33"/>
        <v>0</v>
      </c>
      <c r="F72" s="497">
        <f t="shared" si="33"/>
        <v>0</v>
      </c>
      <c r="G72" s="497">
        <f t="shared" si="33"/>
        <v>0</v>
      </c>
      <c r="H72" s="497">
        <f t="shared" si="33"/>
        <v>0</v>
      </c>
      <c r="I72" s="497">
        <f t="shared" si="33"/>
        <v>0</v>
      </c>
      <c r="J72" s="497">
        <f t="shared" si="33"/>
        <v>0</v>
      </c>
      <c r="K72" s="497">
        <f t="shared" si="33"/>
        <v>0</v>
      </c>
      <c r="L72" s="497">
        <f t="shared" si="33"/>
        <v>0</v>
      </c>
      <c r="M72" s="497">
        <f t="shared" si="33"/>
        <v>0</v>
      </c>
      <c r="N72" s="497">
        <f t="shared" si="33"/>
        <v>0</v>
      </c>
      <c r="O72" s="497">
        <f t="shared" si="33"/>
        <v>0</v>
      </c>
      <c r="P72" s="497">
        <f t="shared" si="33"/>
        <v>0</v>
      </c>
      <c r="Q72" s="497"/>
      <c r="R72" s="497"/>
      <c r="S72" s="497"/>
      <c r="T72" s="497"/>
      <c r="U72" s="497"/>
      <c r="V72" s="497"/>
      <c r="W72" s="497"/>
      <c r="X72" s="497"/>
      <c r="Y72" s="497"/>
      <c r="Z72" s="497"/>
      <c r="AA72" s="497"/>
      <c r="AB72" s="497"/>
      <c r="AC72" s="497"/>
      <c r="AD72" s="497"/>
      <c r="AE72" s="497"/>
      <c r="AF72" s="497"/>
      <c r="AG72" s="107"/>
    </row>
    <row r="73" spans="1:33" hidden="1" outlineLevel="1">
      <c r="A73" s="100"/>
      <c r="B73" s="106" t="str">
        <f>R15</f>
        <v>Process 16</v>
      </c>
      <c r="C73" s="497">
        <f>IF($R$45="",0,$R$45)</f>
        <v>0</v>
      </c>
      <c r="D73" s="497">
        <f t="shared" ref="D73:Q73" si="34">IF($R$45="",0,$R$45)</f>
        <v>0</v>
      </c>
      <c r="E73" s="497">
        <f t="shared" si="34"/>
        <v>0</v>
      </c>
      <c r="F73" s="497">
        <f t="shared" si="34"/>
        <v>0</v>
      </c>
      <c r="G73" s="497">
        <f t="shared" si="34"/>
        <v>0</v>
      </c>
      <c r="H73" s="497">
        <f t="shared" si="34"/>
        <v>0</v>
      </c>
      <c r="I73" s="497">
        <f t="shared" si="34"/>
        <v>0</v>
      </c>
      <c r="J73" s="497">
        <f t="shared" si="34"/>
        <v>0</v>
      </c>
      <c r="K73" s="497">
        <f t="shared" si="34"/>
        <v>0</v>
      </c>
      <c r="L73" s="497">
        <f t="shared" si="34"/>
        <v>0</v>
      </c>
      <c r="M73" s="497">
        <f t="shared" si="34"/>
        <v>0</v>
      </c>
      <c r="N73" s="497">
        <f t="shared" si="34"/>
        <v>0</v>
      </c>
      <c r="O73" s="497">
        <f t="shared" si="34"/>
        <v>0</v>
      </c>
      <c r="P73" s="497">
        <f t="shared" si="34"/>
        <v>0</v>
      </c>
      <c r="Q73" s="497">
        <f t="shared" si="34"/>
        <v>0</v>
      </c>
      <c r="R73" s="497"/>
      <c r="S73" s="497"/>
      <c r="T73" s="497"/>
      <c r="U73" s="497"/>
      <c r="V73" s="497"/>
      <c r="W73" s="497"/>
      <c r="X73" s="497"/>
      <c r="Y73" s="497"/>
      <c r="Z73" s="497"/>
      <c r="AA73" s="497"/>
      <c r="AB73" s="497"/>
      <c r="AC73" s="497"/>
      <c r="AD73" s="497"/>
      <c r="AE73" s="497"/>
      <c r="AF73" s="497"/>
      <c r="AG73" s="107"/>
    </row>
    <row r="74" spans="1:33" hidden="1" outlineLevel="1">
      <c r="A74" s="100"/>
      <c r="B74" s="106" t="str">
        <f>S15</f>
        <v>Process 17</v>
      </c>
      <c r="C74" s="497">
        <f>IF($S$45="",0,$S$45)</f>
        <v>0</v>
      </c>
      <c r="D74" s="497">
        <f t="shared" ref="D74:R74" si="35">IF($S$45="",0,$S$45)</f>
        <v>0</v>
      </c>
      <c r="E74" s="497">
        <f t="shared" si="35"/>
        <v>0</v>
      </c>
      <c r="F74" s="497">
        <f t="shared" si="35"/>
        <v>0</v>
      </c>
      <c r="G74" s="497">
        <f t="shared" si="35"/>
        <v>0</v>
      </c>
      <c r="H74" s="497">
        <f t="shared" si="35"/>
        <v>0</v>
      </c>
      <c r="I74" s="497">
        <f t="shared" si="35"/>
        <v>0</v>
      </c>
      <c r="J74" s="497">
        <f t="shared" si="35"/>
        <v>0</v>
      </c>
      <c r="K74" s="497">
        <f t="shared" si="35"/>
        <v>0</v>
      </c>
      <c r="L74" s="497">
        <f t="shared" si="35"/>
        <v>0</v>
      </c>
      <c r="M74" s="497">
        <f t="shared" si="35"/>
        <v>0</v>
      </c>
      <c r="N74" s="497">
        <f t="shared" si="35"/>
        <v>0</v>
      </c>
      <c r="O74" s="497">
        <f t="shared" si="35"/>
        <v>0</v>
      </c>
      <c r="P74" s="497">
        <f t="shared" si="35"/>
        <v>0</v>
      </c>
      <c r="Q74" s="497">
        <f t="shared" si="35"/>
        <v>0</v>
      </c>
      <c r="R74" s="497">
        <f t="shared" si="35"/>
        <v>0</v>
      </c>
      <c r="S74" s="497"/>
      <c r="T74" s="497"/>
      <c r="U74" s="497"/>
      <c r="V74" s="497"/>
      <c r="W74" s="497"/>
      <c r="X74" s="497"/>
      <c r="Y74" s="497"/>
      <c r="Z74" s="497"/>
      <c r="AA74" s="497"/>
      <c r="AB74" s="497"/>
      <c r="AC74" s="497"/>
      <c r="AD74" s="497"/>
      <c r="AE74" s="497"/>
      <c r="AF74" s="497"/>
      <c r="AG74" s="107"/>
    </row>
    <row r="75" spans="1:33" hidden="1" outlineLevel="1">
      <c r="A75" s="100"/>
      <c r="B75" s="106" t="str">
        <f>T15</f>
        <v>Process 18</v>
      </c>
      <c r="C75" s="497">
        <f>IF($T$45="",0,$T$45)</f>
        <v>0</v>
      </c>
      <c r="D75" s="497">
        <f t="shared" ref="D75:S75" si="36">IF($T$45="",0,$T$45)</f>
        <v>0</v>
      </c>
      <c r="E75" s="497">
        <f t="shared" si="36"/>
        <v>0</v>
      </c>
      <c r="F75" s="497">
        <f t="shared" si="36"/>
        <v>0</v>
      </c>
      <c r="G75" s="497">
        <f t="shared" si="36"/>
        <v>0</v>
      </c>
      <c r="H75" s="497">
        <f t="shared" si="36"/>
        <v>0</v>
      </c>
      <c r="I75" s="497">
        <f t="shared" si="36"/>
        <v>0</v>
      </c>
      <c r="J75" s="497">
        <f t="shared" si="36"/>
        <v>0</v>
      </c>
      <c r="K75" s="497">
        <f t="shared" si="36"/>
        <v>0</v>
      </c>
      <c r="L75" s="497">
        <f t="shared" si="36"/>
        <v>0</v>
      </c>
      <c r="M75" s="497">
        <f t="shared" si="36"/>
        <v>0</v>
      </c>
      <c r="N75" s="497">
        <f t="shared" si="36"/>
        <v>0</v>
      </c>
      <c r="O75" s="497">
        <f t="shared" si="36"/>
        <v>0</v>
      </c>
      <c r="P75" s="497">
        <f t="shared" si="36"/>
        <v>0</v>
      </c>
      <c r="Q75" s="497">
        <f t="shared" si="36"/>
        <v>0</v>
      </c>
      <c r="R75" s="497">
        <f t="shared" si="36"/>
        <v>0</v>
      </c>
      <c r="S75" s="497">
        <f t="shared" si="36"/>
        <v>0</v>
      </c>
      <c r="T75" s="497"/>
      <c r="U75" s="497"/>
      <c r="V75" s="497"/>
      <c r="W75" s="497"/>
      <c r="X75" s="497"/>
      <c r="Y75" s="497"/>
      <c r="Z75" s="497"/>
      <c r="AA75" s="497"/>
      <c r="AB75" s="497"/>
      <c r="AC75" s="497"/>
      <c r="AD75" s="497"/>
      <c r="AE75" s="497"/>
      <c r="AF75" s="497"/>
      <c r="AG75" s="107"/>
    </row>
    <row r="76" spans="1:33" hidden="1" outlineLevel="1">
      <c r="A76" s="100"/>
      <c r="B76" s="106" t="str">
        <f>U15</f>
        <v>Process 19</v>
      </c>
      <c r="C76" s="497">
        <f>IF($U$45="",0,$U$45)</f>
        <v>0</v>
      </c>
      <c r="D76" s="497">
        <f t="shared" ref="D76:T76" si="37">IF($U$45="",0,$U$45)</f>
        <v>0</v>
      </c>
      <c r="E76" s="497">
        <f t="shared" si="37"/>
        <v>0</v>
      </c>
      <c r="F76" s="497">
        <f t="shared" si="37"/>
        <v>0</v>
      </c>
      <c r="G76" s="497">
        <f t="shared" si="37"/>
        <v>0</v>
      </c>
      <c r="H76" s="497">
        <f t="shared" si="37"/>
        <v>0</v>
      </c>
      <c r="I76" s="497">
        <f t="shared" si="37"/>
        <v>0</v>
      </c>
      <c r="J76" s="497">
        <f t="shared" si="37"/>
        <v>0</v>
      </c>
      <c r="K76" s="497">
        <f t="shared" si="37"/>
        <v>0</v>
      </c>
      <c r="L76" s="497">
        <f t="shared" si="37"/>
        <v>0</v>
      </c>
      <c r="M76" s="497">
        <f t="shared" si="37"/>
        <v>0</v>
      </c>
      <c r="N76" s="497">
        <f t="shared" si="37"/>
        <v>0</v>
      </c>
      <c r="O76" s="497">
        <f t="shared" si="37"/>
        <v>0</v>
      </c>
      <c r="P76" s="497">
        <f t="shared" si="37"/>
        <v>0</v>
      </c>
      <c r="Q76" s="497">
        <f t="shared" si="37"/>
        <v>0</v>
      </c>
      <c r="R76" s="497">
        <f t="shared" si="37"/>
        <v>0</v>
      </c>
      <c r="S76" s="497">
        <f t="shared" si="37"/>
        <v>0</v>
      </c>
      <c r="T76" s="497">
        <f t="shared" si="37"/>
        <v>0</v>
      </c>
      <c r="U76" s="497"/>
      <c r="V76" s="497"/>
      <c r="W76" s="497"/>
      <c r="X76" s="497"/>
      <c r="Y76" s="497"/>
      <c r="Z76" s="497"/>
      <c r="AA76" s="497"/>
      <c r="AB76" s="497"/>
      <c r="AC76" s="497"/>
      <c r="AD76" s="497"/>
      <c r="AE76" s="497"/>
      <c r="AF76" s="497"/>
      <c r="AG76" s="107"/>
    </row>
    <row r="77" spans="1:33" hidden="1" outlineLevel="1">
      <c r="A77" s="100"/>
      <c r="B77" s="106" t="str">
        <f>V15</f>
        <v>Process 20</v>
      </c>
      <c r="C77" s="497">
        <f>IF($V$45="",0,$V$45)</f>
        <v>0</v>
      </c>
      <c r="D77" s="497">
        <f t="shared" ref="D77:U77" si="38">IF($V$45="",0,$V$45)</f>
        <v>0</v>
      </c>
      <c r="E77" s="497">
        <f t="shared" si="38"/>
        <v>0</v>
      </c>
      <c r="F77" s="497">
        <f t="shared" si="38"/>
        <v>0</v>
      </c>
      <c r="G77" s="497">
        <f t="shared" si="38"/>
        <v>0</v>
      </c>
      <c r="H77" s="497">
        <f t="shared" si="38"/>
        <v>0</v>
      </c>
      <c r="I77" s="497">
        <f t="shared" si="38"/>
        <v>0</v>
      </c>
      <c r="J77" s="497">
        <f t="shared" si="38"/>
        <v>0</v>
      </c>
      <c r="K77" s="497">
        <f t="shared" si="38"/>
        <v>0</v>
      </c>
      <c r="L77" s="497">
        <f t="shared" si="38"/>
        <v>0</v>
      </c>
      <c r="M77" s="497">
        <f t="shared" si="38"/>
        <v>0</v>
      </c>
      <c r="N77" s="497">
        <f t="shared" si="38"/>
        <v>0</v>
      </c>
      <c r="O77" s="497">
        <f t="shared" si="38"/>
        <v>0</v>
      </c>
      <c r="P77" s="497">
        <f t="shared" si="38"/>
        <v>0</v>
      </c>
      <c r="Q77" s="497">
        <f t="shared" si="38"/>
        <v>0</v>
      </c>
      <c r="R77" s="497">
        <f t="shared" si="38"/>
        <v>0</v>
      </c>
      <c r="S77" s="497">
        <f t="shared" si="38"/>
        <v>0</v>
      </c>
      <c r="T77" s="497">
        <f t="shared" si="38"/>
        <v>0</v>
      </c>
      <c r="U77" s="497">
        <f t="shared" si="38"/>
        <v>0</v>
      </c>
      <c r="V77" s="497"/>
      <c r="W77" s="497"/>
      <c r="X77" s="497"/>
      <c r="Y77" s="497"/>
      <c r="Z77" s="497"/>
      <c r="AA77" s="497"/>
      <c r="AB77" s="497"/>
      <c r="AC77" s="497"/>
      <c r="AD77" s="497"/>
      <c r="AE77" s="497"/>
      <c r="AF77" s="497"/>
      <c r="AG77" s="107"/>
    </row>
    <row r="78" spans="1:33" hidden="1" outlineLevel="1">
      <c r="A78" s="100"/>
      <c r="B78" s="106" t="str">
        <f>W15</f>
        <v>Process 21</v>
      </c>
      <c r="C78" s="497">
        <f>IF($W$45="",0,$W$45)</f>
        <v>0</v>
      </c>
      <c r="D78" s="497">
        <f t="shared" ref="D78:V78" si="39">IF($W$45="",0,$W$45)</f>
        <v>0</v>
      </c>
      <c r="E78" s="497">
        <f t="shared" si="39"/>
        <v>0</v>
      </c>
      <c r="F78" s="497">
        <f t="shared" si="39"/>
        <v>0</v>
      </c>
      <c r="G78" s="497">
        <f t="shared" si="39"/>
        <v>0</v>
      </c>
      <c r="H78" s="497">
        <f t="shared" si="39"/>
        <v>0</v>
      </c>
      <c r="I78" s="497">
        <f t="shared" si="39"/>
        <v>0</v>
      </c>
      <c r="J78" s="497">
        <f t="shared" si="39"/>
        <v>0</v>
      </c>
      <c r="K78" s="497">
        <f t="shared" si="39"/>
        <v>0</v>
      </c>
      <c r="L78" s="497">
        <f t="shared" si="39"/>
        <v>0</v>
      </c>
      <c r="M78" s="497">
        <f t="shared" si="39"/>
        <v>0</v>
      </c>
      <c r="N78" s="497">
        <f t="shared" si="39"/>
        <v>0</v>
      </c>
      <c r="O78" s="497">
        <f t="shared" si="39"/>
        <v>0</v>
      </c>
      <c r="P78" s="497">
        <f t="shared" si="39"/>
        <v>0</v>
      </c>
      <c r="Q78" s="497">
        <f t="shared" si="39"/>
        <v>0</v>
      </c>
      <c r="R78" s="497">
        <f t="shared" si="39"/>
        <v>0</v>
      </c>
      <c r="S78" s="497">
        <f t="shared" si="39"/>
        <v>0</v>
      </c>
      <c r="T78" s="497">
        <f t="shared" si="39"/>
        <v>0</v>
      </c>
      <c r="U78" s="497">
        <f t="shared" si="39"/>
        <v>0</v>
      </c>
      <c r="V78" s="497">
        <f t="shared" si="39"/>
        <v>0</v>
      </c>
      <c r="W78" s="497"/>
      <c r="X78" s="497"/>
      <c r="Y78" s="497"/>
      <c r="Z78" s="497"/>
      <c r="AA78" s="497"/>
      <c r="AB78" s="497"/>
      <c r="AC78" s="497"/>
      <c r="AD78" s="497"/>
      <c r="AE78" s="497"/>
      <c r="AF78" s="497"/>
      <c r="AG78" s="107"/>
    </row>
    <row r="79" spans="1:33" hidden="1" outlineLevel="1">
      <c r="A79" s="100"/>
      <c r="B79" s="106" t="str">
        <f>X15</f>
        <v>Process 22</v>
      </c>
      <c r="C79" s="497">
        <f>IF($X$45="",0,$X$45)</f>
        <v>0</v>
      </c>
      <c r="D79" s="497">
        <f t="shared" ref="D79:W79" si="40">IF($X$45="",0,$X$45)</f>
        <v>0</v>
      </c>
      <c r="E79" s="497">
        <f t="shared" si="40"/>
        <v>0</v>
      </c>
      <c r="F79" s="497">
        <f t="shared" si="40"/>
        <v>0</v>
      </c>
      <c r="G79" s="497">
        <f t="shared" si="40"/>
        <v>0</v>
      </c>
      <c r="H79" s="497">
        <f t="shared" si="40"/>
        <v>0</v>
      </c>
      <c r="I79" s="497">
        <f t="shared" si="40"/>
        <v>0</v>
      </c>
      <c r="J79" s="497">
        <f t="shared" si="40"/>
        <v>0</v>
      </c>
      <c r="K79" s="497">
        <f t="shared" si="40"/>
        <v>0</v>
      </c>
      <c r="L79" s="497">
        <f t="shared" si="40"/>
        <v>0</v>
      </c>
      <c r="M79" s="497">
        <f t="shared" si="40"/>
        <v>0</v>
      </c>
      <c r="N79" s="497">
        <f t="shared" si="40"/>
        <v>0</v>
      </c>
      <c r="O79" s="497">
        <f t="shared" si="40"/>
        <v>0</v>
      </c>
      <c r="P79" s="497">
        <f t="shared" si="40"/>
        <v>0</v>
      </c>
      <c r="Q79" s="497">
        <f t="shared" si="40"/>
        <v>0</v>
      </c>
      <c r="R79" s="497">
        <f t="shared" si="40"/>
        <v>0</v>
      </c>
      <c r="S79" s="497">
        <f t="shared" si="40"/>
        <v>0</v>
      </c>
      <c r="T79" s="497">
        <f t="shared" si="40"/>
        <v>0</v>
      </c>
      <c r="U79" s="497">
        <f t="shared" si="40"/>
        <v>0</v>
      </c>
      <c r="V79" s="497">
        <f t="shared" si="40"/>
        <v>0</v>
      </c>
      <c r="W79" s="497">
        <f t="shared" si="40"/>
        <v>0</v>
      </c>
      <c r="X79" s="497"/>
      <c r="Y79" s="497"/>
      <c r="Z79" s="497"/>
      <c r="AA79" s="497"/>
      <c r="AB79" s="497"/>
      <c r="AC79" s="497"/>
      <c r="AD79" s="497"/>
      <c r="AE79" s="497"/>
      <c r="AF79" s="497"/>
      <c r="AG79" s="107"/>
    </row>
    <row r="80" spans="1:33" hidden="1" outlineLevel="1">
      <c r="A80" s="100"/>
      <c r="B80" s="106" t="str">
        <f>Y15</f>
        <v>Process 23</v>
      </c>
      <c r="C80" s="497">
        <f>IF($Y$45="",0,$Y$45)</f>
        <v>0</v>
      </c>
      <c r="D80" s="497">
        <f t="shared" ref="D80:X80" si="41">IF($Y$45="",0,$Y$45)</f>
        <v>0</v>
      </c>
      <c r="E80" s="497">
        <f t="shared" si="41"/>
        <v>0</v>
      </c>
      <c r="F80" s="497">
        <f t="shared" si="41"/>
        <v>0</v>
      </c>
      <c r="G80" s="497">
        <f t="shared" si="41"/>
        <v>0</v>
      </c>
      <c r="H80" s="497">
        <f t="shared" si="41"/>
        <v>0</v>
      </c>
      <c r="I80" s="497">
        <f t="shared" si="41"/>
        <v>0</v>
      </c>
      <c r="J80" s="497">
        <f t="shared" si="41"/>
        <v>0</v>
      </c>
      <c r="K80" s="497">
        <f t="shared" si="41"/>
        <v>0</v>
      </c>
      <c r="L80" s="497">
        <f t="shared" si="41"/>
        <v>0</v>
      </c>
      <c r="M80" s="497">
        <f t="shared" si="41"/>
        <v>0</v>
      </c>
      <c r="N80" s="497">
        <f t="shared" si="41"/>
        <v>0</v>
      </c>
      <c r="O80" s="497">
        <f t="shared" si="41"/>
        <v>0</v>
      </c>
      <c r="P80" s="497">
        <f t="shared" si="41"/>
        <v>0</v>
      </c>
      <c r="Q80" s="497">
        <f t="shared" si="41"/>
        <v>0</v>
      </c>
      <c r="R80" s="497">
        <f t="shared" si="41"/>
        <v>0</v>
      </c>
      <c r="S80" s="497">
        <f t="shared" si="41"/>
        <v>0</v>
      </c>
      <c r="T80" s="497">
        <f t="shared" si="41"/>
        <v>0</v>
      </c>
      <c r="U80" s="497">
        <f t="shared" si="41"/>
        <v>0</v>
      </c>
      <c r="V80" s="497">
        <f t="shared" si="41"/>
        <v>0</v>
      </c>
      <c r="W80" s="497">
        <f t="shared" si="41"/>
        <v>0</v>
      </c>
      <c r="X80" s="497">
        <f t="shared" si="41"/>
        <v>0</v>
      </c>
      <c r="Y80" s="497"/>
      <c r="Z80" s="497"/>
      <c r="AA80" s="497"/>
      <c r="AB80" s="497"/>
      <c r="AC80" s="497"/>
      <c r="AD80" s="497"/>
      <c r="AE80" s="497"/>
      <c r="AF80" s="497"/>
      <c r="AG80" s="107"/>
    </row>
    <row r="81" spans="1:33" hidden="1" outlineLevel="1">
      <c r="A81" s="100"/>
      <c r="B81" s="106" t="str">
        <f>Z15</f>
        <v>Process 24</v>
      </c>
      <c r="C81" s="497">
        <f>IF($Z$45="",0,$Z$45)</f>
        <v>0</v>
      </c>
      <c r="D81" s="497">
        <f t="shared" ref="D81:Y81" si="42">IF($Z$45="",0,$Z$45)</f>
        <v>0</v>
      </c>
      <c r="E81" s="497">
        <f t="shared" si="42"/>
        <v>0</v>
      </c>
      <c r="F81" s="497">
        <f t="shared" si="42"/>
        <v>0</v>
      </c>
      <c r="G81" s="497">
        <f t="shared" si="42"/>
        <v>0</v>
      </c>
      <c r="H81" s="497">
        <f t="shared" si="42"/>
        <v>0</v>
      </c>
      <c r="I81" s="497">
        <f t="shared" si="42"/>
        <v>0</v>
      </c>
      <c r="J81" s="497">
        <f t="shared" si="42"/>
        <v>0</v>
      </c>
      <c r="K81" s="497">
        <f t="shared" si="42"/>
        <v>0</v>
      </c>
      <c r="L81" s="497">
        <f t="shared" si="42"/>
        <v>0</v>
      </c>
      <c r="M81" s="497">
        <f t="shared" si="42"/>
        <v>0</v>
      </c>
      <c r="N81" s="497">
        <f t="shared" si="42"/>
        <v>0</v>
      </c>
      <c r="O81" s="497">
        <f t="shared" si="42"/>
        <v>0</v>
      </c>
      <c r="P81" s="497">
        <f t="shared" si="42"/>
        <v>0</v>
      </c>
      <c r="Q81" s="497">
        <f t="shared" si="42"/>
        <v>0</v>
      </c>
      <c r="R81" s="497">
        <f t="shared" si="42"/>
        <v>0</v>
      </c>
      <c r="S81" s="497">
        <f t="shared" si="42"/>
        <v>0</v>
      </c>
      <c r="T81" s="497">
        <f t="shared" si="42"/>
        <v>0</v>
      </c>
      <c r="U81" s="497">
        <f t="shared" si="42"/>
        <v>0</v>
      </c>
      <c r="V81" s="497">
        <f t="shared" si="42"/>
        <v>0</v>
      </c>
      <c r="W81" s="497">
        <f t="shared" si="42"/>
        <v>0</v>
      </c>
      <c r="X81" s="497">
        <f t="shared" si="42"/>
        <v>0</v>
      </c>
      <c r="Y81" s="497">
        <f t="shared" si="42"/>
        <v>0</v>
      </c>
      <c r="Z81" s="497"/>
      <c r="AA81" s="497"/>
      <c r="AB81" s="497"/>
      <c r="AC81" s="497"/>
      <c r="AD81" s="497"/>
      <c r="AE81" s="497"/>
      <c r="AF81" s="497"/>
      <c r="AG81" s="107"/>
    </row>
    <row r="82" spans="1:33" hidden="1" outlineLevel="1">
      <c r="A82" s="100"/>
      <c r="B82" s="106" t="str">
        <f>AA15</f>
        <v>Process 25</v>
      </c>
      <c r="C82" s="497">
        <f>IF($AA$45="",0,$AA$45)</f>
        <v>0</v>
      </c>
      <c r="D82" s="497">
        <f t="shared" ref="D82:Z82" si="43">IF($AA$45="",0,$AA$45)</f>
        <v>0</v>
      </c>
      <c r="E82" s="497">
        <f t="shared" si="43"/>
        <v>0</v>
      </c>
      <c r="F82" s="497">
        <f t="shared" si="43"/>
        <v>0</v>
      </c>
      <c r="G82" s="497">
        <f t="shared" si="43"/>
        <v>0</v>
      </c>
      <c r="H82" s="497">
        <f t="shared" si="43"/>
        <v>0</v>
      </c>
      <c r="I82" s="497">
        <f t="shared" si="43"/>
        <v>0</v>
      </c>
      <c r="J82" s="497">
        <f t="shared" si="43"/>
        <v>0</v>
      </c>
      <c r="K82" s="497">
        <f t="shared" si="43"/>
        <v>0</v>
      </c>
      <c r="L82" s="497">
        <f t="shared" si="43"/>
        <v>0</v>
      </c>
      <c r="M82" s="497">
        <f t="shared" si="43"/>
        <v>0</v>
      </c>
      <c r="N82" s="497">
        <f t="shared" si="43"/>
        <v>0</v>
      </c>
      <c r="O82" s="497">
        <f t="shared" si="43"/>
        <v>0</v>
      </c>
      <c r="P82" s="497">
        <f t="shared" si="43"/>
        <v>0</v>
      </c>
      <c r="Q82" s="497">
        <f t="shared" si="43"/>
        <v>0</v>
      </c>
      <c r="R82" s="497">
        <f t="shared" si="43"/>
        <v>0</v>
      </c>
      <c r="S82" s="497">
        <f t="shared" si="43"/>
        <v>0</v>
      </c>
      <c r="T82" s="497">
        <f t="shared" si="43"/>
        <v>0</v>
      </c>
      <c r="U82" s="497">
        <f t="shared" si="43"/>
        <v>0</v>
      </c>
      <c r="V82" s="497">
        <f t="shared" si="43"/>
        <v>0</v>
      </c>
      <c r="W82" s="497">
        <f t="shared" si="43"/>
        <v>0</v>
      </c>
      <c r="X82" s="497">
        <f t="shared" si="43"/>
        <v>0</v>
      </c>
      <c r="Y82" s="497">
        <f t="shared" si="43"/>
        <v>0</v>
      </c>
      <c r="Z82" s="497">
        <f t="shared" si="43"/>
        <v>0</v>
      </c>
      <c r="AA82" s="497"/>
      <c r="AB82" s="497"/>
      <c r="AC82" s="497"/>
      <c r="AD82" s="497"/>
      <c r="AE82" s="497"/>
      <c r="AF82" s="497"/>
      <c r="AG82" s="107"/>
    </row>
    <row r="83" spans="1:33" hidden="1" outlineLevel="1">
      <c r="A83" s="100"/>
      <c r="B83" s="106" t="str">
        <f>AB15</f>
        <v>Process 26</v>
      </c>
      <c r="C83" s="497">
        <f>IF($AB$45="",0,$AB$45)</f>
        <v>0</v>
      </c>
      <c r="D83" s="497">
        <f t="shared" ref="D83:AA83" si="44">IF($AB$45="",0,$AB$45)</f>
        <v>0</v>
      </c>
      <c r="E83" s="497">
        <f t="shared" si="44"/>
        <v>0</v>
      </c>
      <c r="F83" s="497">
        <f t="shared" si="44"/>
        <v>0</v>
      </c>
      <c r="G83" s="497">
        <f t="shared" si="44"/>
        <v>0</v>
      </c>
      <c r="H83" s="497">
        <f t="shared" si="44"/>
        <v>0</v>
      </c>
      <c r="I83" s="497">
        <f t="shared" si="44"/>
        <v>0</v>
      </c>
      <c r="J83" s="497">
        <f t="shared" si="44"/>
        <v>0</v>
      </c>
      <c r="K83" s="497">
        <f t="shared" si="44"/>
        <v>0</v>
      </c>
      <c r="L83" s="497">
        <f t="shared" si="44"/>
        <v>0</v>
      </c>
      <c r="M83" s="497">
        <f t="shared" si="44"/>
        <v>0</v>
      </c>
      <c r="N83" s="497">
        <f t="shared" si="44"/>
        <v>0</v>
      </c>
      <c r="O83" s="497">
        <f t="shared" si="44"/>
        <v>0</v>
      </c>
      <c r="P83" s="497">
        <f t="shared" si="44"/>
        <v>0</v>
      </c>
      <c r="Q83" s="497">
        <f t="shared" si="44"/>
        <v>0</v>
      </c>
      <c r="R83" s="497">
        <f t="shared" si="44"/>
        <v>0</v>
      </c>
      <c r="S83" s="497">
        <f t="shared" si="44"/>
        <v>0</v>
      </c>
      <c r="T83" s="497">
        <f t="shared" si="44"/>
        <v>0</v>
      </c>
      <c r="U83" s="497">
        <f t="shared" si="44"/>
        <v>0</v>
      </c>
      <c r="V83" s="497">
        <f t="shared" si="44"/>
        <v>0</v>
      </c>
      <c r="W83" s="497">
        <f t="shared" si="44"/>
        <v>0</v>
      </c>
      <c r="X83" s="497">
        <f t="shared" si="44"/>
        <v>0</v>
      </c>
      <c r="Y83" s="497">
        <f t="shared" si="44"/>
        <v>0</v>
      </c>
      <c r="Z83" s="497">
        <f t="shared" si="44"/>
        <v>0</v>
      </c>
      <c r="AA83" s="497">
        <f t="shared" si="44"/>
        <v>0</v>
      </c>
      <c r="AB83" s="497"/>
      <c r="AC83" s="497"/>
      <c r="AD83" s="497"/>
      <c r="AE83" s="497"/>
      <c r="AF83" s="497"/>
      <c r="AG83" s="107"/>
    </row>
    <row r="84" spans="1:33" hidden="1" outlineLevel="1">
      <c r="A84" s="100"/>
      <c r="B84" s="106" t="str">
        <f>AC15</f>
        <v>Process 27</v>
      </c>
      <c r="C84" s="497">
        <f>IF($AC$45="",0,$AC$45)</f>
        <v>0</v>
      </c>
      <c r="D84" s="497">
        <f t="shared" ref="D84:AB84" si="45">IF($AC$45="",0,$AC$45)</f>
        <v>0</v>
      </c>
      <c r="E84" s="497">
        <f t="shared" si="45"/>
        <v>0</v>
      </c>
      <c r="F84" s="497">
        <f t="shared" si="45"/>
        <v>0</v>
      </c>
      <c r="G84" s="497">
        <f t="shared" si="45"/>
        <v>0</v>
      </c>
      <c r="H84" s="497">
        <f t="shared" si="45"/>
        <v>0</v>
      </c>
      <c r="I84" s="497">
        <f t="shared" si="45"/>
        <v>0</v>
      </c>
      <c r="J84" s="497">
        <f t="shared" si="45"/>
        <v>0</v>
      </c>
      <c r="K84" s="497">
        <f t="shared" si="45"/>
        <v>0</v>
      </c>
      <c r="L84" s="497">
        <f t="shared" si="45"/>
        <v>0</v>
      </c>
      <c r="M84" s="497">
        <f t="shared" si="45"/>
        <v>0</v>
      </c>
      <c r="N84" s="497">
        <f t="shared" si="45"/>
        <v>0</v>
      </c>
      <c r="O84" s="497">
        <f t="shared" si="45"/>
        <v>0</v>
      </c>
      <c r="P84" s="497">
        <f t="shared" si="45"/>
        <v>0</v>
      </c>
      <c r="Q84" s="497">
        <f t="shared" si="45"/>
        <v>0</v>
      </c>
      <c r="R84" s="497">
        <f t="shared" si="45"/>
        <v>0</v>
      </c>
      <c r="S84" s="497">
        <f t="shared" si="45"/>
        <v>0</v>
      </c>
      <c r="T84" s="497">
        <f t="shared" si="45"/>
        <v>0</v>
      </c>
      <c r="U84" s="497">
        <f t="shared" si="45"/>
        <v>0</v>
      </c>
      <c r="V84" s="497">
        <f t="shared" si="45"/>
        <v>0</v>
      </c>
      <c r="W84" s="497">
        <f t="shared" si="45"/>
        <v>0</v>
      </c>
      <c r="X84" s="497">
        <f t="shared" si="45"/>
        <v>0</v>
      </c>
      <c r="Y84" s="497">
        <f t="shared" si="45"/>
        <v>0</v>
      </c>
      <c r="Z84" s="497">
        <f t="shared" si="45"/>
        <v>0</v>
      </c>
      <c r="AA84" s="497">
        <f t="shared" si="45"/>
        <v>0</v>
      </c>
      <c r="AB84" s="497">
        <f t="shared" si="45"/>
        <v>0</v>
      </c>
      <c r="AC84" s="497"/>
      <c r="AD84" s="497"/>
      <c r="AE84" s="497"/>
      <c r="AF84" s="497"/>
      <c r="AG84" s="107"/>
    </row>
    <row r="85" spans="1:33" hidden="1" outlineLevel="1">
      <c r="A85" s="100"/>
      <c r="B85" s="106" t="str">
        <f>AD15</f>
        <v>Process 28</v>
      </c>
      <c r="C85" s="497">
        <f>IF($AD$45="",0,$AD$45)</f>
        <v>0</v>
      </c>
      <c r="D85" s="497">
        <f t="shared" ref="D85:AC85" si="46">IF($AD$45="",0,$AD$45)</f>
        <v>0</v>
      </c>
      <c r="E85" s="497">
        <f t="shared" si="46"/>
        <v>0</v>
      </c>
      <c r="F85" s="497">
        <f t="shared" si="46"/>
        <v>0</v>
      </c>
      <c r="G85" s="497">
        <f t="shared" si="46"/>
        <v>0</v>
      </c>
      <c r="H85" s="497">
        <f t="shared" si="46"/>
        <v>0</v>
      </c>
      <c r="I85" s="497">
        <f t="shared" si="46"/>
        <v>0</v>
      </c>
      <c r="J85" s="497">
        <f t="shared" si="46"/>
        <v>0</v>
      </c>
      <c r="K85" s="497">
        <f t="shared" si="46"/>
        <v>0</v>
      </c>
      <c r="L85" s="497">
        <f t="shared" si="46"/>
        <v>0</v>
      </c>
      <c r="M85" s="497">
        <f t="shared" si="46"/>
        <v>0</v>
      </c>
      <c r="N85" s="497">
        <f t="shared" si="46"/>
        <v>0</v>
      </c>
      <c r="O85" s="497">
        <f t="shared" si="46"/>
        <v>0</v>
      </c>
      <c r="P85" s="497">
        <f t="shared" si="46"/>
        <v>0</v>
      </c>
      <c r="Q85" s="497">
        <f t="shared" si="46"/>
        <v>0</v>
      </c>
      <c r="R85" s="497">
        <f t="shared" si="46"/>
        <v>0</v>
      </c>
      <c r="S85" s="497">
        <f t="shared" si="46"/>
        <v>0</v>
      </c>
      <c r="T85" s="497">
        <f t="shared" si="46"/>
        <v>0</v>
      </c>
      <c r="U85" s="497">
        <f t="shared" si="46"/>
        <v>0</v>
      </c>
      <c r="V85" s="497">
        <f t="shared" si="46"/>
        <v>0</v>
      </c>
      <c r="W85" s="497">
        <f t="shared" si="46"/>
        <v>0</v>
      </c>
      <c r="X85" s="497">
        <f t="shared" si="46"/>
        <v>0</v>
      </c>
      <c r="Y85" s="497">
        <f t="shared" si="46"/>
        <v>0</v>
      </c>
      <c r="Z85" s="497">
        <f t="shared" si="46"/>
        <v>0</v>
      </c>
      <c r="AA85" s="497">
        <f t="shared" si="46"/>
        <v>0</v>
      </c>
      <c r="AB85" s="497">
        <f t="shared" si="46"/>
        <v>0</v>
      </c>
      <c r="AC85" s="497">
        <f t="shared" si="46"/>
        <v>0</v>
      </c>
      <c r="AD85" s="497"/>
      <c r="AE85" s="497"/>
      <c r="AF85" s="497"/>
      <c r="AG85" s="107"/>
    </row>
    <row r="86" spans="1:33" hidden="1" outlineLevel="1">
      <c r="A86" s="100"/>
      <c r="B86" s="106" t="str">
        <f>AE15</f>
        <v>Process 29</v>
      </c>
      <c r="C86" s="497">
        <f>IF($AE$45="",0,$AE$45)</f>
        <v>0</v>
      </c>
      <c r="D86" s="497">
        <f t="shared" ref="D86:AD86" si="47">IF($AE$45="",0,$AE$45)</f>
        <v>0</v>
      </c>
      <c r="E86" s="497">
        <f t="shared" si="47"/>
        <v>0</v>
      </c>
      <c r="F86" s="497">
        <f t="shared" si="47"/>
        <v>0</v>
      </c>
      <c r="G86" s="497">
        <f t="shared" si="47"/>
        <v>0</v>
      </c>
      <c r="H86" s="497">
        <f t="shared" si="47"/>
        <v>0</v>
      </c>
      <c r="I86" s="497">
        <f t="shared" si="47"/>
        <v>0</v>
      </c>
      <c r="J86" s="497">
        <f t="shared" si="47"/>
        <v>0</v>
      </c>
      <c r="K86" s="497">
        <f t="shared" si="47"/>
        <v>0</v>
      </c>
      <c r="L86" s="497">
        <f t="shared" si="47"/>
        <v>0</v>
      </c>
      <c r="M86" s="497">
        <f t="shared" si="47"/>
        <v>0</v>
      </c>
      <c r="N86" s="497">
        <f t="shared" si="47"/>
        <v>0</v>
      </c>
      <c r="O86" s="497">
        <f t="shared" si="47"/>
        <v>0</v>
      </c>
      <c r="P86" s="497">
        <f t="shared" si="47"/>
        <v>0</v>
      </c>
      <c r="Q86" s="497">
        <f t="shared" si="47"/>
        <v>0</v>
      </c>
      <c r="R86" s="497">
        <f t="shared" si="47"/>
        <v>0</v>
      </c>
      <c r="S86" s="497">
        <f t="shared" si="47"/>
        <v>0</v>
      </c>
      <c r="T86" s="497">
        <f t="shared" si="47"/>
        <v>0</v>
      </c>
      <c r="U86" s="497">
        <f t="shared" si="47"/>
        <v>0</v>
      </c>
      <c r="V86" s="497">
        <f t="shared" si="47"/>
        <v>0</v>
      </c>
      <c r="W86" s="497">
        <f t="shared" si="47"/>
        <v>0</v>
      </c>
      <c r="X86" s="497">
        <f t="shared" si="47"/>
        <v>0</v>
      </c>
      <c r="Y86" s="497">
        <f t="shared" si="47"/>
        <v>0</v>
      </c>
      <c r="Z86" s="497">
        <f t="shared" si="47"/>
        <v>0</v>
      </c>
      <c r="AA86" s="497">
        <f t="shared" si="47"/>
        <v>0</v>
      </c>
      <c r="AB86" s="497">
        <f t="shared" si="47"/>
        <v>0</v>
      </c>
      <c r="AC86" s="497">
        <f t="shared" si="47"/>
        <v>0</v>
      </c>
      <c r="AD86" s="497">
        <f t="shared" si="47"/>
        <v>0</v>
      </c>
      <c r="AE86" s="497"/>
      <c r="AF86" s="497"/>
      <c r="AG86" s="107"/>
    </row>
    <row r="87" spans="1:33" hidden="1" outlineLevel="1">
      <c r="A87" s="100"/>
      <c r="B87" s="106" t="str">
        <f>AF15</f>
        <v>Process 30</v>
      </c>
      <c r="C87" s="497">
        <f>IF($AF$45="",0,$AF$45)</f>
        <v>0</v>
      </c>
      <c r="D87" s="497">
        <f t="shared" ref="D87:AE87" si="48">IF($AF$45="",0,$AF$45)</f>
        <v>0</v>
      </c>
      <c r="E87" s="497">
        <f t="shared" si="48"/>
        <v>0</v>
      </c>
      <c r="F87" s="497">
        <f t="shared" si="48"/>
        <v>0</v>
      </c>
      <c r="G87" s="497">
        <f t="shared" si="48"/>
        <v>0</v>
      </c>
      <c r="H87" s="497">
        <f t="shared" si="48"/>
        <v>0</v>
      </c>
      <c r="I87" s="497">
        <f t="shared" si="48"/>
        <v>0</v>
      </c>
      <c r="J87" s="497">
        <f t="shared" si="48"/>
        <v>0</v>
      </c>
      <c r="K87" s="497">
        <f t="shared" si="48"/>
        <v>0</v>
      </c>
      <c r="L87" s="497">
        <f t="shared" si="48"/>
        <v>0</v>
      </c>
      <c r="M87" s="497">
        <f t="shared" si="48"/>
        <v>0</v>
      </c>
      <c r="N87" s="497">
        <f t="shared" si="48"/>
        <v>0</v>
      </c>
      <c r="O87" s="497">
        <f t="shared" si="48"/>
        <v>0</v>
      </c>
      <c r="P87" s="497">
        <f t="shared" si="48"/>
        <v>0</v>
      </c>
      <c r="Q87" s="497">
        <f t="shared" si="48"/>
        <v>0</v>
      </c>
      <c r="R87" s="497">
        <f t="shared" si="48"/>
        <v>0</v>
      </c>
      <c r="S87" s="497">
        <f t="shared" si="48"/>
        <v>0</v>
      </c>
      <c r="T87" s="497">
        <f t="shared" si="48"/>
        <v>0</v>
      </c>
      <c r="U87" s="497">
        <f t="shared" si="48"/>
        <v>0</v>
      </c>
      <c r="V87" s="497">
        <f t="shared" si="48"/>
        <v>0</v>
      </c>
      <c r="W87" s="497">
        <f t="shared" si="48"/>
        <v>0</v>
      </c>
      <c r="X87" s="497">
        <f t="shared" si="48"/>
        <v>0</v>
      </c>
      <c r="Y87" s="497">
        <f t="shared" si="48"/>
        <v>0</v>
      </c>
      <c r="Z87" s="497">
        <f t="shared" si="48"/>
        <v>0</v>
      </c>
      <c r="AA87" s="497">
        <f t="shared" si="48"/>
        <v>0</v>
      </c>
      <c r="AB87" s="497">
        <f t="shared" si="48"/>
        <v>0</v>
      </c>
      <c r="AC87" s="497">
        <f t="shared" si="48"/>
        <v>0</v>
      </c>
      <c r="AD87" s="497">
        <f t="shared" si="48"/>
        <v>0</v>
      </c>
      <c r="AE87" s="497">
        <f t="shared" si="48"/>
        <v>0</v>
      </c>
      <c r="AF87" s="497"/>
      <c r="AG87" s="107"/>
    </row>
    <row r="88" spans="1:33" s="98" customFormat="1" ht="11" hidden="1" outlineLevel="1" thickBot="1">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9"/>
    </row>
  </sheetData>
  <sheetProtection formatCells="0" formatColumns="0" formatRows="0"/>
  <mergeCells count="7">
    <mergeCell ref="C7:D7"/>
    <mergeCell ref="C9:D11"/>
    <mergeCell ref="A1:AG1"/>
    <mergeCell ref="C4:H4"/>
    <mergeCell ref="C5:H5"/>
    <mergeCell ref="C6:D6"/>
    <mergeCell ref="E6:H6"/>
  </mergeCells>
  <phoneticPr fontId="76" type="noConversion"/>
  <conditionalFormatting sqref="C53:AF53">
    <cfRule type="cellIs" dxfId="18" priority="30" operator="lessThan">
      <formula>0</formula>
    </cfRule>
  </conditionalFormatting>
  <conditionalFormatting sqref="C51:AF52">
    <cfRule type="cellIs" dxfId="17" priority="31" operator="equal">
      <formula>""</formula>
    </cfRule>
    <cfRule type="expression" dxfId="16" priority="32">
      <formula>C55&lt;=C51</formula>
    </cfRule>
    <cfRule type="expression" dxfId="15" priority="34">
      <formula>C55&gt;C51</formula>
    </cfRule>
  </conditionalFormatting>
  <conditionalFormatting sqref="J26:AF26">
    <cfRule type="cellIs" dxfId="14" priority="10" operator="greaterThan">
      <formula>$C$6</formula>
    </cfRule>
  </conditionalFormatting>
  <conditionalFormatting sqref="J32:AF32">
    <cfRule type="cellIs" dxfId="13" priority="9" operator="greaterThan">
      <formula>0.85</formula>
    </cfRule>
  </conditionalFormatting>
  <conditionalFormatting sqref="J26:AF26">
    <cfRule type="cellIs" dxfId="12" priority="8" operator="greaterThan">
      <formula>$C$6</formula>
    </cfRule>
  </conditionalFormatting>
  <conditionalFormatting sqref="C26:I26">
    <cfRule type="cellIs" dxfId="11" priority="5" operator="greaterThan">
      <formula>$C$6</formula>
    </cfRule>
  </conditionalFormatting>
  <conditionalFormatting sqref="C32:D32 I32">
    <cfRule type="cellIs" dxfId="10" priority="4" operator="greaterThan">
      <formula>0.85</formula>
    </cfRule>
  </conditionalFormatting>
  <conditionalFormatting sqref="E32">
    <cfRule type="cellIs" dxfId="9" priority="3" operator="greaterThan">
      <formula>0.85</formula>
    </cfRule>
  </conditionalFormatting>
  <conditionalFormatting sqref="F32">
    <cfRule type="cellIs" dxfId="8" priority="2" operator="greaterThan">
      <formula>0.85</formula>
    </cfRule>
  </conditionalFormatting>
  <conditionalFormatting sqref="G32:H32">
    <cfRule type="cellIs" dxfId="7" priority="1" operator="greaterThan">
      <formula>0.85</formula>
    </cfRule>
  </conditionalFormatting>
  <dataValidations count="14">
    <dataValidation type="time" allowBlank="1" showInputMessage="1" showErrorMessage="1" errorTitle="Umrechnung Zeit - Minuten" error="Bitte geben Sie eine gültige Zeit im Format [hh:mm:ss] ein." sqref="F11:G11" xr:uid="{00000000-0002-0000-0200-000003000000}">
      <formula1>0</formula1>
      <formula2>0.999988425925926</formula2>
    </dataValidation>
    <dataValidation allowBlank="1" showInputMessage="1" showErrorMessage="1" errorTitle="Umrechnung Stunden - Minuten" error="Bitte geben Sie eine positive Zahl ein._x000a_Es können ausschließlich positive Zahlen umgerechnet werden." sqref="E8:E11 F10:H10" xr:uid="{00000000-0002-0000-0200-000004000000}"/>
    <dataValidation type="decimal" allowBlank="1" showInputMessage="1" showErrorMessage="1" errorTitle="Umrechnung Stunden - Minuten" error="Bitte geben Sie eine positive Zahl ein._x000a_Es können ausschließlich positive Zahlen umgerechnet werden." sqref="F9:G9 H11" xr:uid="{00000000-0002-0000-0200-000005000000}">
      <formula1>0</formula1>
      <formula2>1000000</formula2>
    </dataValidation>
    <dataValidation allowBlank="1" showInputMessage="1" showErrorMessage="1" error="Bitte geben Sie eine ganze Zahl ein" sqref="B37 B38:AF40" xr:uid="{00000000-0002-0000-0200-000007000000}"/>
    <dataValidation type="whole" allowBlank="1" showInputMessage="1" showErrorMessage="1" sqref="D12" xr:uid="{00000000-0002-0000-0200-000008000000}">
      <formula1>1</formula1>
      <formula2>2</formula2>
    </dataValidation>
    <dataValidation type="decimal" allowBlank="1" showInputMessage="1" showErrorMessage="1" error="Bitte geben Sie eine Zahl zwischen 0 und 100% ein" sqref="AG45:XFD45 A45" xr:uid="{00000000-0002-0000-0200-00000A000000}">
      <formula1>0</formula1>
      <formula2>1</formula2>
    </dataValidation>
    <dataValidation allowBlank="1" showInputMessage="1" showErrorMessage="1" error="Bitte geben Sie eine Zahl zwischen 0 und 100% ein" sqref="B45 A46:XFD46" xr:uid="{00000000-0002-0000-0200-00000B000000}"/>
    <dataValidation type="decimal" operator="greaterThanOrEqual" allowBlank="1" showInputMessage="1" showErrorMessage="1" error="Bitte geben Sie eine %-Zahl größer 0 ein" sqref="C21:AF21" xr:uid="{00000000-0002-0000-0200-000000000000}">
      <formula1>0</formula1>
    </dataValidation>
    <dataValidation type="whole" allowBlank="1" showInputMessage="1" showErrorMessage="1" error="Bitte geben Sie eine ganze Zahl ein" sqref="C47:AF47 C33:AF33" xr:uid="{00000000-0002-0000-0200-000001000000}">
      <formula1>0</formula1>
      <formula2>999999</formula2>
    </dataValidation>
    <dataValidation type="decimal" allowBlank="1" showInputMessage="1" showErrorMessage="1" error="Bitte geben Sie eine %-Zahl zwischen 1% und 100% ein" sqref="C32:AF32 C37:AF37" xr:uid="{00000000-0002-0000-0200-000002000000}">
      <formula1>0</formula1>
      <formula2>1</formula2>
    </dataValidation>
    <dataValidation type="decimal" allowBlank="1" showInputMessage="1" showErrorMessage="1" error="Bitte geben Sie eine Zahl ein" sqref="C25:AF26" xr:uid="{00000000-0002-0000-0200-000006000000}">
      <formula1>0</formula1>
      <formula2>9999999</formula2>
    </dataValidation>
    <dataValidation type="whole" allowBlank="1" showInputMessage="1" showErrorMessage="1" error="Bitte geben Sie eine ganze Zahl ein" sqref="C19:AF20 C27:AF27" xr:uid="{00000000-0002-0000-0200-000009000000}">
      <formula1>0</formula1>
      <formula2>9999999</formula2>
    </dataValidation>
    <dataValidation type="decimal" operator="greaterThan" allowBlank="1" showInputMessage="1" showErrorMessage="1" error="Bitte geben Sie eine ganze Zahl ein" sqref="C43:AF43" xr:uid="{00000000-0002-0000-0200-00000C000000}">
      <formula1>0</formula1>
    </dataValidation>
    <dataValidation type="decimal" allowBlank="1" showInputMessage="1" showErrorMessage="1" sqref="C44:AF45" xr:uid="{00000000-0002-0000-0200-00000D000000}">
      <formula1>0</formula1>
      <formula2>10</formula2>
    </dataValidation>
  </dataValidations>
  <printOptions horizontalCentered="1"/>
  <pageMargins left="0.70866141732283472" right="0.70866141732283472" top="0.9055118110236221" bottom="0.78740157480314965" header="0.31496062992125984" footer="0.31496062992125984"/>
  <pageSetup paperSize="9" scale="32" orientation="landscape" r:id="rId1"/>
  <headerFooter>
    <oddHeader>&amp;L&amp;"Calibri"&amp;10&amp;K000000 INTERNAL&amp;1#_x000D_&amp;"Arialri"&amp;11&amp;K000000
&amp;"Calibri,Standard"Kapazitätsplanung und abnahme
&amp;A&amp;R&amp;G</oddHeader>
    <oddFooter>&amp;L&amp;"Audi Type,Standard"&amp;8&amp;F_x000D_&amp;1#&amp;"Calibri"&amp;10&amp;K000000 Internal&amp;C&amp;"Audi Type,Standard"&amp;8&amp;P von &amp;N&amp;R&amp;"Audi Type,Standard"&amp;8&amp;D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9153" r:id="rId5" name="Option Button 1">
              <controlPr defaultSize="0" autoFill="0" autoLine="0" autoPict="0">
                <anchor moveWithCells="1">
                  <from>
                    <xdr:col>1</xdr:col>
                    <xdr:colOff>444500</xdr:colOff>
                    <xdr:row>8</xdr:row>
                    <xdr:rowOff>203200</xdr:rowOff>
                  </from>
                  <to>
                    <xdr:col>1</xdr:col>
                    <xdr:colOff>1714500</xdr:colOff>
                    <xdr:row>10</xdr:row>
                    <xdr:rowOff>38100</xdr:rowOff>
                  </to>
                </anchor>
              </controlPr>
            </control>
          </mc:Choice>
        </mc:AlternateContent>
        <mc:AlternateContent xmlns:mc="http://schemas.openxmlformats.org/markup-compatibility/2006">
          <mc:Choice Requires="x14">
            <control shapeId="49154" r:id="rId6" name="Option Button 2">
              <controlPr defaultSize="0" autoFill="0" autoLine="0" autoPict="0">
                <anchor moveWithCells="1">
                  <from>
                    <xdr:col>1</xdr:col>
                    <xdr:colOff>1714500</xdr:colOff>
                    <xdr:row>8</xdr:row>
                    <xdr:rowOff>203200</xdr:rowOff>
                  </from>
                  <to>
                    <xdr:col>1</xdr:col>
                    <xdr:colOff>2984500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Uebertragen">
    <outlinePr summaryBelow="0" summaryRight="0"/>
    <pageSetUpPr fitToPage="1"/>
  </sheetPr>
  <dimension ref="A1:AR104"/>
  <sheetViews>
    <sheetView tabSelected="1" topLeftCell="A13" zoomScale="125" zoomScaleNormal="80" workbookViewId="0">
      <selection activeCell="C68" sqref="C68"/>
    </sheetView>
  </sheetViews>
  <sheetFormatPr baseColWidth="10" defaultColWidth="11" defaultRowHeight="13" outlineLevelRow="1" outlineLevelCol="1"/>
  <cols>
    <col min="1" max="1" width="2.5" style="91" customWidth="1"/>
    <col min="2" max="2" width="47" style="91" customWidth="1"/>
    <col min="3" max="11" width="22.1640625" style="91" customWidth="1"/>
    <col min="12" max="12" width="22.1640625" style="91" customWidth="1" collapsed="1"/>
    <col min="13" max="32" width="22.1640625" style="91" hidden="1" customWidth="1" outlineLevel="1"/>
    <col min="33" max="33" width="2.5" style="91" customWidth="1"/>
    <col min="34" max="45" width="11" style="91"/>
    <col min="46" max="46" width="69.33203125" style="91" customWidth="1"/>
    <col min="47" max="16384" width="11" style="91"/>
  </cols>
  <sheetData>
    <row r="1" spans="1:44" ht="36" thickBot="1">
      <c r="A1" s="520" t="s">
        <v>238</v>
      </c>
      <c r="B1" s="520"/>
      <c r="C1" s="520"/>
      <c r="D1" s="520"/>
      <c r="E1" s="520"/>
      <c r="F1" s="520"/>
      <c r="G1" s="520"/>
      <c r="H1" s="520"/>
      <c r="I1" s="520"/>
      <c r="J1" s="520"/>
      <c r="K1" s="520"/>
      <c r="L1" s="520"/>
      <c r="M1" s="520"/>
      <c r="N1" s="520"/>
      <c r="O1" s="520"/>
      <c r="P1" s="520"/>
      <c r="Q1" s="520"/>
      <c r="R1" s="520"/>
      <c r="S1" s="520"/>
      <c r="T1" s="520"/>
      <c r="U1" s="520"/>
      <c r="V1" s="520"/>
      <c r="W1" s="520"/>
      <c r="X1" s="520"/>
      <c r="Y1" s="520"/>
      <c r="Z1" s="520"/>
      <c r="AA1" s="520"/>
      <c r="AB1" s="520"/>
      <c r="AC1" s="520"/>
      <c r="AD1" s="520"/>
      <c r="AE1" s="520"/>
      <c r="AF1" s="520"/>
      <c r="AG1" s="520"/>
      <c r="AR1" s="102"/>
    </row>
    <row r="2" spans="1:44" ht="28">
      <c r="A2" s="92"/>
      <c r="B2" s="93" t="s">
        <v>152</v>
      </c>
      <c r="C2" s="523" t="s">
        <v>207</v>
      </c>
      <c r="D2" s="523"/>
      <c r="E2" s="523"/>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322"/>
    </row>
    <row r="3" spans="1:44" s="98" customFormat="1" ht="10">
      <c r="A3" s="97"/>
      <c r="AG3" s="99"/>
    </row>
    <row r="4" spans="1:44" ht="14">
      <c r="A4" s="100"/>
      <c r="B4" s="103" t="s">
        <v>97</v>
      </c>
      <c r="C4" s="519">
        <f>Datasheet!C11</f>
        <v>0</v>
      </c>
      <c r="D4" s="519"/>
      <c r="E4" s="519"/>
      <c r="F4" s="519"/>
      <c r="G4" s="519"/>
      <c r="H4" s="519"/>
      <c r="I4" s="265"/>
      <c r="J4" s="265"/>
      <c r="K4" s="265"/>
      <c r="L4" s="265"/>
      <c r="M4" s="265"/>
      <c r="N4" s="265"/>
      <c r="O4" s="265"/>
      <c r="P4" s="265"/>
      <c r="Q4" s="265"/>
      <c r="R4" s="265"/>
      <c r="S4" s="265"/>
      <c r="T4" s="265"/>
      <c r="U4" s="265"/>
      <c r="V4" s="265"/>
      <c r="W4" s="265"/>
      <c r="X4" s="265"/>
      <c r="Y4" s="265"/>
      <c r="Z4" s="265"/>
      <c r="AA4" s="265"/>
      <c r="AB4" s="265"/>
      <c r="AC4" s="265"/>
      <c r="AD4" s="265"/>
      <c r="AE4" s="265"/>
      <c r="AF4" s="265"/>
      <c r="AG4" s="101"/>
    </row>
    <row r="5" spans="1:44" ht="14">
      <c r="A5" s="100"/>
      <c r="B5" s="104" t="s">
        <v>98</v>
      </c>
      <c r="C5" s="518">
        <f>Datasheet!C12</f>
        <v>0</v>
      </c>
      <c r="D5" s="518"/>
      <c r="E5" s="518"/>
      <c r="F5" s="518"/>
      <c r="G5" s="518"/>
      <c r="H5" s="518"/>
      <c r="I5" s="266"/>
      <c r="J5" s="266"/>
      <c r="K5" s="266"/>
      <c r="L5" s="266"/>
      <c r="M5" s="266"/>
      <c r="N5" s="266"/>
      <c r="O5" s="266"/>
      <c r="P5" s="266"/>
      <c r="Q5" s="266"/>
      <c r="R5" s="266"/>
      <c r="S5" s="266"/>
      <c r="T5" s="266"/>
      <c r="U5" s="266"/>
      <c r="V5" s="266"/>
      <c r="W5" s="266"/>
      <c r="X5" s="266"/>
      <c r="Y5" s="266"/>
      <c r="Z5" s="266"/>
      <c r="AA5" s="266"/>
      <c r="AB5" s="266"/>
      <c r="AC5" s="266"/>
      <c r="AD5" s="266"/>
      <c r="AE5" s="266"/>
      <c r="AF5" s="266"/>
      <c r="AG5" s="101"/>
    </row>
    <row r="6" spans="1:44" ht="15">
      <c r="A6" s="100"/>
      <c r="B6" s="105" t="s">
        <v>123</v>
      </c>
      <c r="C6" s="521">
        <f>'Capacity overview'!D6</f>
        <v>0</v>
      </c>
      <c r="D6" s="521"/>
      <c r="E6" s="522" t="str">
        <f>IF(MAX(C27:AF27)&gt;C6,"The number of shifts is higher than nominated number of shifts/week!","")</f>
        <v/>
      </c>
      <c r="F6" s="522"/>
      <c r="G6" s="522"/>
      <c r="H6" s="522"/>
      <c r="I6" s="267"/>
      <c r="J6" s="267"/>
      <c r="K6" s="267"/>
      <c r="L6" s="267"/>
      <c r="M6" s="267"/>
      <c r="N6" s="267"/>
      <c r="O6" s="267"/>
      <c r="P6" s="267"/>
      <c r="Q6" s="267"/>
      <c r="R6" s="267"/>
      <c r="S6" s="267"/>
      <c r="T6" s="267"/>
      <c r="U6" s="267"/>
      <c r="V6" s="267"/>
      <c r="W6" s="267"/>
      <c r="X6" s="267"/>
      <c r="Y6" s="267"/>
      <c r="Z6" s="267"/>
      <c r="AA6" s="267"/>
      <c r="AB6" s="267"/>
      <c r="AC6" s="267"/>
      <c r="AD6" s="267"/>
      <c r="AE6" s="267"/>
      <c r="AF6" s="267"/>
      <c r="AG6" s="101"/>
    </row>
    <row r="7" spans="1:44" ht="15">
      <c r="A7" s="100"/>
      <c r="B7" s="230" t="s">
        <v>199</v>
      </c>
      <c r="C7" s="517">
        <f>'Capacity overview'!H17</f>
        <v>0</v>
      </c>
      <c r="D7" s="517"/>
      <c r="E7" s="231"/>
      <c r="F7" s="231"/>
      <c r="G7" s="231"/>
      <c r="H7" s="231"/>
      <c r="I7" s="267"/>
      <c r="J7" s="267"/>
      <c r="K7" s="267"/>
      <c r="L7" s="267"/>
      <c r="M7" s="267"/>
      <c r="N7" s="267"/>
      <c r="O7" s="267"/>
      <c r="P7" s="267"/>
      <c r="Q7" s="267"/>
      <c r="R7" s="267"/>
      <c r="S7" s="267"/>
      <c r="T7" s="267"/>
      <c r="U7" s="267"/>
      <c r="V7" s="267"/>
      <c r="W7" s="267"/>
      <c r="X7" s="267"/>
      <c r="Y7" s="267"/>
      <c r="Z7" s="267"/>
      <c r="AA7" s="267"/>
      <c r="AB7" s="267"/>
      <c r="AC7" s="267"/>
      <c r="AD7" s="267"/>
      <c r="AE7" s="267"/>
      <c r="AF7" s="267"/>
      <c r="AG7" s="101"/>
    </row>
    <row r="8" spans="1:44" ht="15" thickBot="1">
      <c r="A8" s="100"/>
      <c r="B8" s="130" t="s">
        <v>153</v>
      </c>
      <c r="C8" s="517">
        <f>IF('Capacity overview'!$I$7=1,'Capacity overview'!I22,'Capacity overview'!I21)</f>
        <v>0</v>
      </c>
      <c r="D8" s="517"/>
      <c r="E8" s="159"/>
      <c r="F8" s="159"/>
      <c r="G8" s="159"/>
      <c r="H8" s="160"/>
      <c r="I8" s="268"/>
      <c r="J8" s="268"/>
      <c r="K8" s="268"/>
      <c r="L8" s="268"/>
      <c r="M8" s="268"/>
      <c r="N8" s="268"/>
      <c r="O8" s="268"/>
      <c r="P8" s="268"/>
      <c r="Q8" s="268"/>
      <c r="R8" s="268"/>
      <c r="S8" s="268"/>
      <c r="T8" s="268"/>
      <c r="U8" s="268"/>
      <c r="V8" s="268"/>
      <c r="W8" s="268"/>
      <c r="X8" s="268"/>
      <c r="Y8" s="268"/>
      <c r="Z8" s="268"/>
      <c r="AA8" s="268"/>
      <c r="AB8" s="268"/>
      <c r="AC8" s="268"/>
      <c r="AD8" s="268"/>
      <c r="AE8" s="268"/>
      <c r="AF8" s="268"/>
      <c r="AG8" s="101"/>
    </row>
    <row r="9" spans="1:44" ht="18">
      <c r="A9" s="100"/>
      <c r="B9" s="342"/>
      <c r="C9" s="131"/>
      <c r="D9" s="148"/>
      <c r="E9" s="158"/>
      <c r="F9" s="389" t="s">
        <v>201</v>
      </c>
      <c r="G9" s="390" t="s">
        <v>202</v>
      </c>
      <c r="H9" s="161"/>
      <c r="I9" s="161"/>
      <c r="J9" s="161"/>
      <c r="K9" s="161"/>
      <c r="L9" s="161"/>
      <c r="M9" s="161"/>
      <c r="N9" s="161"/>
      <c r="O9" s="161"/>
      <c r="P9" s="161"/>
      <c r="Q9" s="161"/>
      <c r="R9" s="161"/>
      <c r="S9" s="161"/>
      <c r="T9" s="161"/>
      <c r="U9" s="161"/>
      <c r="V9" s="161"/>
      <c r="W9" s="161"/>
      <c r="X9" s="161"/>
      <c r="Y9" s="161"/>
      <c r="Z9" s="161"/>
      <c r="AA9" s="161"/>
      <c r="AB9" s="161"/>
      <c r="AC9" s="161"/>
      <c r="AD9" s="161"/>
      <c r="AE9" s="161"/>
      <c r="AF9" s="161"/>
      <c r="AG9" s="107"/>
    </row>
    <row r="10" spans="1:44" ht="19" thickBot="1">
      <c r="A10" s="100"/>
      <c r="B10" s="15"/>
      <c r="C10" s="514" t="s">
        <v>200</v>
      </c>
      <c r="D10" s="515"/>
      <c r="E10" s="157" t="s">
        <v>203</v>
      </c>
      <c r="F10" s="151">
        <v>0</v>
      </c>
      <c r="G10" s="150">
        <v>0</v>
      </c>
      <c r="H10" s="162"/>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18"/>
    </row>
    <row r="11" spans="1:44" ht="18">
      <c r="A11" s="100"/>
      <c r="B11" s="343"/>
      <c r="C11" s="516"/>
      <c r="D11" s="515"/>
      <c r="E11" s="153"/>
      <c r="F11" s="154" t="s">
        <v>204</v>
      </c>
      <c r="G11" s="155" t="s">
        <v>205</v>
      </c>
      <c r="H11" s="156" t="s">
        <v>202</v>
      </c>
      <c r="I11" s="161"/>
      <c r="J11" s="161"/>
      <c r="K11" s="161"/>
      <c r="L11" s="161"/>
      <c r="M11" s="161"/>
      <c r="N11" s="161"/>
      <c r="O11" s="161"/>
      <c r="P11" s="161"/>
      <c r="Q11" s="161"/>
      <c r="R11" s="161"/>
      <c r="S11" s="161"/>
      <c r="T11" s="161"/>
      <c r="U11" s="161"/>
      <c r="V11" s="161"/>
      <c r="W11" s="161"/>
      <c r="X11" s="161"/>
      <c r="Y11" s="161"/>
      <c r="Z11" s="161"/>
      <c r="AA11" s="161"/>
      <c r="AB11" s="161"/>
      <c r="AC11" s="161"/>
      <c r="AD11" s="161"/>
      <c r="AE11" s="161"/>
      <c r="AF11" s="161"/>
      <c r="AG11" s="107"/>
    </row>
    <row r="12" spans="1:44" ht="19" thickBot="1">
      <c r="A12" s="100"/>
      <c r="B12" s="15"/>
      <c r="C12" s="516"/>
      <c r="D12" s="515"/>
      <c r="E12" s="157" t="s">
        <v>206</v>
      </c>
      <c r="F12" s="149">
        <v>0</v>
      </c>
      <c r="G12" s="149">
        <v>0</v>
      </c>
      <c r="H12" s="150">
        <v>0</v>
      </c>
      <c r="I12" s="161"/>
      <c r="J12" s="161"/>
      <c r="K12" s="161"/>
      <c r="L12" s="161"/>
      <c r="M12" s="161"/>
      <c r="N12" s="161"/>
      <c r="O12" s="161"/>
      <c r="P12" s="161"/>
      <c r="Q12" s="161"/>
      <c r="R12" s="161"/>
      <c r="S12" s="161"/>
      <c r="T12" s="161"/>
      <c r="U12" s="161"/>
      <c r="V12" s="161"/>
      <c r="W12" s="161"/>
      <c r="X12" s="161"/>
      <c r="Y12" s="161"/>
      <c r="Z12" s="161"/>
      <c r="AA12" s="161"/>
      <c r="AB12" s="161"/>
      <c r="AC12" s="161"/>
      <c r="AD12" s="161"/>
      <c r="AE12" s="161"/>
      <c r="AF12" s="161"/>
      <c r="AG12" s="118"/>
      <c r="AI12" s="147"/>
    </row>
    <row r="13" spans="1:44" s="98" customFormat="1" ht="11" thickBot="1">
      <c r="A13" s="127"/>
      <c r="B13" s="152"/>
      <c r="C13" s="229"/>
      <c r="D13" s="236">
        <v>1</v>
      </c>
      <c r="H13" s="163"/>
      <c r="I13" s="163"/>
      <c r="J13" s="163"/>
      <c r="K13" s="163"/>
      <c r="L13" s="163"/>
      <c r="M13" s="163"/>
      <c r="N13" s="163"/>
      <c r="O13" s="163"/>
      <c r="P13" s="163"/>
      <c r="Q13" s="163"/>
      <c r="R13" s="163"/>
      <c r="S13" s="163"/>
      <c r="T13" s="163"/>
      <c r="U13" s="163"/>
      <c r="V13" s="163"/>
      <c r="W13" s="163"/>
      <c r="X13" s="163"/>
      <c r="Y13" s="163"/>
      <c r="Z13" s="163"/>
      <c r="AA13" s="163"/>
      <c r="AB13" s="163"/>
      <c r="AC13" s="163"/>
      <c r="AD13" s="163"/>
      <c r="AE13" s="163"/>
      <c r="AF13" s="163"/>
      <c r="AG13" s="129"/>
    </row>
    <row r="14" spans="1:44" ht="18">
      <c r="A14" s="92"/>
      <c r="B14" s="93" t="s">
        <v>239</v>
      </c>
      <c r="C14" s="94"/>
      <c r="D14" s="94"/>
      <c r="E14" s="94"/>
      <c r="F14" s="94"/>
      <c r="G14" s="94"/>
      <c r="H14" s="94"/>
      <c r="I14" s="94"/>
      <c r="J14" s="94"/>
      <c r="K14" s="94"/>
      <c r="L14" s="94"/>
      <c r="M14" s="94"/>
      <c r="N14" s="94"/>
      <c r="O14" s="94"/>
      <c r="P14" s="94"/>
      <c r="Q14" s="94"/>
      <c r="R14" s="94"/>
      <c r="S14" s="94"/>
      <c r="T14" s="94"/>
      <c r="U14" s="94"/>
      <c r="V14" s="94"/>
      <c r="W14" s="94"/>
      <c r="X14" s="94"/>
      <c r="Y14" s="94"/>
      <c r="Z14" s="94"/>
      <c r="AA14" s="94"/>
      <c r="AB14" s="94"/>
      <c r="AC14" s="94"/>
      <c r="AD14" s="94"/>
      <c r="AE14" s="94"/>
      <c r="AF14" s="94"/>
      <c r="AG14" s="96"/>
    </row>
    <row r="15" spans="1:44" s="98" customFormat="1" ht="10">
      <c r="A15" s="97"/>
      <c r="AG15" s="99"/>
    </row>
    <row r="16" spans="1:44">
      <c r="A16" s="100"/>
      <c r="B16" s="109"/>
      <c r="C16" s="494" t="s">
        <v>155</v>
      </c>
      <c r="D16" s="494" t="s">
        <v>483</v>
      </c>
      <c r="E16" s="494" t="s">
        <v>484</v>
      </c>
      <c r="F16" s="494" t="s">
        <v>156</v>
      </c>
      <c r="G16" s="494" t="s">
        <v>157</v>
      </c>
      <c r="H16" s="495" t="s">
        <v>158</v>
      </c>
      <c r="I16" s="494" t="s">
        <v>159</v>
      </c>
      <c r="J16" s="494" t="s">
        <v>160</v>
      </c>
      <c r="K16" s="494" t="s">
        <v>161</v>
      </c>
      <c r="L16" s="494" t="s">
        <v>162</v>
      </c>
      <c r="M16" s="494" t="s">
        <v>163</v>
      </c>
      <c r="N16" s="494" t="s">
        <v>164</v>
      </c>
      <c r="O16" s="494" t="s">
        <v>485</v>
      </c>
      <c r="P16" s="494" t="s">
        <v>486</v>
      </c>
      <c r="Q16" s="494" t="s">
        <v>487</v>
      </c>
      <c r="R16" s="494" t="s">
        <v>488</v>
      </c>
      <c r="S16" s="494" t="s">
        <v>489</v>
      </c>
      <c r="T16" s="494" t="s">
        <v>490</v>
      </c>
      <c r="U16" s="494" t="s">
        <v>491</v>
      </c>
      <c r="V16" s="494" t="s">
        <v>492</v>
      </c>
      <c r="W16" s="494" t="s">
        <v>493</v>
      </c>
      <c r="X16" s="494" t="s">
        <v>494</v>
      </c>
      <c r="Y16" s="494" t="s">
        <v>495</v>
      </c>
      <c r="Z16" s="494" t="s">
        <v>496</v>
      </c>
      <c r="AA16" s="494" t="s">
        <v>497</v>
      </c>
      <c r="AB16" s="494" t="s">
        <v>498</v>
      </c>
      <c r="AC16" s="494" t="s">
        <v>499</v>
      </c>
      <c r="AD16" s="494" t="s">
        <v>500</v>
      </c>
      <c r="AE16" s="494" t="s">
        <v>501</v>
      </c>
      <c r="AF16" s="494" t="s">
        <v>502</v>
      </c>
      <c r="AG16" s="107"/>
    </row>
    <row r="17" spans="1:33" ht="18">
      <c r="A17" s="100"/>
      <c r="B17" s="125" t="s">
        <v>165</v>
      </c>
      <c r="C17" s="115"/>
      <c r="D17" s="115"/>
      <c r="E17" s="115"/>
      <c r="F17" s="115"/>
      <c r="G17" s="115"/>
      <c r="H17" s="116"/>
      <c r="I17" s="115"/>
      <c r="J17" s="116"/>
      <c r="K17" s="115"/>
      <c r="L17" s="116"/>
      <c r="M17" s="115"/>
      <c r="N17" s="116"/>
      <c r="O17" s="116"/>
      <c r="P17" s="116"/>
      <c r="Q17" s="116"/>
      <c r="R17" s="116"/>
      <c r="S17" s="116"/>
      <c r="T17" s="116"/>
      <c r="U17" s="116"/>
      <c r="V17" s="116"/>
      <c r="W17" s="116"/>
      <c r="X17" s="116"/>
      <c r="Y17" s="116"/>
      <c r="Z17" s="116"/>
      <c r="AA17" s="116"/>
      <c r="AB17" s="116"/>
      <c r="AC17" s="116"/>
      <c r="AD17" s="116"/>
      <c r="AE17" s="116"/>
      <c r="AF17" s="116"/>
      <c r="AG17" s="118"/>
    </row>
    <row r="18" spans="1:33">
      <c r="A18" s="100"/>
      <c r="B18" s="167" t="s">
        <v>166</v>
      </c>
      <c r="C18" s="341"/>
      <c r="D18" s="341"/>
      <c r="E18" s="341"/>
      <c r="F18" s="341"/>
      <c r="G18" s="341"/>
      <c r="H18" s="341"/>
      <c r="I18" s="341"/>
      <c r="J18" s="341"/>
      <c r="K18" s="341"/>
      <c r="L18" s="341"/>
      <c r="M18" s="341"/>
      <c r="N18" s="341"/>
      <c r="O18" s="341"/>
      <c r="P18" s="341"/>
      <c r="Q18" s="341"/>
      <c r="R18" s="341"/>
      <c r="S18" s="341"/>
      <c r="T18" s="341"/>
      <c r="U18" s="341"/>
      <c r="V18" s="341"/>
      <c r="W18" s="341"/>
      <c r="X18" s="341"/>
      <c r="Y18" s="341"/>
      <c r="Z18" s="341"/>
      <c r="AA18" s="341"/>
      <c r="AB18" s="341"/>
      <c r="AC18" s="341"/>
      <c r="AD18" s="341"/>
      <c r="AE18" s="341"/>
      <c r="AF18" s="341"/>
      <c r="AG18" s="107"/>
    </row>
    <row r="19" spans="1:33">
      <c r="A19" s="100"/>
      <c r="B19" s="168" t="s">
        <v>167</v>
      </c>
      <c r="C19" s="499"/>
      <c r="D19" s="499"/>
      <c r="E19" s="499"/>
      <c r="F19" s="499"/>
      <c r="G19" s="499"/>
      <c r="H19" s="401"/>
      <c r="I19" s="401"/>
      <c r="J19" s="401"/>
      <c r="K19" s="401"/>
      <c r="L19" s="401"/>
      <c r="M19" s="402"/>
      <c r="N19" s="401"/>
      <c r="O19" s="401"/>
      <c r="P19" s="401"/>
      <c r="Q19" s="401"/>
      <c r="R19" s="499"/>
      <c r="S19" s="499"/>
      <c r="T19" s="499"/>
      <c r="U19" s="499"/>
      <c r="V19" s="499"/>
      <c r="W19" s="401"/>
      <c r="X19" s="401"/>
      <c r="Y19" s="401"/>
      <c r="Z19" s="401"/>
      <c r="AA19" s="401"/>
      <c r="AB19" s="402"/>
      <c r="AC19" s="401"/>
      <c r="AD19" s="401"/>
      <c r="AE19" s="401"/>
      <c r="AF19" s="401"/>
      <c r="AG19" s="107"/>
    </row>
    <row r="20" spans="1:33">
      <c r="A20" s="100"/>
      <c r="B20" s="169" t="s">
        <v>168</v>
      </c>
      <c r="C20" s="491"/>
      <c r="D20" s="491"/>
      <c r="E20" s="491"/>
      <c r="F20" s="491"/>
      <c r="G20" s="491"/>
      <c r="H20" s="491"/>
      <c r="I20" s="491"/>
      <c r="J20" s="491"/>
      <c r="K20" s="491"/>
      <c r="L20" s="491"/>
      <c r="M20" s="491"/>
      <c r="N20" s="491"/>
      <c r="O20" s="491"/>
      <c r="P20" s="491"/>
      <c r="Q20" s="491"/>
      <c r="R20" s="491"/>
      <c r="S20" s="491"/>
      <c r="T20" s="491"/>
      <c r="U20" s="491"/>
      <c r="V20" s="491"/>
      <c r="W20" s="491"/>
      <c r="X20" s="491"/>
      <c r="Y20" s="491"/>
      <c r="Z20" s="491"/>
      <c r="AA20" s="491"/>
      <c r="AB20" s="491"/>
      <c r="AC20" s="491"/>
      <c r="AD20" s="491"/>
      <c r="AE20" s="491"/>
      <c r="AF20" s="491"/>
      <c r="AG20" s="107"/>
    </row>
    <row r="21" spans="1:33">
      <c r="A21" s="100"/>
      <c r="B21" s="169" t="s">
        <v>171</v>
      </c>
      <c r="C21" s="492"/>
      <c r="D21" s="492"/>
      <c r="E21" s="492"/>
      <c r="F21" s="492"/>
      <c r="G21" s="492"/>
      <c r="H21" s="492"/>
      <c r="I21" s="492"/>
      <c r="J21" s="492"/>
      <c r="K21" s="492"/>
      <c r="L21" s="492"/>
      <c r="M21" s="492"/>
      <c r="N21" s="492"/>
      <c r="O21" s="492"/>
      <c r="P21" s="492"/>
      <c r="Q21" s="492"/>
      <c r="R21" s="492"/>
      <c r="S21" s="492"/>
      <c r="T21" s="492"/>
      <c r="U21" s="492"/>
      <c r="V21" s="492"/>
      <c r="W21" s="492"/>
      <c r="X21" s="492"/>
      <c r="Y21" s="492"/>
      <c r="Z21" s="492"/>
      <c r="AA21" s="492"/>
      <c r="AB21" s="492"/>
      <c r="AC21" s="492"/>
      <c r="AD21" s="492"/>
      <c r="AE21" s="492"/>
      <c r="AF21" s="492"/>
      <c r="AG21" s="107"/>
    </row>
    <row r="22" spans="1:33">
      <c r="A22" s="100"/>
      <c r="B22" s="169" t="s">
        <v>169</v>
      </c>
      <c r="C22" s="208"/>
      <c r="D22" s="208"/>
      <c r="E22" s="208"/>
      <c r="F22" s="208"/>
      <c r="G22" s="209"/>
      <c r="H22" s="208"/>
      <c r="I22" s="208"/>
      <c r="J22" s="208"/>
      <c r="K22" s="208"/>
      <c r="L22" s="208"/>
      <c r="M22" s="209"/>
      <c r="N22" s="208"/>
      <c r="O22" s="208"/>
      <c r="P22" s="208"/>
      <c r="Q22" s="208"/>
      <c r="R22" s="208"/>
      <c r="S22" s="208"/>
      <c r="T22" s="208"/>
      <c r="U22" s="208"/>
      <c r="V22" s="209"/>
      <c r="W22" s="208"/>
      <c r="X22" s="208"/>
      <c r="Y22" s="208"/>
      <c r="Z22" s="208"/>
      <c r="AA22" s="208"/>
      <c r="AB22" s="209"/>
      <c r="AC22" s="208"/>
      <c r="AD22" s="208"/>
      <c r="AE22" s="208"/>
      <c r="AF22" s="208"/>
      <c r="AG22" s="107"/>
    </row>
    <row r="23" spans="1:33">
      <c r="A23" s="100"/>
      <c r="B23" s="169" t="s">
        <v>170</v>
      </c>
      <c r="C23" s="499"/>
      <c r="D23" s="403"/>
      <c r="E23" s="499"/>
      <c r="F23" s="499"/>
      <c r="G23" s="403"/>
      <c r="H23" s="403"/>
      <c r="I23" s="403"/>
      <c r="J23" s="403"/>
      <c r="K23" s="403"/>
      <c r="L23" s="403"/>
      <c r="M23" s="404"/>
      <c r="N23" s="403"/>
      <c r="O23" s="403"/>
      <c r="P23" s="403"/>
      <c r="Q23" s="403"/>
      <c r="R23" s="499"/>
      <c r="S23" s="403"/>
      <c r="T23" s="499"/>
      <c r="U23" s="499"/>
      <c r="V23" s="403"/>
      <c r="W23" s="403"/>
      <c r="X23" s="403"/>
      <c r="Y23" s="403"/>
      <c r="Z23" s="403"/>
      <c r="AA23" s="403"/>
      <c r="AB23" s="404"/>
      <c r="AC23" s="403"/>
      <c r="AD23" s="403"/>
      <c r="AE23" s="403"/>
      <c r="AF23" s="403"/>
      <c r="AG23" s="107"/>
    </row>
    <row r="24" spans="1:33" s="98" customFormat="1" ht="10">
      <c r="A24" s="97"/>
      <c r="B24" s="110"/>
      <c r="C24" s="132"/>
      <c r="D24" s="132"/>
      <c r="E24" s="132"/>
      <c r="F24" s="132"/>
      <c r="G24" s="132"/>
      <c r="H24" s="133"/>
      <c r="I24" s="132"/>
      <c r="J24" s="132"/>
      <c r="K24" s="132"/>
      <c r="L24" s="132"/>
      <c r="M24" s="132"/>
      <c r="N24" s="133"/>
      <c r="O24" s="133"/>
      <c r="P24" s="133"/>
      <c r="Q24" s="133"/>
      <c r="R24" s="133"/>
      <c r="S24" s="133"/>
      <c r="T24" s="133"/>
      <c r="U24" s="133"/>
      <c r="V24" s="133"/>
      <c r="W24" s="133"/>
      <c r="X24" s="133"/>
      <c r="Y24" s="133"/>
      <c r="Z24" s="133"/>
      <c r="AA24" s="133"/>
      <c r="AB24" s="133"/>
      <c r="AC24" s="133"/>
      <c r="AD24" s="133"/>
      <c r="AE24" s="133"/>
      <c r="AF24" s="133"/>
      <c r="AG24" s="99"/>
    </row>
    <row r="25" spans="1:33" ht="18">
      <c r="A25" s="100"/>
      <c r="B25" s="125" t="s">
        <v>172</v>
      </c>
      <c r="C25" s="134"/>
      <c r="D25" s="134"/>
      <c r="E25" s="134"/>
      <c r="F25" s="134"/>
      <c r="G25" s="134"/>
      <c r="H25" s="135"/>
      <c r="I25" s="134"/>
      <c r="J25" s="134"/>
      <c r="K25" s="134"/>
      <c r="L25" s="134"/>
      <c r="M25" s="134"/>
      <c r="N25" s="135"/>
      <c r="O25" s="135"/>
      <c r="P25" s="135"/>
      <c r="Q25" s="135"/>
      <c r="R25" s="135"/>
      <c r="S25" s="135"/>
      <c r="T25" s="135"/>
      <c r="U25" s="135"/>
      <c r="V25" s="135"/>
      <c r="W25" s="135"/>
      <c r="X25" s="135"/>
      <c r="Y25" s="135"/>
      <c r="Z25" s="135"/>
      <c r="AA25" s="135"/>
      <c r="AB25" s="135"/>
      <c r="AC25" s="135"/>
      <c r="AD25" s="135"/>
      <c r="AE25" s="135"/>
      <c r="AF25" s="135"/>
      <c r="AG25" s="118"/>
    </row>
    <row r="26" spans="1:33">
      <c r="A26" s="100"/>
      <c r="B26" s="170" t="s">
        <v>173</v>
      </c>
      <c r="C26" s="371"/>
      <c r="D26" s="371"/>
      <c r="E26" s="371"/>
      <c r="F26" s="371"/>
      <c r="G26" s="371"/>
      <c r="H26" s="371"/>
      <c r="I26" s="371"/>
      <c r="J26" s="371"/>
      <c r="K26" s="371"/>
      <c r="L26" s="371"/>
      <c r="M26" s="371"/>
      <c r="N26" s="371"/>
      <c r="O26" s="371"/>
      <c r="P26" s="371"/>
      <c r="Q26" s="371"/>
      <c r="R26" s="371"/>
      <c r="S26" s="371"/>
      <c r="T26" s="371"/>
      <c r="U26" s="371"/>
      <c r="V26" s="371"/>
      <c r="W26" s="371"/>
      <c r="X26" s="371"/>
      <c r="Y26" s="371"/>
      <c r="Z26" s="371"/>
      <c r="AA26" s="371"/>
      <c r="AB26" s="371"/>
      <c r="AC26" s="371"/>
      <c r="AD26" s="371"/>
      <c r="AE26" s="371"/>
      <c r="AF26" s="371"/>
      <c r="AG26" s="107"/>
    </row>
    <row r="27" spans="1:33">
      <c r="A27" s="100"/>
      <c r="B27" s="171" t="s">
        <v>174</v>
      </c>
      <c r="C27" s="372"/>
      <c r="D27" s="372"/>
      <c r="E27" s="372"/>
      <c r="F27" s="372"/>
      <c r="G27" s="372"/>
      <c r="H27" s="372"/>
      <c r="I27" s="372"/>
      <c r="J27" s="372"/>
      <c r="K27" s="372"/>
      <c r="L27" s="372"/>
      <c r="M27" s="372"/>
      <c r="N27" s="372"/>
      <c r="O27" s="372"/>
      <c r="P27" s="372"/>
      <c r="Q27" s="372"/>
      <c r="R27" s="372"/>
      <c r="S27" s="372"/>
      <c r="T27" s="372"/>
      <c r="U27" s="372"/>
      <c r="V27" s="372"/>
      <c r="W27" s="372"/>
      <c r="X27" s="372"/>
      <c r="Y27" s="372"/>
      <c r="Z27" s="372"/>
      <c r="AA27" s="372"/>
      <c r="AB27" s="372"/>
      <c r="AC27" s="372"/>
      <c r="AD27" s="372"/>
      <c r="AE27" s="372"/>
      <c r="AF27" s="372"/>
      <c r="AG27" s="107"/>
    </row>
    <row r="28" spans="1:33">
      <c r="A28" s="100"/>
      <c r="B28" s="171" t="s">
        <v>175</v>
      </c>
      <c r="C28" s="136"/>
      <c r="D28" s="136"/>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07"/>
    </row>
    <row r="29" spans="1:33">
      <c r="A29" s="100"/>
      <c r="B29" s="112" t="s">
        <v>176</v>
      </c>
      <c r="C29" s="138" t="str">
        <f>IFERROR(IF(C28="","",C28/60),0)</f>
        <v/>
      </c>
      <c r="D29" s="138" t="str">
        <f t="shared" ref="D29:H29" si="0">IFERROR(IF(D28="","",D28/60),0)</f>
        <v/>
      </c>
      <c r="E29" s="138" t="str">
        <f t="shared" si="0"/>
        <v/>
      </c>
      <c r="F29" s="138" t="str">
        <f t="shared" si="0"/>
        <v/>
      </c>
      <c r="G29" s="138" t="str">
        <f t="shared" si="0"/>
        <v/>
      </c>
      <c r="H29" s="139" t="str">
        <f t="shared" si="0"/>
        <v/>
      </c>
      <c r="I29" s="138" t="str">
        <f t="shared" ref="I29:M29" si="1">IFERROR(IF(I28="","",I28/60),0)</f>
        <v/>
      </c>
      <c r="J29" s="138" t="str">
        <f t="shared" si="1"/>
        <v/>
      </c>
      <c r="K29" s="138" t="str">
        <f t="shared" si="1"/>
        <v/>
      </c>
      <c r="L29" s="138" t="str">
        <f t="shared" si="1"/>
        <v/>
      </c>
      <c r="M29" s="138" t="str">
        <f t="shared" si="1"/>
        <v/>
      </c>
      <c r="N29" s="138" t="str">
        <f t="shared" ref="N29:AF29" si="2">IFERROR(IF(N28="","",N28/60),0)</f>
        <v/>
      </c>
      <c r="O29" s="138" t="str">
        <f t="shared" si="2"/>
        <v/>
      </c>
      <c r="P29" s="138" t="str">
        <f t="shared" si="2"/>
        <v/>
      </c>
      <c r="Q29" s="138" t="str">
        <f t="shared" si="2"/>
        <v/>
      </c>
      <c r="R29" s="138" t="str">
        <f t="shared" si="2"/>
        <v/>
      </c>
      <c r="S29" s="138" t="str">
        <f t="shared" si="2"/>
        <v/>
      </c>
      <c r="T29" s="138" t="str">
        <f t="shared" si="2"/>
        <v/>
      </c>
      <c r="U29" s="138" t="str">
        <f t="shared" si="2"/>
        <v/>
      </c>
      <c r="V29" s="138" t="str">
        <f t="shared" si="2"/>
        <v/>
      </c>
      <c r="W29" s="138" t="str">
        <f t="shared" si="2"/>
        <v/>
      </c>
      <c r="X29" s="138" t="str">
        <f t="shared" si="2"/>
        <v/>
      </c>
      <c r="Y29" s="138" t="str">
        <f t="shared" si="2"/>
        <v/>
      </c>
      <c r="Z29" s="138" t="str">
        <f t="shared" si="2"/>
        <v/>
      </c>
      <c r="AA29" s="138" t="str">
        <f t="shared" si="2"/>
        <v/>
      </c>
      <c r="AB29" s="138" t="str">
        <f t="shared" si="2"/>
        <v/>
      </c>
      <c r="AC29" s="138" t="str">
        <f t="shared" si="2"/>
        <v/>
      </c>
      <c r="AD29" s="138" t="str">
        <f t="shared" si="2"/>
        <v/>
      </c>
      <c r="AE29" s="138" t="str">
        <f t="shared" si="2"/>
        <v/>
      </c>
      <c r="AF29" s="138" t="str">
        <f t="shared" si="2"/>
        <v/>
      </c>
      <c r="AG29" s="107"/>
    </row>
    <row r="30" spans="1:33">
      <c r="A30" s="100"/>
      <c r="B30" s="113" t="s">
        <v>177</v>
      </c>
      <c r="C30" s="373" t="str">
        <f>IFERROR(IF(C29="","",C29*C27),0)</f>
        <v/>
      </c>
      <c r="D30" s="373" t="str">
        <f t="shared" ref="D30:H30" si="3">IFERROR(IF(D29="","",D29*D27),0)</f>
        <v/>
      </c>
      <c r="E30" s="373" t="str">
        <f t="shared" si="3"/>
        <v/>
      </c>
      <c r="F30" s="373" t="str">
        <f t="shared" si="3"/>
        <v/>
      </c>
      <c r="G30" s="373" t="str">
        <f t="shared" si="3"/>
        <v/>
      </c>
      <c r="H30" s="382" t="str">
        <f t="shared" si="3"/>
        <v/>
      </c>
      <c r="I30" s="373" t="str">
        <f t="shared" ref="I30:M30" si="4">IFERROR(IF(I29="","",I29*I27),0)</f>
        <v/>
      </c>
      <c r="J30" s="373" t="str">
        <f t="shared" si="4"/>
        <v/>
      </c>
      <c r="K30" s="373" t="str">
        <f t="shared" si="4"/>
        <v/>
      </c>
      <c r="L30" s="373" t="str">
        <f t="shared" si="4"/>
        <v/>
      </c>
      <c r="M30" s="373" t="str">
        <f t="shared" si="4"/>
        <v/>
      </c>
      <c r="N30" s="373" t="str">
        <f t="shared" ref="N30:AF30" si="5">IFERROR(IF(N29="","",N29*N27),0)</f>
        <v/>
      </c>
      <c r="O30" s="373" t="str">
        <f t="shared" si="5"/>
        <v/>
      </c>
      <c r="P30" s="373" t="str">
        <f t="shared" si="5"/>
        <v/>
      </c>
      <c r="Q30" s="373" t="str">
        <f t="shared" si="5"/>
        <v/>
      </c>
      <c r="R30" s="373" t="str">
        <f t="shared" si="5"/>
        <v/>
      </c>
      <c r="S30" s="373" t="str">
        <f t="shared" si="5"/>
        <v/>
      </c>
      <c r="T30" s="373" t="str">
        <f t="shared" si="5"/>
        <v/>
      </c>
      <c r="U30" s="373" t="str">
        <f t="shared" si="5"/>
        <v/>
      </c>
      <c r="V30" s="373" t="str">
        <f t="shared" si="5"/>
        <v/>
      </c>
      <c r="W30" s="373" t="str">
        <f t="shared" si="5"/>
        <v/>
      </c>
      <c r="X30" s="373" t="str">
        <f t="shared" si="5"/>
        <v/>
      </c>
      <c r="Y30" s="373" t="str">
        <f t="shared" si="5"/>
        <v/>
      </c>
      <c r="Z30" s="373" t="str">
        <f t="shared" si="5"/>
        <v/>
      </c>
      <c r="AA30" s="373" t="str">
        <f t="shared" si="5"/>
        <v/>
      </c>
      <c r="AB30" s="373" t="str">
        <f t="shared" si="5"/>
        <v/>
      </c>
      <c r="AC30" s="373" t="str">
        <f t="shared" si="5"/>
        <v/>
      </c>
      <c r="AD30" s="373" t="str">
        <f t="shared" si="5"/>
        <v/>
      </c>
      <c r="AE30" s="373" t="str">
        <f t="shared" si="5"/>
        <v/>
      </c>
      <c r="AF30" s="373" t="str">
        <f t="shared" si="5"/>
        <v/>
      </c>
      <c r="AG30" s="107"/>
    </row>
    <row r="31" spans="1:33" s="98" customFormat="1" ht="10">
      <c r="A31" s="97"/>
      <c r="B31" s="110"/>
      <c r="C31" s="132"/>
      <c r="D31" s="132"/>
      <c r="E31" s="132"/>
      <c r="F31" s="132"/>
      <c r="G31" s="132"/>
      <c r="H31" s="133"/>
      <c r="I31" s="132"/>
      <c r="J31" s="132"/>
      <c r="K31" s="132"/>
      <c r="L31" s="132"/>
      <c r="M31" s="132"/>
      <c r="N31" s="132"/>
      <c r="O31" s="132"/>
      <c r="P31" s="132"/>
      <c r="Q31" s="132"/>
      <c r="R31" s="132"/>
      <c r="S31" s="132"/>
      <c r="T31" s="132"/>
      <c r="U31" s="132"/>
      <c r="V31" s="132"/>
      <c r="W31" s="132"/>
      <c r="X31" s="132"/>
      <c r="Y31" s="132"/>
      <c r="Z31" s="132"/>
      <c r="AA31" s="132"/>
      <c r="AB31" s="132"/>
      <c r="AC31" s="132"/>
      <c r="AD31" s="132"/>
      <c r="AE31" s="132"/>
      <c r="AF31" s="132"/>
      <c r="AG31" s="99"/>
    </row>
    <row r="32" spans="1:33" ht="18">
      <c r="A32" s="100"/>
      <c r="B32" s="125" t="s">
        <v>178</v>
      </c>
      <c r="C32" s="134"/>
      <c r="D32" s="134"/>
      <c r="E32" s="134"/>
      <c r="F32" s="134"/>
      <c r="G32" s="134"/>
      <c r="H32" s="135"/>
      <c r="I32" s="134"/>
      <c r="J32" s="134"/>
      <c r="K32" s="134"/>
      <c r="L32" s="134"/>
      <c r="M32" s="134"/>
      <c r="N32" s="135"/>
      <c r="O32" s="135"/>
      <c r="P32" s="135"/>
      <c r="Q32" s="135"/>
      <c r="R32" s="135"/>
      <c r="S32" s="135"/>
      <c r="T32" s="135"/>
      <c r="U32" s="135"/>
      <c r="V32" s="135"/>
      <c r="W32" s="135"/>
      <c r="X32" s="135"/>
      <c r="Y32" s="135"/>
      <c r="Z32" s="135"/>
      <c r="AA32" s="135"/>
      <c r="AB32" s="135"/>
      <c r="AC32" s="135"/>
      <c r="AD32" s="135"/>
      <c r="AE32" s="135"/>
      <c r="AF32" s="135"/>
      <c r="AG32" s="118"/>
    </row>
    <row r="33" spans="1:38">
      <c r="A33" s="100"/>
      <c r="B33" s="170" t="s">
        <v>235</v>
      </c>
      <c r="C33" s="179"/>
      <c r="D33" s="179"/>
      <c r="E33" s="179"/>
      <c r="F33" s="179"/>
      <c r="G33" s="179"/>
      <c r="H33" s="179"/>
      <c r="I33" s="179"/>
      <c r="J33" s="179"/>
      <c r="K33" s="179"/>
      <c r="L33" s="179"/>
      <c r="M33" s="179"/>
      <c r="N33" s="179"/>
      <c r="O33" s="179"/>
      <c r="P33" s="179"/>
      <c r="Q33" s="179"/>
      <c r="R33" s="179"/>
      <c r="S33" s="179"/>
      <c r="T33" s="179"/>
      <c r="U33" s="179"/>
      <c r="V33" s="179"/>
      <c r="W33" s="179"/>
      <c r="X33" s="179"/>
      <c r="Y33" s="179"/>
      <c r="Z33" s="179"/>
      <c r="AA33" s="179"/>
      <c r="AB33" s="179"/>
      <c r="AC33" s="179"/>
      <c r="AD33" s="179"/>
      <c r="AE33" s="179"/>
      <c r="AF33" s="179"/>
      <c r="AG33" s="107"/>
      <c r="AH33" s="147"/>
    </row>
    <row r="34" spans="1:38" ht="14">
      <c r="A34" s="100"/>
      <c r="B34" s="180" t="s">
        <v>237</v>
      </c>
      <c r="C34" s="178"/>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178"/>
      <c r="AB34" s="178"/>
      <c r="AC34" s="178"/>
      <c r="AD34" s="178"/>
      <c r="AE34" s="178"/>
      <c r="AF34" s="178"/>
      <c r="AG34" s="107"/>
    </row>
    <row r="35" spans="1:38">
      <c r="A35" s="100"/>
      <c r="B35" s="111" t="s">
        <v>179</v>
      </c>
      <c r="C35" s="177" t="str">
        <f>IFERROR(C33*(C28+C34)/C28,"")</f>
        <v/>
      </c>
      <c r="D35" s="177" t="str">
        <f t="shared" ref="D35:H35" si="6">IFERROR(D33*(D28+D34)/D28,"")</f>
        <v/>
      </c>
      <c r="E35" s="177" t="str">
        <f t="shared" si="6"/>
        <v/>
      </c>
      <c r="F35" s="177" t="str">
        <f t="shared" si="6"/>
        <v/>
      </c>
      <c r="G35" s="177" t="str">
        <f t="shared" si="6"/>
        <v/>
      </c>
      <c r="H35" s="292" t="str">
        <f t="shared" si="6"/>
        <v/>
      </c>
      <c r="I35" s="177" t="str">
        <f t="shared" ref="I35:M35" si="7">IFERROR(I33*(I28+I34)/I28,"")</f>
        <v/>
      </c>
      <c r="J35" s="177" t="str">
        <f t="shared" si="7"/>
        <v/>
      </c>
      <c r="K35" s="177" t="str">
        <f t="shared" si="7"/>
        <v/>
      </c>
      <c r="L35" s="177" t="str">
        <f t="shared" si="7"/>
        <v/>
      </c>
      <c r="M35" s="177" t="str">
        <f t="shared" si="7"/>
        <v/>
      </c>
      <c r="N35" s="177" t="str">
        <f t="shared" ref="N35:AF35" si="8">IFERROR(N33*(N28+N34)/N28,"")</f>
        <v/>
      </c>
      <c r="O35" s="177" t="str">
        <f t="shared" si="8"/>
        <v/>
      </c>
      <c r="P35" s="177" t="str">
        <f t="shared" si="8"/>
        <v/>
      </c>
      <c r="Q35" s="177" t="str">
        <f t="shared" si="8"/>
        <v/>
      </c>
      <c r="R35" s="177" t="str">
        <f t="shared" si="8"/>
        <v/>
      </c>
      <c r="S35" s="177" t="str">
        <f t="shared" si="8"/>
        <v/>
      </c>
      <c r="T35" s="177" t="str">
        <f t="shared" si="8"/>
        <v/>
      </c>
      <c r="U35" s="177" t="str">
        <f t="shared" si="8"/>
        <v/>
      </c>
      <c r="V35" s="177" t="str">
        <f t="shared" si="8"/>
        <v/>
      </c>
      <c r="W35" s="177" t="str">
        <f t="shared" si="8"/>
        <v/>
      </c>
      <c r="X35" s="177" t="str">
        <f t="shared" si="8"/>
        <v/>
      </c>
      <c r="Y35" s="177" t="str">
        <f t="shared" si="8"/>
        <v/>
      </c>
      <c r="Z35" s="177" t="str">
        <f t="shared" si="8"/>
        <v/>
      </c>
      <c r="AA35" s="177" t="str">
        <f t="shared" si="8"/>
        <v/>
      </c>
      <c r="AB35" s="177" t="str">
        <f t="shared" si="8"/>
        <v/>
      </c>
      <c r="AC35" s="177" t="str">
        <f t="shared" si="8"/>
        <v/>
      </c>
      <c r="AD35" s="177" t="str">
        <f t="shared" si="8"/>
        <v/>
      </c>
      <c r="AE35" s="177" t="str">
        <f t="shared" si="8"/>
        <v/>
      </c>
      <c r="AF35" s="177" t="str">
        <f t="shared" si="8"/>
        <v/>
      </c>
      <c r="AG35" s="107"/>
    </row>
    <row r="36" spans="1:38">
      <c r="A36" s="100"/>
      <c r="B36" s="109" t="s">
        <v>180</v>
      </c>
      <c r="C36" s="374" t="str">
        <f>IF(C35="","",C30*C35)</f>
        <v/>
      </c>
      <c r="D36" s="374" t="str">
        <f t="shared" ref="D36:H36" si="9">IF(D35="","",D30*D35)</f>
        <v/>
      </c>
      <c r="E36" s="374" t="str">
        <f t="shared" si="9"/>
        <v/>
      </c>
      <c r="F36" s="374" t="str">
        <f t="shared" si="9"/>
        <v/>
      </c>
      <c r="G36" s="374" t="str">
        <f t="shared" si="9"/>
        <v/>
      </c>
      <c r="H36" s="383" t="str">
        <f t="shared" si="9"/>
        <v/>
      </c>
      <c r="I36" s="374" t="str">
        <f t="shared" ref="I36:M36" si="10">IF(I35="","",I30*I35)</f>
        <v/>
      </c>
      <c r="J36" s="374" t="str">
        <f t="shared" si="10"/>
        <v/>
      </c>
      <c r="K36" s="374" t="str">
        <f t="shared" si="10"/>
        <v/>
      </c>
      <c r="L36" s="374" t="str">
        <f t="shared" si="10"/>
        <v/>
      </c>
      <c r="M36" s="374" t="str">
        <f t="shared" si="10"/>
        <v/>
      </c>
      <c r="N36" s="374" t="str">
        <f t="shared" ref="N36:AF36" si="11">IF(N35="","",N30*N35)</f>
        <v/>
      </c>
      <c r="O36" s="374" t="str">
        <f t="shared" si="11"/>
        <v/>
      </c>
      <c r="P36" s="374" t="str">
        <f t="shared" si="11"/>
        <v/>
      </c>
      <c r="Q36" s="374" t="str">
        <f t="shared" si="11"/>
        <v/>
      </c>
      <c r="R36" s="374" t="str">
        <f t="shared" si="11"/>
        <v/>
      </c>
      <c r="S36" s="374" t="str">
        <f t="shared" si="11"/>
        <v/>
      </c>
      <c r="T36" s="374" t="str">
        <f t="shared" si="11"/>
        <v/>
      </c>
      <c r="U36" s="374" t="str">
        <f t="shared" si="11"/>
        <v/>
      </c>
      <c r="V36" s="374" t="str">
        <f t="shared" si="11"/>
        <v/>
      </c>
      <c r="W36" s="374" t="str">
        <f t="shared" si="11"/>
        <v/>
      </c>
      <c r="X36" s="374" t="str">
        <f t="shared" si="11"/>
        <v/>
      </c>
      <c r="Y36" s="374" t="str">
        <f t="shared" si="11"/>
        <v/>
      </c>
      <c r="Z36" s="374" t="str">
        <f t="shared" si="11"/>
        <v/>
      </c>
      <c r="AA36" s="374" t="str">
        <f t="shared" si="11"/>
        <v/>
      </c>
      <c r="AB36" s="374" t="str">
        <f t="shared" si="11"/>
        <v/>
      </c>
      <c r="AC36" s="374" t="str">
        <f t="shared" si="11"/>
        <v/>
      </c>
      <c r="AD36" s="374" t="str">
        <f t="shared" si="11"/>
        <v/>
      </c>
      <c r="AE36" s="374" t="str">
        <f t="shared" si="11"/>
        <v/>
      </c>
      <c r="AF36" s="374" t="str">
        <f t="shared" si="11"/>
        <v/>
      </c>
      <c r="AG36" s="107"/>
    </row>
    <row r="37" spans="1:38" s="98" customFormat="1">
      <c r="A37" s="97"/>
      <c r="B37" s="110"/>
      <c r="C37" s="173"/>
      <c r="D37" s="173"/>
      <c r="E37" s="173"/>
      <c r="F37" s="173"/>
      <c r="G37" s="173"/>
      <c r="H37" s="174"/>
      <c r="I37" s="173"/>
      <c r="J37" s="173"/>
      <c r="K37" s="173"/>
      <c r="L37" s="173"/>
      <c r="M37" s="173"/>
      <c r="N37" s="173"/>
      <c r="O37" s="173"/>
      <c r="P37" s="173"/>
      <c r="Q37" s="173"/>
      <c r="R37" s="173"/>
      <c r="S37" s="173"/>
      <c r="T37" s="173"/>
      <c r="U37" s="173"/>
      <c r="V37" s="173"/>
      <c r="W37" s="173"/>
      <c r="X37" s="173"/>
      <c r="Y37" s="173"/>
      <c r="Z37" s="173"/>
      <c r="AA37" s="173"/>
      <c r="AB37" s="173"/>
      <c r="AC37" s="173"/>
      <c r="AD37" s="173"/>
      <c r="AE37" s="173"/>
      <c r="AF37" s="173"/>
      <c r="AG37" s="99"/>
      <c r="AH37" s="91"/>
      <c r="AI37" s="91"/>
      <c r="AL37" s="91"/>
    </row>
    <row r="38" spans="1:38">
      <c r="A38" s="100"/>
      <c r="B38" s="170" t="s">
        <v>181</v>
      </c>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07"/>
    </row>
    <row r="39" spans="1:38">
      <c r="A39" s="100"/>
      <c r="B39" s="112" t="s">
        <v>182</v>
      </c>
      <c r="C39" s="375" t="str">
        <f t="shared" ref="C39:M39" si="12">IFERROR(IF(C38="","",C36*C38),"")</f>
        <v/>
      </c>
      <c r="D39" s="375" t="str">
        <f t="shared" si="12"/>
        <v/>
      </c>
      <c r="E39" s="375" t="str">
        <f t="shared" si="12"/>
        <v/>
      </c>
      <c r="F39" s="375" t="str">
        <f t="shared" si="12"/>
        <v/>
      </c>
      <c r="G39" s="375" t="str">
        <f t="shared" si="12"/>
        <v/>
      </c>
      <c r="H39" s="384" t="str">
        <f t="shared" si="12"/>
        <v/>
      </c>
      <c r="I39" s="375" t="str">
        <f t="shared" si="12"/>
        <v/>
      </c>
      <c r="J39" s="375" t="str">
        <f t="shared" si="12"/>
        <v/>
      </c>
      <c r="K39" s="375" t="str">
        <f t="shared" si="12"/>
        <v/>
      </c>
      <c r="L39" s="375" t="str">
        <f t="shared" si="12"/>
        <v/>
      </c>
      <c r="M39" s="375" t="str">
        <f t="shared" si="12"/>
        <v/>
      </c>
      <c r="N39" s="375" t="str">
        <f t="shared" ref="N39:AF39" si="13">IFERROR(IF(N38="","",N36*N38),"")</f>
        <v/>
      </c>
      <c r="O39" s="375" t="str">
        <f t="shared" si="13"/>
        <v/>
      </c>
      <c r="P39" s="375" t="str">
        <f t="shared" si="13"/>
        <v/>
      </c>
      <c r="Q39" s="375" t="str">
        <f t="shared" si="13"/>
        <v/>
      </c>
      <c r="R39" s="375" t="str">
        <f t="shared" si="13"/>
        <v/>
      </c>
      <c r="S39" s="375" t="str">
        <f t="shared" si="13"/>
        <v/>
      </c>
      <c r="T39" s="375" t="str">
        <f t="shared" si="13"/>
        <v/>
      </c>
      <c r="U39" s="375" t="str">
        <f t="shared" si="13"/>
        <v/>
      </c>
      <c r="V39" s="375" t="str">
        <f t="shared" si="13"/>
        <v/>
      </c>
      <c r="W39" s="375" t="str">
        <f t="shared" si="13"/>
        <v/>
      </c>
      <c r="X39" s="375" t="str">
        <f t="shared" si="13"/>
        <v/>
      </c>
      <c r="Y39" s="375" t="str">
        <f t="shared" si="13"/>
        <v/>
      </c>
      <c r="Z39" s="375" t="str">
        <f t="shared" si="13"/>
        <v/>
      </c>
      <c r="AA39" s="375" t="str">
        <f t="shared" si="13"/>
        <v/>
      </c>
      <c r="AB39" s="375" t="str">
        <f t="shared" si="13"/>
        <v/>
      </c>
      <c r="AC39" s="375" t="str">
        <f t="shared" si="13"/>
        <v/>
      </c>
      <c r="AD39" s="375" t="str">
        <f t="shared" si="13"/>
        <v/>
      </c>
      <c r="AE39" s="375" t="str">
        <f t="shared" si="13"/>
        <v/>
      </c>
      <c r="AF39" s="375" t="str">
        <f t="shared" si="13"/>
        <v/>
      </c>
      <c r="AG39" s="107"/>
    </row>
    <row r="40" spans="1:38">
      <c r="A40" s="100"/>
      <c r="B40" s="112" t="s">
        <v>183</v>
      </c>
      <c r="C40" s="175" t="str">
        <f>IFERROR(IF(C38="","",1-C38),"")</f>
        <v/>
      </c>
      <c r="D40" s="175" t="str">
        <f t="shared" ref="D40:H40" si="14">IFERROR(IF(D38="","",1-D38),"")</f>
        <v/>
      </c>
      <c r="E40" s="175" t="str">
        <f t="shared" si="14"/>
        <v/>
      </c>
      <c r="F40" s="175" t="str">
        <f t="shared" si="14"/>
        <v/>
      </c>
      <c r="G40" s="175" t="str">
        <f t="shared" si="14"/>
        <v/>
      </c>
      <c r="H40" s="184" t="str">
        <f t="shared" si="14"/>
        <v/>
      </c>
      <c r="I40" s="175" t="str">
        <f t="shared" ref="I40:M40" si="15">IFERROR(IF(I38="","",1-I38),"")</f>
        <v/>
      </c>
      <c r="J40" s="175" t="str">
        <f t="shared" si="15"/>
        <v/>
      </c>
      <c r="K40" s="175" t="str">
        <f t="shared" si="15"/>
        <v/>
      </c>
      <c r="L40" s="175" t="str">
        <f t="shared" si="15"/>
        <v/>
      </c>
      <c r="M40" s="175" t="str">
        <f t="shared" si="15"/>
        <v/>
      </c>
      <c r="N40" s="175" t="str">
        <f t="shared" ref="N40:AF40" si="16">IFERROR(IF(N38="","",1-N38),"")</f>
        <v/>
      </c>
      <c r="O40" s="175" t="str">
        <f t="shared" si="16"/>
        <v/>
      </c>
      <c r="P40" s="175" t="str">
        <f t="shared" si="16"/>
        <v/>
      </c>
      <c r="Q40" s="175" t="str">
        <f t="shared" si="16"/>
        <v/>
      </c>
      <c r="R40" s="175" t="str">
        <f t="shared" si="16"/>
        <v/>
      </c>
      <c r="S40" s="175" t="str">
        <f t="shared" si="16"/>
        <v/>
      </c>
      <c r="T40" s="175" t="str">
        <f t="shared" si="16"/>
        <v/>
      </c>
      <c r="U40" s="175" t="str">
        <f t="shared" si="16"/>
        <v/>
      </c>
      <c r="V40" s="175" t="str">
        <f t="shared" si="16"/>
        <v/>
      </c>
      <c r="W40" s="175" t="str">
        <f t="shared" si="16"/>
        <v/>
      </c>
      <c r="X40" s="175" t="str">
        <f t="shared" si="16"/>
        <v/>
      </c>
      <c r="Y40" s="175" t="str">
        <f t="shared" si="16"/>
        <v/>
      </c>
      <c r="Z40" s="175" t="str">
        <f t="shared" si="16"/>
        <v/>
      </c>
      <c r="AA40" s="175" t="str">
        <f t="shared" si="16"/>
        <v/>
      </c>
      <c r="AB40" s="175" t="str">
        <f t="shared" si="16"/>
        <v/>
      </c>
      <c r="AC40" s="175" t="str">
        <f t="shared" si="16"/>
        <v/>
      </c>
      <c r="AD40" s="175" t="str">
        <f t="shared" si="16"/>
        <v/>
      </c>
      <c r="AE40" s="175" t="str">
        <f t="shared" si="16"/>
        <v/>
      </c>
      <c r="AF40" s="175" t="str">
        <f t="shared" si="16"/>
        <v/>
      </c>
      <c r="AG40" s="107"/>
    </row>
    <row r="41" spans="1:38">
      <c r="A41" s="100"/>
      <c r="B41" s="113" t="s">
        <v>184</v>
      </c>
      <c r="C41" s="376" t="str">
        <f>IF(C38&gt;0,C36-C39,"")</f>
        <v/>
      </c>
      <c r="D41" s="376" t="str">
        <f>IF(D38&gt;0,D36-D39,"")</f>
        <v/>
      </c>
      <c r="E41" s="376" t="str">
        <f t="shared" ref="E41:M41" si="17">IF(E38&gt;0,E36-E39,"")</f>
        <v/>
      </c>
      <c r="F41" s="376" t="str">
        <f t="shared" si="17"/>
        <v/>
      </c>
      <c r="G41" s="376" t="str">
        <f t="shared" si="17"/>
        <v/>
      </c>
      <c r="H41" s="385" t="str">
        <f t="shared" si="17"/>
        <v/>
      </c>
      <c r="I41" s="376" t="str">
        <f t="shared" si="17"/>
        <v/>
      </c>
      <c r="J41" s="376" t="str">
        <f t="shared" si="17"/>
        <v/>
      </c>
      <c r="K41" s="376" t="str">
        <f t="shared" si="17"/>
        <v/>
      </c>
      <c r="L41" s="376" t="str">
        <f t="shared" si="17"/>
        <v/>
      </c>
      <c r="M41" s="376" t="str">
        <f t="shared" si="17"/>
        <v/>
      </c>
      <c r="N41" s="376" t="str">
        <f t="shared" ref="N41:AF41" si="18">IF(N38&gt;0,N36-N39,"")</f>
        <v/>
      </c>
      <c r="O41" s="376" t="str">
        <f t="shared" si="18"/>
        <v/>
      </c>
      <c r="P41" s="376" t="str">
        <f t="shared" si="18"/>
        <v/>
      </c>
      <c r="Q41" s="376" t="str">
        <f t="shared" si="18"/>
        <v/>
      </c>
      <c r="R41" s="376" t="str">
        <f t="shared" si="18"/>
        <v/>
      </c>
      <c r="S41" s="376" t="str">
        <f t="shared" si="18"/>
        <v/>
      </c>
      <c r="T41" s="376" t="str">
        <f t="shared" si="18"/>
        <v/>
      </c>
      <c r="U41" s="376" t="str">
        <f t="shared" si="18"/>
        <v/>
      </c>
      <c r="V41" s="376" t="str">
        <f t="shared" si="18"/>
        <v/>
      </c>
      <c r="W41" s="376" t="str">
        <f t="shared" si="18"/>
        <v/>
      </c>
      <c r="X41" s="376" t="str">
        <f t="shared" si="18"/>
        <v/>
      </c>
      <c r="Y41" s="376" t="str">
        <f t="shared" si="18"/>
        <v/>
      </c>
      <c r="Z41" s="376" t="str">
        <f t="shared" si="18"/>
        <v/>
      </c>
      <c r="AA41" s="376" t="str">
        <f t="shared" si="18"/>
        <v/>
      </c>
      <c r="AB41" s="376" t="str">
        <f t="shared" si="18"/>
        <v/>
      </c>
      <c r="AC41" s="376" t="str">
        <f t="shared" si="18"/>
        <v/>
      </c>
      <c r="AD41" s="376" t="str">
        <f t="shared" si="18"/>
        <v/>
      </c>
      <c r="AE41" s="376" t="str">
        <f t="shared" si="18"/>
        <v/>
      </c>
      <c r="AF41" s="376" t="str">
        <f t="shared" si="18"/>
        <v/>
      </c>
      <c r="AG41" s="107"/>
    </row>
    <row r="42" spans="1:38" s="98" customFormat="1" ht="10">
      <c r="A42" s="97"/>
      <c r="B42" s="110"/>
      <c r="C42" s="132"/>
      <c r="D42" s="132"/>
      <c r="E42" s="132"/>
      <c r="F42" s="132"/>
      <c r="G42" s="132"/>
      <c r="H42" s="133"/>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99"/>
    </row>
    <row r="43" spans="1:38" ht="18">
      <c r="A43" s="100"/>
      <c r="B43" s="187" t="s">
        <v>85</v>
      </c>
      <c r="C43" s="134"/>
      <c r="D43" s="134"/>
      <c r="E43" s="134"/>
      <c r="F43" s="134"/>
      <c r="G43" s="134"/>
      <c r="H43" s="135"/>
      <c r="I43" s="134"/>
      <c r="J43" s="134"/>
      <c r="K43" s="134"/>
      <c r="L43" s="134"/>
      <c r="M43" s="134"/>
      <c r="N43" s="135"/>
      <c r="O43" s="135"/>
      <c r="P43" s="135"/>
      <c r="Q43" s="135"/>
      <c r="R43" s="135"/>
      <c r="S43" s="135"/>
      <c r="T43" s="135"/>
      <c r="U43" s="135"/>
      <c r="V43" s="135"/>
      <c r="W43" s="135"/>
      <c r="X43" s="135"/>
      <c r="Y43" s="135"/>
      <c r="Z43" s="135"/>
      <c r="AA43" s="135"/>
      <c r="AB43" s="135"/>
      <c r="AC43" s="135"/>
      <c r="AD43" s="135"/>
      <c r="AE43" s="135"/>
      <c r="AF43" s="135"/>
      <c r="AG43" s="118"/>
    </row>
    <row r="44" spans="1:38" ht="18">
      <c r="A44" s="100"/>
      <c r="B44" s="170" t="s">
        <v>208</v>
      </c>
      <c r="C44" s="141"/>
      <c r="D44" s="141"/>
      <c r="E44" s="185"/>
      <c r="F44" s="185"/>
      <c r="G44" s="141"/>
      <c r="H44" s="141"/>
      <c r="I44" s="185"/>
      <c r="J44" s="185"/>
      <c r="K44" s="185"/>
      <c r="L44" s="185"/>
      <c r="M44" s="141"/>
      <c r="N44" s="185"/>
      <c r="O44" s="185"/>
      <c r="P44" s="185"/>
      <c r="Q44" s="185"/>
      <c r="R44" s="141"/>
      <c r="S44" s="141"/>
      <c r="T44" s="185"/>
      <c r="U44" s="185"/>
      <c r="V44" s="185"/>
      <c r="W44" s="185"/>
      <c r="X44" s="141"/>
      <c r="Y44" s="141"/>
      <c r="Z44" s="185"/>
      <c r="AA44" s="141"/>
      <c r="AB44" s="141"/>
      <c r="AC44" s="185"/>
      <c r="AD44" s="185"/>
      <c r="AE44" s="185"/>
      <c r="AF44" s="185"/>
      <c r="AG44" s="118"/>
    </row>
    <row r="45" spans="1:38" ht="18">
      <c r="A45" s="100"/>
      <c r="B45" s="176" t="s">
        <v>510</v>
      </c>
      <c r="C45" s="141"/>
      <c r="D45" s="141"/>
      <c r="E45" s="185"/>
      <c r="F45" s="185"/>
      <c r="G45" s="141"/>
      <c r="H45" s="141"/>
      <c r="I45" s="185"/>
      <c r="J45" s="185"/>
      <c r="K45" s="185"/>
      <c r="L45" s="185"/>
      <c r="M45" s="141"/>
      <c r="N45" s="185"/>
      <c r="O45" s="185"/>
      <c r="P45" s="185"/>
      <c r="Q45" s="185"/>
      <c r="R45" s="141"/>
      <c r="S45" s="141"/>
      <c r="T45" s="185"/>
      <c r="U45" s="185"/>
      <c r="V45" s="185"/>
      <c r="W45" s="185"/>
      <c r="X45" s="141"/>
      <c r="Y45" s="141"/>
      <c r="Z45" s="185"/>
      <c r="AA45" s="141"/>
      <c r="AB45" s="141"/>
      <c r="AC45" s="185"/>
      <c r="AD45" s="185"/>
      <c r="AE45" s="185"/>
      <c r="AF45" s="185"/>
      <c r="AG45" s="118"/>
    </row>
    <row r="46" spans="1:38" ht="18">
      <c r="A46" s="100"/>
      <c r="B46" s="176" t="s">
        <v>511</v>
      </c>
      <c r="C46" s="136"/>
      <c r="D46" s="136"/>
      <c r="E46" s="137"/>
      <c r="F46" s="137"/>
      <c r="G46" s="136"/>
      <c r="H46" s="136"/>
      <c r="I46" s="137"/>
      <c r="J46" s="137"/>
      <c r="K46" s="137"/>
      <c r="L46" s="137"/>
      <c r="M46" s="136"/>
      <c r="N46" s="137"/>
      <c r="O46" s="137"/>
      <c r="P46" s="137"/>
      <c r="Q46" s="137"/>
      <c r="R46" s="136"/>
      <c r="S46" s="136"/>
      <c r="T46" s="137"/>
      <c r="U46" s="137"/>
      <c r="V46" s="137"/>
      <c r="W46" s="137"/>
      <c r="X46" s="136"/>
      <c r="Y46" s="136"/>
      <c r="Z46" s="137"/>
      <c r="AA46" s="136"/>
      <c r="AB46" s="136"/>
      <c r="AC46" s="137"/>
      <c r="AD46" s="137"/>
      <c r="AE46" s="137"/>
      <c r="AF46" s="137"/>
      <c r="AG46" s="118"/>
    </row>
    <row r="47" spans="1:38" ht="18">
      <c r="A47" s="100"/>
      <c r="B47" s="176" t="s">
        <v>512</v>
      </c>
      <c r="C47" s="136"/>
      <c r="D47" s="136"/>
      <c r="E47" s="137"/>
      <c r="F47" s="137"/>
      <c r="G47" s="136"/>
      <c r="H47" s="137"/>
      <c r="I47" s="137"/>
      <c r="J47" s="137"/>
      <c r="K47" s="137"/>
      <c r="L47" s="137"/>
      <c r="M47" s="136"/>
      <c r="N47" s="137"/>
      <c r="O47" s="137"/>
      <c r="P47" s="137"/>
      <c r="Q47" s="137"/>
      <c r="R47" s="136"/>
      <c r="S47" s="136"/>
      <c r="T47" s="137"/>
      <c r="U47" s="137"/>
      <c r="V47" s="137"/>
      <c r="W47" s="137"/>
      <c r="X47" s="136"/>
      <c r="Y47" s="136"/>
      <c r="Z47" s="137"/>
      <c r="AA47" s="136"/>
      <c r="AB47" s="136"/>
      <c r="AC47" s="137"/>
      <c r="AD47" s="137"/>
      <c r="AE47" s="137"/>
      <c r="AF47" s="137"/>
      <c r="AG47" s="118"/>
    </row>
    <row r="48" spans="1:38">
      <c r="A48" s="100"/>
      <c r="B48" s="112" t="s">
        <v>209</v>
      </c>
      <c r="C48" s="513" t="str">
        <f>IFERROR(IF(C44="","",C44-C45-C46-C47),"")</f>
        <v/>
      </c>
      <c r="D48" s="513" t="str">
        <f t="shared" ref="D48:AF48" si="19">IFERROR(IF(D44="","",D44-D45-D46-D47),"")</f>
        <v/>
      </c>
      <c r="E48" s="513" t="str">
        <f t="shared" si="19"/>
        <v/>
      </c>
      <c r="F48" s="513" t="str">
        <f t="shared" si="19"/>
        <v/>
      </c>
      <c r="G48" s="513" t="str">
        <f t="shared" si="19"/>
        <v/>
      </c>
      <c r="H48" s="513" t="str">
        <f t="shared" si="19"/>
        <v/>
      </c>
      <c r="I48" s="513" t="str">
        <f t="shared" si="19"/>
        <v/>
      </c>
      <c r="J48" s="513" t="str">
        <f t="shared" si="19"/>
        <v/>
      </c>
      <c r="K48" s="513" t="str">
        <f t="shared" si="19"/>
        <v/>
      </c>
      <c r="L48" s="513" t="str">
        <f t="shared" si="19"/>
        <v/>
      </c>
      <c r="M48" s="513" t="str">
        <f t="shared" si="19"/>
        <v/>
      </c>
      <c r="N48" s="513" t="str">
        <f t="shared" si="19"/>
        <v/>
      </c>
      <c r="O48" s="513" t="str">
        <f t="shared" si="19"/>
        <v/>
      </c>
      <c r="P48" s="513" t="str">
        <f t="shared" si="19"/>
        <v/>
      </c>
      <c r="Q48" s="513" t="str">
        <f t="shared" si="19"/>
        <v/>
      </c>
      <c r="R48" s="513" t="str">
        <f t="shared" si="19"/>
        <v/>
      </c>
      <c r="S48" s="513" t="str">
        <f t="shared" si="19"/>
        <v/>
      </c>
      <c r="T48" s="513" t="str">
        <f t="shared" si="19"/>
        <v/>
      </c>
      <c r="U48" s="513" t="str">
        <f t="shared" si="19"/>
        <v/>
      </c>
      <c r="V48" s="513" t="str">
        <f t="shared" si="19"/>
        <v/>
      </c>
      <c r="W48" s="513" t="str">
        <f t="shared" si="19"/>
        <v/>
      </c>
      <c r="X48" s="513" t="str">
        <f t="shared" si="19"/>
        <v/>
      </c>
      <c r="Y48" s="513" t="str">
        <f t="shared" si="19"/>
        <v/>
      </c>
      <c r="Z48" s="513" t="str">
        <f t="shared" si="19"/>
        <v/>
      </c>
      <c r="AA48" s="513" t="str">
        <f t="shared" si="19"/>
        <v/>
      </c>
      <c r="AB48" s="513" t="str">
        <f t="shared" si="19"/>
        <v/>
      </c>
      <c r="AC48" s="513" t="str">
        <f t="shared" si="19"/>
        <v/>
      </c>
      <c r="AD48" s="513" t="str">
        <f t="shared" si="19"/>
        <v/>
      </c>
      <c r="AE48" s="513" t="str">
        <f t="shared" si="19"/>
        <v/>
      </c>
      <c r="AF48" s="513" t="str">
        <f t="shared" si="19"/>
        <v/>
      </c>
      <c r="AG48" s="107"/>
    </row>
    <row r="49" spans="1:34">
      <c r="A49" s="100"/>
      <c r="B49" s="114" t="s">
        <v>210</v>
      </c>
      <c r="C49" s="142"/>
      <c r="D49" s="142"/>
      <c r="E49" s="142"/>
      <c r="F49" s="142"/>
      <c r="G49" s="142"/>
      <c r="H49" s="186"/>
      <c r="I49" s="142"/>
      <c r="J49" s="142"/>
      <c r="K49" s="142"/>
      <c r="L49" s="142"/>
      <c r="M49" s="142"/>
      <c r="N49" s="142"/>
      <c r="O49" s="142"/>
      <c r="P49" s="142"/>
      <c r="Q49" s="142"/>
      <c r="R49" s="142"/>
      <c r="S49" s="142"/>
      <c r="T49" s="142"/>
      <c r="U49" s="142"/>
      <c r="V49" s="142"/>
      <c r="W49" s="142"/>
      <c r="X49" s="142"/>
      <c r="Y49" s="142"/>
      <c r="Z49" s="142"/>
      <c r="AA49" s="142"/>
      <c r="AB49" s="142"/>
      <c r="AC49" s="142"/>
      <c r="AD49" s="142"/>
      <c r="AE49" s="142"/>
      <c r="AF49" s="142"/>
      <c r="AG49" s="107"/>
    </row>
    <row r="50" spans="1:34">
      <c r="A50" s="100"/>
      <c r="B50" s="172" t="s">
        <v>211</v>
      </c>
      <c r="C50" s="393"/>
      <c r="D50" s="393"/>
      <c r="E50" s="395"/>
      <c r="F50" s="395"/>
      <c r="G50" s="393"/>
      <c r="H50" s="393"/>
      <c r="I50" s="395"/>
      <c r="J50" s="395"/>
      <c r="K50" s="395"/>
      <c r="L50" s="395"/>
      <c r="M50" s="393"/>
      <c r="N50" s="395"/>
      <c r="O50" s="395"/>
      <c r="P50" s="395"/>
      <c r="Q50" s="395"/>
      <c r="R50" s="393"/>
      <c r="S50" s="393"/>
      <c r="T50" s="395"/>
      <c r="U50" s="395"/>
      <c r="V50" s="395"/>
      <c r="W50" s="395"/>
      <c r="X50" s="393"/>
      <c r="Y50" s="393"/>
      <c r="Z50" s="395"/>
      <c r="AA50" s="393"/>
      <c r="AB50" s="393"/>
      <c r="AC50" s="395"/>
      <c r="AD50" s="395"/>
      <c r="AE50" s="395"/>
      <c r="AF50" s="395"/>
      <c r="AG50" s="107"/>
    </row>
    <row r="51" spans="1:34">
      <c r="A51" s="100"/>
      <c r="B51" s="172" t="s">
        <v>212</v>
      </c>
      <c r="C51" s="393"/>
      <c r="D51" s="393"/>
      <c r="E51" s="395"/>
      <c r="F51" s="395"/>
      <c r="G51" s="393"/>
      <c r="H51" s="393"/>
      <c r="I51" s="395"/>
      <c r="J51" s="395"/>
      <c r="K51" s="395"/>
      <c r="L51" s="395"/>
      <c r="M51" s="393"/>
      <c r="N51" s="395"/>
      <c r="O51" s="395"/>
      <c r="P51" s="395"/>
      <c r="Q51" s="395"/>
      <c r="R51" s="393"/>
      <c r="S51" s="393"/>
      <c r="T51" s="395"/>
      <c r="U51" s="395"/>
      <c r="V51" s="395"/>
      <c r="W51" s="395"/>
      <c r="X51" s="393"/>
      <c r="Y51" s="393"/>
      <c r="Z51" s="395"/>
      <c r="AA51" s="393"/>
      <c r="AB51" s="393"/>
      <c r="AC51" s="395"/>
      <c r="AD51" s="395"/>
      <c r="AE51" s="395"/>
      <c r="AF51" s="395"/>
      <c r="AG51" s="107"/>
    </row>
    <row r="52" spans="1:34">
      <c r="A52" s="100"/>
      <c r="B52" s="172" t="s">
        <v>213</v>
      </c>
      <c r="C52" s="393"/>
      <c r="D52" s="393"/>
      <c r="E52" s="393"/>
      <c r="F52" s="393"/>
      <c r="G52" s="393"/>
      <c r="H52" s="393"/>
      <c r="I52" s="393"/>
      <c r="J52" s="393"/>
      <c r="K52" s="393"/>
      <c r="L52" s="393"/>
      <c r="M52" s="393"/>
      <c r="N52" s="393"/>
      <c r="O52" s="393"/>
      <c r="P52" s="393"/>
      <c r="Q52" s="393"/>
      <c r="R52" s="393"/>
      <c r="S52" s="393"/>
      <c r="T52" s="393"/>
      <c r="U52" s="393"/>
      <c r="V52" s="393"/>
      <c r="W52" s="393"/>
      <c r="X52" s="393"/>
      <c r="Y52" s="393"/>
      <c r="Z52" s="393"/>
      <c r="AA52" s="393"/>
      <c r="AB52" s="393"/>
      <c r="AC52" s="393"/>
      <c r="AD52" s="393"/>
      <c r="AE52" s="393"/>
      <c r="AF52" s="393"/>
      <c r="AG52" s="107"/>
    </row>
    <row r="53" spans="1:34">
      <c r="A53" s="100"/>
      <c r="B53" s="117" t="s">
        <v>214</v>
      </c>
      <c r="C53" s="394" t="str">
        <f>IF(C50="","",SUM(C50:C52))</f>
        <v/>
      </c>
      <c r="D53" s="394" t="str">
        <f t="shared" ref="D53:E53" si="20">IF(D50="","",SUM(D50:D52))</f>
        <v/>
      </c>
      <c r="E53" s="394" t="str">
        <f t="shared" si="20"/>
        <v/>
      </c>
      <c r="F53" s="394" t="str">
        <f>IF(F50="","",SUM(F50:F52))</f>
        <v/>
      </c>
      <c r="G53" s="394" t="str">
        <f>IF(G50="","",SUM(G50:G52))</f>
        <v/>
      </c>
      <c r="H53" s="396" t="str">
        <f>IF(H50="","",SUM(H50:H52))</f>
        <v/>
      </c>
      <c r="I53" s="394" t="str">
        <f t="shared" ref="I53:L53" si="21">IF(I50="","",SUM(I50:I52))</f>
        <v/>
      </c>
      <c r="J53" s="394" t="str">
        <f t="shared" si="21"/>
        <v/>
      </c>
      <c r="K53" s="394" t="str">
        <f t="shared" si="21"/>
        <v/>
      </c>
      <c r="L53" s="394" t="str">
        <f t="shared" si="21"/>
        <v/>
      </c>
      <c r="M53" s="394" t="str">
        <f t="shared" ref="M53:AF53" si="22">IF(M50="","",SUM(M50:M52))</f>
        <v/>
      </c>
      <c r="N53" s="394" t="str">
        <f t="shared" si="22"/>
        <v/>
      </c>
      <c r="O53" s="394" t="str">
        <f t="shared" si="22"/>
        <v/>
      </c>
      <c r="P53" s="394" t="str">
        <f t="shared" si="22"/>
        <v/>
      </c>
      <c r="Q53" s="394" t="str">
        <f t="shared" si="22"/>
        <v/>
      </c>
      <c r="R53" s="394" t="str">
        <f t="shared" si="22"/>
        <v/>
      </c>
      <c r="S53" s="394" t="str">
        <f t="shared" si="22"/>
        <v/>
      </c>
      <c r="T53" s="394" t="str">
        <f t="shared" si="22"/>
        <v/>
      </c>
      <c r="U53" s="394" t="str">
        <f t="shared" si="22"/>
        <v/>
      </c>
      <c r="V53" s="394" t="str">
        <f t="shared" si="22"/>
        <v/>
      </c>
      <c r="W53" s="394" t="str">
        <f t="shared" si="22"/>
        <v/>
      </c>
      <c r="X53" s="394" t="str">
        <f t="shared" si="22"/>
        <v/>
      </c>
      <c r="Y53" s="394" t="str">
        <f t="shared" si="22"/>
        <v/>
      </c>
      <c r="Z53" s="394" t="str">
        <f t="shared" si="22"/>
        <v/>
      </c>
      <c r="AA53" s="394" t="str">
        <f t="shared" si="22"/>
        <v/>
      </c>
      <c r="AB53" s="394" t="str">
        <f t="shared" si="22"/>
        <v/>
      </c>
      <c r="AC53" s="394" t="str">
        <f t="shared" si="22"/>
        <v/>
      </c>
      <c r="AD53" s="394" t="str">
        <f t="shared" si="22"/>
        <v/>
      </c>
      <c r="AE53" s="394" t="str">
        <f t="shared" si="22"/>
        <v/>
      </c>
      <c r="AF53" s="394" t="str">
        <f t="shared" si="22"/>
        <v/>
      </c>
      <c r="AG53" s="107"/>
    </row>
    <row r="54" spans="1:34">
      <c r="A54" s="100"/>
      <c r="B54" s="112" t="s">
        <v>215</v>
      </c>
      <c r="C54" s="143" t="str">
        <f>IFERROR(C52/C53,"")</f>
        <v/>
      </c>
      <c r="D54" s="143" t="str">
        <f>IFERROR(G52/D53,"")</f>
        <v/>
      </c>
      <c r="E54" s="143" t="str">
        <f>IFERROR(H52/E53,"")</f>
        <v/>
      </c>
      <c r="F54" s="143" t="str">
        <f t="shared" ref="F54:H54" si="23">IFERROR(I52/F53,"")</f>
        <v/>
      </c>
      <c r="G54" s="143" t="str">
        <f t="shared" si="23"/>
        <v/>
      </c>
      <c r="H54" s="143" t="str">
        <f t="shared" si="23"/>
        <v/>
      </c>
      <c r="I54" s="143" t="str">
        <f t="shared" ref="I54:L54" si="24">IFERROR(I52/I53,"")</f>
        <v/>
      </c>
      <c r="J54" s="143" t="str">
        <f t="shared" si="24"/>
        <v/>
      </c>
      <c r="K54" s="143" t="str">
        <f t="shared" si="24"/>
        <v/>
      </c>
      <c r="L54" s="143" t="str">
        <f t="shared" si="24"/>
        <v/>
      </c>
      <c r="M54" s="143" t="str">
        <f t="shared" ref="M54:AF54" si="25">IFERROR(M52/M53,"")</f>
        <v/>
      </c>
      <c r="N54" s="143" t="str">
        <f t="shared" si="25"/>
        <v/>
      </c>
      <c r="O54" s="143" t="str">
        <f t="shared" si="25"/>
        <v/>
      </c>
      <c r="P54" s="143" t="str">
        <f t="shared" si="25"/>
        <v/>
      </c>
      <c r="Q54" s="143" t="str">
        <f t="shared" si="25"/>
        <v/>
      </c>
      <c r="R54" s="143" t="str">
        <f t="shared" si="25"/>
        <v/>
      </c>
      <c r="S54" s="143" t="str">
        <f t="shared" si="25"/>
        <v/>
      </c>
      <c r="T54" s="143" t="str">
        <f t="shared" si="25"/>
        <v/>
      </c>
      <c r="U54" s="143" t="str">
        <f t="shared" si="25"/>
        <v/>
      </c>
      <c r="V54" s="143" t="str">
        <f t="shared" si="25"/>
        <v/>
      </c>
      <c r="W54" s="143" t="str">
        <f t="shared" si="25"/>
        <v/>
      </c>
      <c r="X54" s="143" t="str">
        <f t="shared" si="25"/>
        <v/>
      </c>
      <c r="Y54" s="143" t="str">
        <f t="shared" si="25"/>
        <v/>
      </c>
      <c r="Z54" s="143" t="str">
        <f t="shared" si="25"/>
        <v/>
      </c>
      <c r="AA54" s="143" t="str">
        <f t="shared" si="25"/>
        <v/>
      </c>
      <c r="AB54" s="143" t="str">
        <f t="shared" si="25"/>
        <v/>
      </c>
      <c r="AC54" s="143" t="str">
        <f t="shared" si="25"/>
        <v/>
      </c>
      <c r="AD54" s="143" t="str">
        <f t="shared" si="25"/>
        <v/>
      </c>
      <c r="AE54" s="143" t="str">
        <f t="shared" si="25"/>
        <v/>
      </c>
      <c r="AF54" s="143" t="str">
        <f t="shared" si="25"/>
        <v/>
      </c>
      <c r="AG54" s="107"/>
    </row>
    <row r="55" spans="1:34" outlineLevel="1">
      <c r="A55" s="100"/>
      <c r="B55" s="112" t="s">
        <v>216</v>
      </c>
      <c r="C55" s="323" t="str">
        <f>IF(C44&gt;0,(C48)/(C44-C45),"")</f>
        <v/>
      </c>
      <c r="D55" s="323" t="str">
        <f t="shared" ref="D55:AF55" si="26">IF(D44&gt;0,(D48)/(D44-D45),"")</f>
        <v/>
      </c>
      <c r="E55" s="323" t="str">
        <f t="shared" si="26"/>
        <v/>
      </c>
      <c r="F55" s="323" t="str">
        <f t="shared" si="26"/>
        <v/>
      </c>
      <c r="G55" s="323" t="str">
        <f t="shared" si="26"/>
        <v/>
      </c>
      <c r="H55" s="323" t="str">
        <f t="shared" si="26"/>
        <v/>
      </c>
      <c r="I55" s="323" t="str">
        <f t="shared" si="26"/>
        <v/>
      </c>
      <c r="J55" s="323" t="str">
        <f t="shared" si="26"/>
        <v/>
      </c>
      <c r="K55" s="323" t="str">
        <f t="shared" si="26"/>
        <v/>
      </c>
      <c r="L55" s="323" t="str">
        <f t="shared" si="26"/>
        <v/>
      </c>
      <c r="M55" s="323" t="str">
        <f t="shared" si="26"/>
        <v/>
      </c>
      <c r="N55" s="323" t="str">
        <f t="shared" si="26"/>
        <v/>
      </c>
      <c r="O55" s="323" t="str">
        <f t="shared" si="26"/>
        <v/>
      </c>
      <c r="P55" s="323" t="str">
        <f t="shared" si="26"/>
        <v/>
      </c>
      <c r="Q55" s="323" t="str">
        <f t="shared" si="26"/>
        <v/>
      </c>
      <c r="R55" s="323" t="str">
        <f t="shared" si="26"/>
        <v/>
      </c>
      <c r="S55" s="323" t="str">
        <f>IF(S44&gt;0,(S48)/(S44-S45),"")</f>
        <v/>
      </c>
      <c r="T55" s="323" t="str">
        <f t="shared" si="26"/>
        <v/>
      </c>
      <c r="U55" s="323" t="str">
        <f t="shared" si="26"/>
        <v/>
      </c>
      <c r="V55" s="323" t="str">
        <f t="shared" si="26"/>
        <v/>
      </c>
      <c r="W55" s="323" t="str">
        <f t="shared" si="26"/>
        <v/>
      </c>
      <c r="X55" s="323" t="str">
        <f t="shared" si="26"/>
        <v/>
      </c>
      <c r="Y55" s="323" t="str">
        <f t="shared" si="26"/>
        <v/>
      </c>
      <c r="Z55" s="323" t="str">
        <f t="shared" si="26"/>
        <v/>
      </c>
      <c r="AA55" s="323" t="str">
        <f t="shared" si="26"/>
        <v/>
      </c>
      <c r="AB55" s="323" t="str">
        <f t="shared" si="26"/>
        <v/>
      </c>
      <c r="AC55" s="323" t="str">
        <f t="shared" si="26"/>
        <v/>
      </c>
      <c r="AD55" s="323" t="str">
        <f t="shared" si="26"/>
        <v/>
      </c>
      <c r="AE55" s="323" t="str">
        <f t="shared" si="26"/>
        <v/>
      </c>
      <c r="AF55" s="323" t="str">
        <f t="shared" si="26"/>
        <v/>
      </c>
      <c r="AG55" s="107"/>
    </row>
    <row r="56" spans="1:34" outlineLevel="1">
      <c r="A56" s="100"/>
      <c r="B56" s="112" t="s">
        <v>217</v>
      </c>
      <c r="C56" s="323" t="str">
        <f>IFERROR(('Capacity Planning'!C43/'Capacity Calculation'!C62),"")</f>
        <v/>
      </c>
      <c r="D56" s="323" t="str">
        <f>IFERROR(('Capacity Planning'!D43/'Capacity Calculation'!D62),"")</f>
        <v/>
      </c>
      <c r="E56" s="323" t="str">
        <f>IFERROR(('Capacity Planning'!E43/'Capacity Calculation'!E62),"")</f>
        <v/>
      </c>
      <c r="F56" s="323" t="str">
        <f>IFERROR(('Capacity Planning'!F43/'Capacity Calculation'!F62),"")</f>
        <v/>
      </c>
      <c r="G56" s="323" t="str">
        <f>IFERROR(('Capacity Planning'!G43/'Capacity Calculation'!G62),"")</f>
        <v/>
      </c>
      <c r="H56" s="323" t="str">
        <f>IFERROR(('Capacity Planning'!H43/'Capacity Calculation'!H62),"")</f>
        <v/>
      </c>
      <c r="I56" s="323" t="str">
        <f>IFERROR(('Capacity Planning'!I43/'Capacity Calculation'!I62),"")</f>
        <v/>
      </c>
      <c r="J56" s="323" t="str">
        <f>IFERROR(('Capacity Planning'!J43/'Capacity Calculation'!J62),"")</f>
        <v/>
      </c>
      <c r="K56" s="323" t="str">
        <f>IFERROR(('Capacity Planning'!K43/'Capacity Calculation'!K62),"")</f>
        <v/>
      </c>
      <c r="L56" s="323" t="str">
        <f>IFERROR(('Capacity Planning'!L43/'Capacity Calculation'!L62),"")</f>
        <v/>
      </c>
      <c r="M56" s="323" t="str">
        <f>IFERROR(('Capacity Planning'!M43/'Capacity Calculation'!M62),"")</f>
        <v/>
      </c>
      <c r="N56" s="323" t="str">
        <f>IFERROR(('Capacity Planning'!N43/'Capacity Calculation'!N62),"")</f>
        <v/>
      </c>
      <c r="O56" s="323" t="str">
        <f>IFERROR(('Capacity Planning'!O43/'Capacity Calculation'!O62),"")</f>
        <v/>
      </c>
      <c r="P56" s="323" t="str">
        <f>IFERROR(('Capacity Planning'!P43/'Capacity Calculation'!P62),"")</f>
        <v/>
      </c>
      <c r="Q56" s="323" t="str">
        <f>IFERROR(('Capacity Planning'!Q43/'Capacity Calculation'!Q62),"")</f>
        <v/>
      </c>
      <c r="R56" s="323" t="str">
        <f>IFERROR(('Capacity Planning'!R43/'Capacity Calculation'!R62),"")</f>
        <v/>
      </c>
      <c r="S56" s="323" t="str">
        <f>IFERROR(('Capacity Planning'!S43/'Capacity Calculation'!S62),"")</f>
        <v/>
      </c>
      <c r="T56" s="323" t="str">
        <f>IFERROR(('Capacity Planning'!T43/'Capacity Calculation'!T62),"")</f>
        <v/>
      </c>
      <c r="U56" s="323" t="str">
        <f>IFERROR(('Capacity Planning'!U43/'Capacity Calculation'!U62),"")</f>
        <v/>
      </c>
      <c r="V56" s="323" t="str">
        <f>IFERROR(('Capacity Planning'!V43/'Capacity Calculation'!V62),"")</f>
        <v/>
      </c>
      <c r="W56" s="323" t="str">
        <f>IFERROR(('Capacity Planning'!W43/'Capacity Calculation'!W62),"")</f>
        <v/>
      </c>
      <c r="X56" s="323" t="str">
        <f>IFERROR(('Capacity Planning'!X43/'Capacity Calculation'!X62),"")</f>
        <v/>
      </c>
      <c r="Y56" s="323" t="str">
        <f>IFERROR(('Capacity Planning'!Y43/'Capacity Calculation'!Y62),"")</f>
        <v/>
      </c>
      <c r="Z56" s="323" t="str">
        <f>IFERROR(('Capacity Planning'!Z43/'Capacity Calculation'!Z62),"")</f>
        <v/>
      </c>
      <c r="AA56" s="323" t="str">
        <f>IFERROR(('Capacity Planning'!AA43/'Capacity Calculation'!AA62),"")</f>
        <v/>
      </c>
      <c r="AB56" s="323" t="str">
        <f>IFERROR(('Capacity Planning'!AB43/'Capacity Calculation'!AB62),"")</f>
        <v/>
      </c>
      <c r="AC56" s="323" t="str">
        <f>IFERROR(('Capacity Planning'!AC43/'Capacity Calculation'!AC62),"")</f>
        <v/>
      </c>
      <c r="AD56" s="323" t="str">
        <f>IFERROR(('Capacity Planning'!AD43/'Capacity Calculation'!AD62),"")</f>
        <v/>
      </c>
      <c r="AE56" s="323" t="str">
        <f>IFERROR(('Capacity Planning'!AE43/'Capacity Calculation'!AE62),"")</f>
        <v/>
      </c>
      <c r="AF56" s="323" t="str">
        <f>IFERROR(('Capacity Planning'!AF43/'Capacity Calculation'!AF62),"")</f>
        <v/>
      </c>
      <c r="AG56" s="107"/>
    </row>
    <row r="57" spans="1:34" outlineLevel="1">
      <c r="A57" s="100"/>
      <c r="B57" s="113" t="s">
        <v>218</v>
      </c>
      <c r="C57" s="324" t="str">
        <f>IF(C50&gt;0,C50/C53,"")</f>
        <v/>
      </c>
      <c r="D57" s="324" t="str">
        <f t="shared" ref="D57:L57" si="27">IF(D50&gt;0,D50/D53,"")</f>
        <v/>
      </c>
      <c r="E57" s="324" t="str">
        <f t="shared" si="27"/>
        <v/>
      </c>
      <c r="F57" s="324" t="str">
        <f t="shared" si="27"/>
        <v/>
      </c>
      <c r="G57" s="324" t="str">
        <f t="shared" si="27"/>
        <v/>
      </c>
      <c r="H57" s="326" t="str">
        <f t="shared" si="27"/>
        <v/>
      </c>
      <c r="I57" s="324" t="str">
        <f t="shared" si="27"/>
        <v/>
      </c>
      <c r="J57" s="324" t="str">
        <f t="shared" si="27"/>
        <v/>
      </c>
      <c r="K57" s="324" t="str">
        <f t="shared" si="27"/>
        <v/>
      </c>
      <c r="L57" s="324" t="str">
        <f t="shared" si="27"/>
        <v/>
      </c>
      <c r="M57" s="324" t="str">
        <f t="shared" ref="M57:AF57" si="28">IF(M50&gt;0,M50/M53,"")</f>
        <v/>
      </c>
      <c r="N57" s="324" t="str">
        <f t="shared" si="28"/>
        <v/>
      </c>
      <c r="O57" s="324" t="str">
        <f t="shared" si="28"/>
        <v/>
      </c>
      <c r="P57" s="324" t="str">
        <f t="shared" si="28"/>
        <v/>
      </c>
      <c r="Q57" s="324" t="str">
        <f t="shared" si="28"/>
        <v/>
      </c>
      <c r="R57" s="324" t="str">
        <f t="shared" si="28"/>
        <v/>
      </c>
      <c r="S57" s="324" t="str">
        <f t="shared" si="28"/>
        <v/>
      </c>
      <c r="T57" s="324" t="str">
        <f t="shared" si="28"/>
        <v/>
      </c>
      <c r="U57" s="324" t="str">
        <f t="shared" si="28"/>
        <v/>
      </c>
      <c r="V57" s="324" t="str">
        <f t="shared" si="28"/>
        <v/>
      </c>
      <c r="W57" s="324" t="str">
        <f t="shared" si="28"/>
        <v/>
      </c>
      <c r="X57" s="324" t="str">
        <f t="shared" si="28"/>
        <v/>
      </c>
      <c r="Y57" s="324" t="str">
        <f t="shared" si="28"/>
        <v/>
      </c>
      <c r="Z57" s="324" t="str">
        <f t="shared" si="28"/>
        <v/>
      </c>
      <c r="AA57" s="324" t="str">
        <f t="shared" si="28"/>
        <v/>
      </c>
      <c r="AB57" s="324" t="str">
        <f t="shared" si="28"/>
        <v/>
      </c>
      <c r="AC57" s="324" t="str">
        <f t="shared" si="28"/>
        <v/>
      </c>
      <c r="AD57" s="324" t="str">
        <f t="shared" si="28"/>
        <v/>
      </c>
      <c r="AE57" s="324" t="str">
        <f t="shared" si="28"/>
        <v/>
      </c>
      <c r="AF57" s="324" t="str">
        <f t="shared" si="28"/>
        <v/>
      </c>
      <c r="AG57" s="107"/>
    </row>
    <row r="58" spans="1:34" outlineLevel="1">
      <c r="A58" s="100"/>
      <c r="B58" s="113" t="s">
        <v>91</v>
      </c>
      <c r="C58" s="323" t="str">
        <f>IFERROR(IF(C44&gt;0,C57*C56*C55,""),"")</f>
        <v/>
      </c>
      <c r="D58" s="323" t="str">
        <f t="shared" ref="D58:L58" si="29">IFERROR(IF(D44&gt;0,D57*D56*D55,""),"")</f>
        <v/>
      </c>
      <c r="E58" s="323" t="str">
        <f t="shared" si="29"/>
        <v/>
      </c>
      <c r="F58" s="323" t="str">
        <f t="shared" si="29"/>
        <v/>
      </c>
      <c r="G58" s="323" t="str">
        <f t="shared" si="29"/>
        <v/>
      </c>
      <c r="H58" s="325" t="str">
        <f t="shared" si="29"/>
        <v/>
      </c>
      <c r="I58" s="323" t="str">
        <f t="shared" si="29"/>
        <v/>
      </c>
      <c r="J58" s="323" t="str">
        <f t="shared" si="29"/>
        <v/>
      </c>
      <c r="K58" s="323" t="str">
        <f t="shared" si="29"/>
        <v/>
      </c>
      <c r="L58" s="323" t="str">
        <f t="shared" si="29"/>
        <v/>
      </c>
      <c r="M58" s="323" t="str">
        <f t="shared" ref="M58:AF58" si="30">IFERROR(IF(M44&gt;0,M57*M56*M55,""),"")</f>
        <v/>
      </c>
      <c r="N58" s="323" t="str">
        <f t="shared" si="30"/>
        <v/>
      </c>
      <c r="O58" s="323" t="str">
        <f t="shared" si="30"/>
        <v/>
      </c>
      <c r="P58" s="323" t="str">
        <f t="shared" si="30"/>
        <v/>
      </c>
      <c r="Q58" s="323" t="str">
        <f t="shared" si="30"/>
        <v/>
      </c>
      <c r="R58" s="323" t="str">
        <f t="shared" si="30"/>
        <v/>
      </c>
      <c r="S58" s="323" t="str">
        <f t="shared" si="30"/>
        <v/>
      </c>
      <c r="T58" s="323" t="str">
        <f t="shared" si="30"/>
        <v/>
      </c>
      <c r="U58" s="323" t="str">
        <f t="shared" si="30"/>
        <v/>
      </c>
      <c r="V58" s="323" t="str">
        <f t="shared" si="30"/>
        <v/>
      </c>
      <c r="W58" s="323" t="str">
        <f t="shared" si="30"/>
        <v/>
      </c>
      <c r="X58" s="323" t="str">
        <f t="shared" si="30"/>
        <v/>
      </c>
      <c r="Y58" s="323" t="str">
        <f t="shared" si="30"/>
        <v/>
      </c>
      <c r="Z58" s="323" t="str">
        <f t="shared" si="30"/>
        <v/>
      </c>
      <c r="AA58" s="323" t="str">
        <f t="shared" si="30"/>
        <v/>
      </c>
      <c r="AB58" s="323" t="str">
        <f t="shared" si="30"/>
        <v/>
      </c>
      <c r="AC58" s="323" t="str">
        <f t="shared" si="30"/>
        <v/>
      </c>
      <c r="AD58" s="323" t="str">
        <f t="shared" si="30"/>
        <v/>
      </c>
      <c r="AE58" s="323" t="str">
        <f t="shared" si="30"/>
        <v/>
      </c>
      <c r="AF58" s="323" t="str">
        <f t="shared" si="30"/>
        <v/>
      </c>
      <c r="AG58" s="107"/>
    </row>
    <row r="59" spans="1:34">
      <c r="A59" s="100"/>
      <c r="B59" s="407" t="s">
        <v>190</v>
      </c>
      <c r="C59" s="408"/>
      <c r="D59" s="408"/>
      <c r="E59" s="408"/>
      <c r="F59" s="408"/>
      <c r="G59" s="408"/>
      <c r="H59" s="409"/>
      <c r="I59" s="408"/>
      <c r="J59" s="408"/>
      <c r="K59" s="408"/>
      <c r="L59" s="408"/>
      <c r="M59" s="408"/>
      <c r="N59" s="409"/>
      <c r="O59" s="409"/>
      <c r="P59" s="409"/>
      <c r="Q59" s="409"/>
      <c r="R59" s="409"/>
      <c r="S59" s="409"/>
      <c r="T59" s="409"/>
      <c r="U59" s="409"/>
      <c r="V59" s="409"/>
      <c r="W59" s="409"/>
      <c r="X59" s="409"/>
      <c r="Y59" s="409"/>
      <c r="Z59" s="409"/>
      <c r="AA59" s="409"/>
      <c r="AB59" s="409"/>
      <c r="AC59" s="409"/>
      <c r="AD59" s="409"/>
      <c r="AE59" s="409"/>
      <c r="AF59" s="409"/>
      <c r="AG59" s="107"/>
    </row>
    <row r="60" spans="1:34" s="98" customFormat="1">
      <c r="A60" s="97"/>
      <c r="B60" s="110"/>
      <c r="C60" s="132"/>
      <c r="D60" s="132"/>
      <c r="E60" s="132"/>
      <c r="F60" s="132"/>
      <c r="G60" s="132"/>
      <c r="H60" s="133"/>
      <c r="I60" s="132"/>
      <c r="J60" s="132"/>
      <c r="K60" s="132"/>
      <c r="L60" s="132"/>
      <c r="M60" s="132"/>
      <c r="N60" s="132"/>
      <c r="O60" s="132"/>
      <c r="P60" s="132"/>
      <c r="Q60" s="132"/>
      <c r="R60" s="132"/>
      <c r="S60" s="132"/>
      <c r="T60" s="132"/>
      <c r="U60" s="132"/>
      <c r="V60" s="132"/>
      <c r="W60" s="132"/>
      <c r="X60" s="132"/>
      <c r="Y60" s="132"/>
      <c r="Z60" s="132"/>
      <c r="AA60" s="132"/>
      <c r="AB60" s="132"/>
      <c r="AC60" s="132"/>
      <c r="AD60" s="132"/>
      <c r="AE60" s="132"/>
      <c r="AF60" s="132"/>
      <c r="AG60" s="107"/>
      <c r="AH60" s="91"/>
    </row>
    <row r="61" spans="1:34" ht="15">
      <c r="A61" s="100"/>
      <c r="B61" s="125" t="s">
        <v>220</v>
      </c>
      <c r="C61" s="134"/>
      <c r="D61" s="134"/>
      <c r="E61" s="134"/>
      <c r="F61" s="134"/>
      <c r="G61" s="134"/>
      <c r="H61" s="135"/>
      <c r="I61" s="134"/>
      <c r="J61" s="134"/>
      <c r="K61" s="134"/>
      <c r="L61" s="134"/>
      <c r="M61" s="134"/>
      <c r="N61" s="134"/>
      <c r="O61" s="134"/>
      <c r="P61" s="134"/>
      <c r="Q61" s="134"/>
      <c r="R61" s="134"/>
      <c r="S61" s="134"/>
      <c r="T61" s="134"/>
      <c r="U61" s="134"/>
      <c r="V61" s="134"/>
      <c r="W61" s="134"/>
      <c r="X61" s="134"/>
      <c r="Y61" s="134"/>
      <c r="Z61" s="134"/>
      <c r="AA61" s="134"/>
      <c r="AB61" s="134"/>
      <c r="AC61" s="134"/>
      <c r="AD61" s="134"/>
      <c r="AE61" s="134"/>
      <c r="AF61" s="134"/>
      <c r="AG61" s="107"/>
    </row>
    <row r="62" spans="1:34">
      <c r="A62" s="100"/>
      <c r="B62" s="111" t="s">
        <v>219</v>
      </c>
      <c r="C62" s="487" t="str">
        <f>IFERROR(C48*60/(C53/(IF(C21&gt;0,C21,1)*IF(C20&gt;0,C20,1))),"")</f>
        <v/>
      </c>
      <c r="D62" s="487" t="str">
        <f t="shared" ref="D62:AF62" si="31">IFERROR(D48*60/(D53/(IF(D21&gt;0,D21,1)*IF(D20&gt;0,D20,1))),"")</f>
        <v/>
      </c>
      <c r="E62" s="487" t="str">
        <f t="shared" si="31"/>
        <v/>
      </c>
      <c r="F62" s="487" t="str">
        <f t="shared" si="31"/>
        <v/>
      </c>
      <c r="G62" s="487" t="str">
        <f t="shared" si="31"/>
        <v/>
      </c>
      <c r="H62" s="488" t="str">
        <f t="shared" si="31"/>
        <v/>
      </c>
      <c r="I62" s="487" t="str">
        <f t="shared" si="31"/>
        <v/>
      </c>
      <c r="J62" s="487" t="str">
        <f t="shared" si="31"/>
        <v/>
      </c>
      <c r="K62" s="487" t="str">
        <f t="shared" si="31"/>
        <v/>
      </c>
      <c r="L62" s="487" t="str">
        <f t="shared" si="31"/>
        <v/>
      </c>
      <c r="M62" s="487" t="str">
        <f t="shared" si="31"/>
        <v/>
      </c>
      <c r="N62" s="487" t="str">
        <f t="shared" si="31"/>
        <v/>
      </c>
      <c r="O62" s="487" t="str">
        <f t="shared" si="31"/>
        <v/>
      </c>
      <c r="P62" s="487" t="str">
        <f t="shared" si="31"/>
        <v/>
      </c>
      <c r="Q62" s="487" t="str">
        <f t="shared" si="31"/>
        <v/>
      </c>
      <c r="R62" s="487" t="str">
        <f t="shared" si="31"/>
        <v/>
      </c>
      <c r="S62" s="487" t="str">
        <f t="shared" si="31"/>
        <v/>
      </c>
      <c r="T62" s="487" t="str">
        <f t="shared" si="31"/>
        <v/>
      </c>
      <c r="U62" s="487" t="str">
        <f t="shared" si="31"/>
        <v/>
      </c>
      <c r="V62" s="487" t="str">
        <f t="shared" si="31"/>
        <v/>
      </c>
      <c r="W62" s="487" t="str">
        <f t="shared" si="31"/>
        <v/>
      </c>
      <c r="X62" s="487" t="str">
        <f t="shared" si="31"/>
        <v/>
      </c>
      <c r="Y62" s="487" t="str">
        <f t="shared" si="31"/>
        <v/>
      </c>
      <c r="Z62" s="487" t="str">
        <f t="shared" si="31"/>
        <v/>
      </c>
      <c r="AA62" s="487" t="str">
        <f t="shared" si="31"/>
        <v/>
      </c>
      <c r="AB62" s="487" t="str">
        <f t="shared" si="31"/>
        <v/>
      </c>
      <c r="AC62" s="487" t="str">
        <f t="shared" si="31"/>
        <v/>
      </c>
      <c r="AD62" s="487" t="str">
        <f t="shared" si="31"/>
        <v/>
      </c>
      <c r="AE62" s="487" t="str">
        <f t="shared" si="31"/>
        <v/>
      </c>
      <c r="AF62" s="487" t="str">
        <f t="shared" si="31"/>
        <v/>
      </c>
      <c r="AG62" s="107"/>
    </row>
    <row r="63" spans="1:34">
      <c r="A63" s="100"/>
      <c r="B63" s="111" t="s">
        <v>192</v>
      </c>
      <c r="C63" s="377" t="str">
        <f>IFERROR((C36*60/C27)/C48*(C50+C51),"")</f>
        <v/>
      </c>
      <c r="D63" s="377" t="str">
        <f t="shared" ref="D63:L63" si="32">IFERROR((D36*60/D27)/D48*(D50+D51),"")</f>
        <v/>
      </c>
      <c r="E63" s="377" t="str">
        <f t="shared" si="32"/>
        <v/>
      </c>
      <c r="F63" s="377" t="str">
        <f t="shared" si="32"/>
        <v/>
      </c>
      <c r="G63" s="377" t="str">
        <f t="shared" si="32"/>
        <v/>
      </c>
      <c r="H63" s="386" t="str">
        <f t="shared" si="32"/>
        <v/>
      </c>
      <c r="I63" s="377" t="str">
        <f t="shared" si="32"/>
        <v/>
      </c>
      <c r="J63" s="377" t="str">
        <f t="shared" si="32"/>
        <v/>
      </c>
      <c r="K63" s="377" t="str">
        <f t="shared" si="32"/>
        <v/>
      </c>
      <c r="L63" s="377" t="str">
        <f t="shared" si="32"/>
        <v/>
      </c>
      <c r="M63" s="377" t="str">
        <f t="shared" ref="M63:AF63" si="33">IFERROR((M36*60/M27)/M48*(M50+M51),"")</f>
        <v/>
      </c>
      <c r="N63" s="377" t="str">
        <f t="shared" si="33"/>
        <v/>
      </c>
      <c r="O63" s="377" t="str">
        <f t="shared" si="33"/>
        <v/>
      </c>
      <c r="P63" s="377" t="str">
        <f t="shared" si="33"/>
        <v/>
      </c>
      <c r="Q63" s="377" t="str">
        <f t="shared" si="33"/>
        <v/>
      </c>
      <c r="R63" s="377" t="str">
        <f t="shared" si="33"/>
        <v/>
      </c>
      <c r="S63" s="377" t="str">
        <f t="shared" si="33"/>
        <v/>
      </c>
      <c r="T63" s="377" t="str">
        <f t="shared" si="33"/>
        <v/>
      </c>
      <c r="U63" s="377" t="str">
        <f t="shared" si="33"/>
        <v/>
      </c>
      <c r="V63" s="377" t="str">
        <f t="shared" si="33"/>
        <v/>
      </c>
      <c r="W63" s="377" t="str">
        <f t="shared" si="33"/>
        <v/>
      </c>
      <c r="X63" s="377" t="str">
        <f t="shared" si="33"/>
        <v/>
      </c>
      <c r="Y63" s="377" t="str">
        <f t="shared" si="33"/>
        <v/>
      </c>
      <c r="Z63" s="377" t="str">
        <f t="shared" si="33"/>
        <v/>
      </c>
      <c r="AA63" s="377" t="str">
        <f t="shared" si="33"/>
        <v/>
      </c>
      <c r="AB63" s="377" t="str">
        <f t="shared" si="33"/>
        <v/>
      </c>
      <c r="AC63" s="377" t="str">
        <f t="shared" si="33"/>
        <v/>
      </c>
      <c r="AD63" s="377" t="str">
        <f t="shared" si="33"/>
        <v/>
      </c>
      <c r="AE63" s="377" t="str">
        <f t="shared" si="33"/>
        <v/>
      </c>
      <c r="AF63" s="377" t="str">
        <f t="shared" si="33"/>
        <v/>
      </c>
      <c r="AG63" s="107"/>
    </row>
    <row r="64" spans="1:34">
      <c r="A64" s="100"/>
      <c r="B64" s="111" t="s">
        <v>193</v>
      </c>
      <c r="C64" s="378" t="str">
        <f t="shared" ref="C64:L64" si="34">IF(C63="","",C63*C27*C38)</f>
        <v/>
      </c>
      <c r="D64" s="378" t="str">
        <f t="shared" si="34"/>
        <v/>
      </c>
      <c r="E64" s="378" t="str">
        <f t="shared" si="34"/>
        <v/>
      </c>
      <c r="F64" s="378" t="str">
        <f t="shared" si="34"/>
        <v/>
      </c>
      <c r="G64" s="378" t="str">
        <f t="shared" si="34"/>
        <v/>
      </c>
      <c r="H64" s="387" t="str">
        <f t="shared" si="34"/>
        <v/>
      </c>
      <c r="I64" s="378" t="str">
        <f t="shared" si="34"/>
        <v/>
      </c>
      <c r="J64" s="378" t="str">
        <f t="shared" si="34"/>
        <v/>
      </c>
      <c r="K64" s="378" t="str">
        <f t="shared" si="34"/>
        <v/>
      </c>
      <c r="L64" s="378" t="str">
        <f t="shared" si="34"/>
        <v/>
      </c>
      <c r="M64" s="378" t="str">
        <f t="shared" ref="M64:AF64" si="35">IF(M63="","",M63*M27*M38)</f>
        <v/>
      </c>
      <c r="N64" s="378" t="str">
        <f t="shared" si="35"/>
        <v/>
      </c>
      <c r="O64" s="378" t="str">
        <f t="shared" si="35"/>
        <v/>
      </c>
      <c r="P64" s="378" t="str">
        <f t="shared" si="35"/>
        <v/>
      </c>
      <c r="Q64" s="378" t="str">
        <f t="shared" si="35"/>
        <v/>
      </c>
      <c r="R64" s="378" t="str">
        <f t="shared" si="35"/>
        <v/>
      </c>
      <c r="S64" s="378" t="str">
        <f t="shared" si="35"/>
        <v/>
      </c>
      <c r="T64" s="378" t="str">
        <f t="shared" si="35"/>
        <v/>
      </c>
      <c r="U64" s="378" t="str">
        <f t="shared" si="35"/>
        <v/>
      </c>
      <c r="V64" s="378" t="str">
        <f t="shared" si="35"/>
        <v/>
      </c>
      <c r="W64" s="378" t="str">
        <f t="shared" si="35"/>
        <v/>
      </c>
      <c r="X64" s="378" t="str">
        <f t="shared" si="35"/>
        <v/>
      </c>
      <c r="Y64" s="378" t="str">
        <f t="shared" si="35"/>
        <v/>
      </c>
      <c r="Z64" s="378" t="str">
        <f t="shared" si="35"/>
        <v/>
      </c>
      <c r="AA64" s="378" t="str">
        <f t="shared" si="35"/>
        <v/>
      </c>
      <c r="AB64" s="378" t="str">
        <f t="shared" si="35"/>
        <v/>
      </c>
      <c r="AC64" s="378" t="str">
        <f t="shared" si="35"/>
        <v/>
      </c>
      <c r="AD64" s="378" t="str">
        <f t="shared" si="35"/>
        <v/>
      </c>
      <c r="AE64" s="378" t="str">
        <f t="shared" si="35"/>
        <v/>
      </c>
      <c r="AF64" s="378" t="str">
        <f t="shared" si="35"/>
        <v/>
      </c>
      <c r="AG64" s="107"/>
    </row>
    <row r="65" spans="1:33" ht="18">
      <c r="A65" s="100"/>
      <c r="B65" s="111" t="s">
        <v>194</v>
      </c>
      <c r="C65" s="391" t="str">
        <f>IFERROR(IF(C63="","",C64/'Capacity overview'!$N$9),"")</f>
        <v/>
      </c>
      <c r="D65" s="391" t="str">
        <f>IFERROR(IF(D63="","",D64/'Capacity overview'!$N$9),"")</f>
        <v/>
      </c>
      <c r="E65" s="391" t="str">
        <f>IFERROR(IF(E63="","",E64/'Capacity overview'!$N$9),"")</f>
        <v/>
      </c>
      <c r="F65" s="391" t="str">
        <f>IFERROR(IF(F63="","",F64/'Capacity overview'!$N$9),"")</f>
        <v/>
      </c>
      <c r="G65" s="391" t="str">
        <f>IFERROR(IF(G63="","",G64/'Capacity overview'!$N$9),"")</f>
        <v/>
      </c>
      <c r="H65" s="397" t="str">
        <f>IFERROR(IF(H63="","",H64/'Capacity overview'!$N$9),"")</f>
        <v/>
      </c>
      <c r="I65" s="391" t="str">
        <f>IFERROR(IF(I63="","",I64/'Capacity overview'!$N$9),"")</f>
        <v/>
      </c>
      <c r="J65" s="391" t="str">
        <f>IFERROR(IF(J63="","",J64/'Capacity overview'!$N$9),"")</f>
        <v/>
      </c>
      <c r="K65" s="391" t="str">
        <f>IFERROR(IF(K63="","",K64/'Capacity overview'!$N$9),"")</f>
        <v/>
      </c>
      <c r="L65" s="391" t="str">
        <f>IFERROR(IF(L63="","",L64/'Capacity overview'!$N$9),"")</f>
        <v/>
      </c>
      <c r="M65" s="391" t="str">
        <f>IFERROR(IF(M63="","",M64/'Capacity overview'!$N$9),"")</f>
        <v/>
      </c>
      <c r="N65" s="391" t="str">
        <f>IFERROR(IF(N63="","",N64/'Capacity overview'!$N$9),"")</f>
        <v/>
      </c>
      <c r="O65" s="391" t="str">
        <f>IFERROR(IF(O63="","",O64/'Capacity overview'!$N$9),"")</f>
        <v/>
      </c>
      <c r="P65" s="391" t="str">
        <f>IFERROR(IF(P63="","",P64/'Capacity overview'!$N$9),"")</f>
        <v/>
      </c>
      <c r="Q65" s="391" t="str">
        <f>IFERROR(IF(Q63="","",Q64/'Capacity overview'!$N$9),"")</f>
        <v/>
      </c>
      <c r="R65" s="391" t="str">
        <f>IFERROR(IF(R63="","",R64/'Capacity overview'!$N$9),"")</f>
        <v/>
      </c>
      <c r="S65" s="391" t="str">
        <f>IFERROR(IF(S63="","",S64/'Capacity overview'!$N$9),"")</f>
        <v/>
      </c>
      <c r="T65" s="391" t="str">
        <f>IFERROR(IF(T63="","",T64/'Capacity overview'!$N$9),"")</f>
        <v/>
      </c>
      <c r="U65" s="391" t="str">
        <f>IFERROR(IF(U63="","",U64/'Capacity overview'!$N$9),"")</f>
        <v/>
      </c>
      <c r="V65" s="391" t="str">
        <f>IFERROR(IF(V63="","",V64/'Capacity overview'!$N$9),"")</f>
        <v/>
      </c>
      <c r="W65" s="391" t="str">
        <f>IFERROR(IF(W63="","",W64/'Capacity overview'!$N$9),"")</f>
        <v/>
      </c>
      <c r="X65" s="391" t="str">
        <f>IFERROR(IF(X63="","",X64/'Capacity overview'!$N$9),"")</f>
        <v/>
      </c>
      <c r="Y65" s="391" t="str">
        <f>IFERROR(IF(Y63="","",Y64/'Capacity overview'!$N$9),"")</f>
        <v/>
      </c>
      <c r="Z65" s="391" t="str">
        <f>IFERROR(IF(Z63="","",Z64/'Capacity overview'!$N$9),"")</f>
        <v/>
      </c>
      <c r="AA65" s="391" t="str">
        <f>IFERROR(IF(AA63="","",AA64/'Capacity overview'!$N$9),"")</f>
        <v/>
      </c>
      <c r="AB65" s="391" t="str">
        <f>IFERROR(IF(AB63="","",AB64/'Capacity overview'!$N$9),"")</f>
        <v/>
      </c>
      <c r="AC65" s="391" t="str">
        <f>IFERROR(IF(AC63="","",AC64/'Capacity overview'!$N$9),"")</f>
        <v/>
      </c>
      <c r="AD65" s="391" t="str">
        <f>IFERROR(IF(AD63="","",AD64/'Capacity overview'!$N$9),"")</f>
        <v/>
      </c>
      <c r="AE65" s="391" t="str">
        <f>IFERROR(IF(AE63="","",AE64/'Capacity overview'!$N$9),"")</f>
        <v/>
      </c>
      <c r="AF65" s="391" t="str">
        <f>IFERROR(IF(AF63="","",AF64/'Capacity overview'!$N$9),"")</f>
        <v/>
      </c>
      <c r="AG65" s="118"/>
    </row>
    <row r="66" spans="1:33">
      <c r="A66" s="100"/>
      <c r="B66" s="113" t="s">
        <v>195</v>
      </c>
      <c r="C66" s="144" t="str">
        <f>IFERROR(IF(C64="","",C64/C68-1),"")</f>
        <v/>
      </c>
      <c r="D66" s="144" t="str">
        <f t="shared" ref="D66:H66" si="36">IFERROR(IF(D64="","",D64/D68-1),"")</f>
        <v/>
      </c>
      <c r="E66" s="144" t="str">
        <f t="shared" si="36"/>
        <v/>
      </c>
      <c r="F66" s="144" t="str">
        <f t="shared" si="36"/>
        <v/>
      </c>
      <c r="G66" s="144" t="str">
        <f t="shared" si="36"/>
        <v/>
      </c>
      <c r="H66" s="145" t="str">
        <f t="shared" si="36"/>
        <v/>
      </c>
      <c r="I66" s="144" t="str">
        <f t="shared" ref="I66:L66" si="37">IFERROR(IF(I64="","",I64/I68-1),"")</f>
        <v/>
      </c>
      <c r="J66" s="144" t="str">
        <f t="shared" si="37"/>
        <v/>
      </c>
      <c r="K66" s="144" t="str">
        <f t="shared" si="37"/>
        <v/>
      </c>
      <c r="L66" s="144" t="str">
        <f t="shared" si="37"/>
        <v/>
      </c>
      <c r="M66" s="144" t="str">
        <f t="shared" ref="M66:AF66" si="38">IFERROR(IF(M64="","",M64/M68-1),"")</f>
        <v/>
      </c>
      <c r="N66" s="144" t="str">
        <f t="shared" si="38"/>
        <v/>
      </c>
      <c r="O66" s="144" t="str">
        <f t="shared" si="38"/>
        <v/>
      </c>
      <c r="P66" s="144" t="str">
        <f t="shared" si="38"/>
        <v/>
      </c>
      <c r="Q66" s="144" t="str">
        <f t="shared" si="38"/>
        <v/>
      </c>
      <c r="R66" s="144" t="str">
        <f t="shared" si="38"/>
        <v/>
      </c>
      <c r="S66" s="144" t="str">
        <f t="shared" si="38"/>
        <v/>
      </c>
      <c r="T66" s="144" t="str">
        <f t="shared" si="38"/>
        <v/>
      </c>
      <c r="U66" s="144" t="str">
        <f t="shared" si="38"/>
        <v/>
      </c>
      <c r="V66" s="144" t="str">
        <f t="shared" si="38"/>
        <v/>
      </c>
      <c r="W66" s="144" t="str">
        <f t="shared" si="38"/>
        <v/>
      </c>
      <c r="X66" s="144" t="str">
        <f t="shared" si="38"/>
        <v/>
      </c>
      <c r="Y66" s="144" t="str">
        <f t="shared" si="38"/>
        <v/>
      </c>
      <c r="Z66" s="144" t="str">
        <f t="shared" si="38"/>
        <v/>
      </c>
      <c r="AA66" s="144" t="str">
        <f t="shared" si="38"/>
        <v/>
      </c>
      <c r="AB66" s="144" t="str">
        <f t="shared" si="38"/>
        <v/>
      </c>
      <c r="AC66" s="144" t="str">
        <f t="shared" si="38"/>
        <v/>
      </c>
      <c r="AD66" s="144" t="str">
        <f t="shared" si="38"/>
        <v/>
      </c>
      <c r="AE66" s="144" t="str">
        <f t="shared" si="38"/>
        <v/>
      </c>
      <c r="AF66" s="144" t="str">
        <f t="shared" si="38"/>
        <v/>
      </c>
      <c r="AG66" s="107"/>
    </row>
    <row r="67" spans="1:33" s="98" customFormat="1" ht="11" thickBot="1">
      <c r="A67" s="97"/>
      <c r="B67" s="108"/>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99"/>
    </row>
    <row r="68" spans="1:33" ht="18">
      <c r="A68" s="92"/>
      <c r="B68" s="191" t="s">
        <v>221</v>
      </c>
      <c r="C68" s="380" t="str">
        <f t="shared" ref="C68:AF68" si="39">IF(C18="","",ROUNDUP($C$7*IF(C22="",1,C22)*IF($D$13=1,1/((1-C75)*(1-C76)*(1-C77)*(1-C78)*(1-C79)*(1-C80)*(1-C81)*(1-C82)*(1-C83)*(1-C84)*(1-C85)*(1-C86)*(1-C87)*(1-C88)*(1-C89)*(1-C90)*(1-C91)*(1-C92)*(1-C93)*(1-C94)*(1-C95)*(1-C96)*(1-C97)*(1-C98)*(1-C99)*(1-C100)*(1-C101)*(1-C102)*(1-C103)),1),0))</f>
        <v/>
      </c>
      <c r="D68" s="380" t="str">
        <f t="shared" si="39"/>
        <v/>
      </c>
      <c r="E68" s="380" t="str">
        <f t="shared" si="39"/>
        <v/>
      </c>
      <c r="F68" s="380" t="str">
        <f t="shared" si="39"/>
        <v/>
      </c>
      <c r="G68" s="380" t="str">
        <f t="shared" si="39"/>
        <v/>
      </c>
      <c r="H68" s="380" t="str">
        <f t="shared" si="39"/>
        <v/>
      </c>
      <c r="I68" s="380" t="str">
        <f t="shared" si="39"/>
        <v/>
      </c>
      <c r="J68" s="380" t="str">
        <f t="shared" si="39"/>
        <v/>
      </c>
      <c r="K68" s="380" t="str">
        <f t="shared" si="39"/>
        <v/>
      </c>
      <c r="L68" s="380" t="str">
        <f t="shared" si="39"/>
        <v/>
      </c>
      <c r="M68" s="380" t="str">
        <f t="shared" si="39"/>
        <v/>
      </c>
      <c r="N68" s="380" t="str">
        <f t="shared" si="39"/>
        <v/>
      </c>
      <c r="O68" s="380" t="str">
        <f t="shared" si="39"/>
        <v/>
      </c>
      <c r="P68" s="380" t="str">
        <f t="shared" si="39"/>
        <v/>
      </c>
      <c r="Q68" s="380" t="str">
        <f t="shared" si="39"/>
        <v/>
      </c>
      <c r="R68" s="380" t="str">
        <f t="shared" si="39"/>
        <v/>
      </c>
      <c r="S68" s="380" t="str">
        <f t="shared" si="39"/>
        <v/>
      </c>
      <c r="T68" s="380" t="str">
        <f t="shared" si="39"/>
        <v/>
      </c>
      <c r="U68" s="380" t="str">
        <f t="shared" si="39"/>
        <v/>
      </c>
      <c r="V68" s="380" t="str">
        <f t="shared" si="39"/>
        <v/>
      </c>
      <c r="W68" s="380" t="str">
        <f t="shared" si="39"/>
        <v/>
      </c>
      <c r="X68" s="380" t="str">
        <f t="shared" si="39"/>
        <v/>
      </c>
      <c r="Y68" s="380" t="str">
        <f t="shared" si="39"/>
        <v/>
      </c>
      <c r="Z68" s="380" t="str">
        <f t="shared" si="39"/>
        <v/>
      </c>
      <c r="AA68" s="380" t="str">
        <f t="shared" si="39"/>
        <v/>
      </c>
      <c r="AB68" s="380" t="str">
        <f t="shared" si="39"/>
        <v/>
      </c>
      <c r="AC68" s="380" t="str">
        <f t="shared" si="39"/>
        <v/>
      </c>
      <c r="AD68" s="380" t="str">
        <f t="shared" si="39"/>
        <v/>
      </c>
      <c r="AE68" s="380" t="str">
        <f t="shared" si="39"/>
        <v/>
      </c>
      <c r="AF68" s="380" t="str">
        <f t="shared" si="39"/>
        <v/>
      </c>
      <c r="AG68" s="188"/>
    </row>
    <row r="69" spans="1:33" ht="19" thickBot="1">
      <c r="A69" s="189"/>
      <c r="B69" s="192" t="s">
        <v>222</v>
      </c>
      <c r="C69" s="392" t="str">
        <f>IFERROR(IF(C18="","",ROUNDUP(C68/'Capacity overview'!$N$9,1)),"")</f>
        <v/>
      </c>
      <c r="D69" s="392" t="str">
        <f>IFERROR(IF(D18="","",ROUNDUP(D68/'Capacity overview'!$N$9,1)),"")</f>
        <v/>
      </c>
      <c r="E69" s="392" t="str">
        <f>IFERROR(IF(E18="","",ROUNDUP(E68/'Capacity overview'!$N$9,1)),"")</f>
        <v/>
      </c>
      <c r="F69" s="392" t="str">
        <f>IFERROR(IF(F18="","",ROUNDUP(F68/'Capacity overview'!$N$9,1)),"")</f>
        <v/>
      </c>
      <c r="G69" s="392" t="str">
        <f>IFERROR(IF(G18="","",ROUNDUP(G68/'Capacity overview'!$N$9,1)),"")</f>
        <v/>
      </c>
      <c r="H69" s="398" t="str">
        <f>IFERROR(IF(H18="","",ROUNDUP(H68/'Capacity overview'!$N$9,1)),"")</f>
        <v/>
      </c>
      <c r="I69" s="392" t="str">
        <f>IFERROR(IF(I18="","",ROUNDUP(I68/'Capacity overview'!$N$9,1)),"")</f>
        <v/>
      </c>
      <c r="J69" s="392" t="str">
        <f>IFERROR(IF(J18="","",ROUNDUP(J68/'Capacity overview'!$N$9,1)),"")</f>
        <v/>
      </c>
      <c r="K69" s="392" t="str">
        <f>IFERROR(IF(K18="","",ROUNDUP(K68/'Capacity overview'!$N$9,1)),"")</f>
        <v/>
      </c>
      <c r="L69" s="392" t="str">
        <f>IFERROR(IF(L18="","",ROUNDUP(L68/'Capacity overview'!$N$9,1)),"")</f>
        <v/>
      </c>
      <c r="M69" s="392" t="str">
        <f>IFERROR(IF(M18="","",ROUNDUP(M68/'Capacity overview'!$N$9,1)),"")</f>
        <v/>
      </c>
      <c r="N69" s="392" t="str">
        <f>IFERROR(IF(N18="","",ROUNDUP(N68/'Capacity overview'!$N$9,1)),"")</f>
        <v/>
      </c>
      <c r="O69" s="392" t="str">
        <f>IFERROR(IF(O18="","",ROUNDUP(O68/'Capacity overview'!$N$9,1)),"")</f>
        <v/>
      </c>
      <c r="P69" s="392" t="str">
        <f>IFERROR(IF(P18="","",ROUNDUP(P68/'Capacity overview'!$N$9,1)),"")</f>
        <v/>
      </c>
      <c r="Q69" s="392" t="str">
        <f>IFERROR(IF(Q18="","",ROUNDUP(Q68/'Capacity overview'!$N$9,1)),"")</f>
        <v/>
      </c>
      <c r="R69" s="392" t="str">
        <f>IFERROR(IF(R18="","",ROUNDUP(R68/'Capacity overview'!$N$9,1)),"")</f>
        <v/>
      </c>
      <c r="S69" s="392" t="str">
        <f>IFERROR(IF(S18="","",ROUNDUP(S68/'Capacity overview'!$N$9,1)),"")</f>
        <v/>
      </c>
      <c r="T69" s="392" t="str">
        <f>IFERROR(IF(T18="","",ROUNDUP(T68/'Capacity overview'!$N$9,1)),"")</f>
        <v/>
      </c>
      <c r="U69" s="392" t="str">
        <f>IFERROR(IF(U18="","",ROUNDUP(U68/'Capacity overview'!$N$9,1)),"")</f>
        <v/>
      </c>
      <c r="V69" s="392" t="str">
        <f>IFERROR(IF(V18="","",ROUNDUP(V68/'Capacity overview'!$N$9,1)),"")</f>
        <v/>
      </c>
      <c r="W69" s="392" t="str">
        <f>IFERROR(IF(W18="","",ROUNDUP(W68/'Capacity overview'!$N$9,1)),"")</f>
        <v/>
      </c>
      <c r="X69" s="392" t="str">
        <f>IFERROR(IF(X18="","",ROUNDUP(X68/'Capacity overview'!$N$9,1)),"")</f>
        <v/>
      </c>
      <c r="Y69" s="392" t="str">
        <f>IFERROR(IF(Y18="","",ROUNDUP(Y68/'Capacity overview'!$N$9,1)),"")</f>
        <v/>
      </c>
      <c r="Z69" s="392" t="str">
        <f>IFERROR(IF(Z18="","",ROUNDUP(Z68/'Capacity overview'!$N$9,1)),"")</f>
        <v/>
      </c>
      <c r="AA69" s="392" t="str">
        <f>IFERROR(IF(AA18="","",ROUNDUP(AA68/'Capacity overview'!$N$9,1)),"")</f>
        <v/>
      </c>
      <c r="AB69" s="392" t="str">
        <f>IFERROR(IF(AB18="","",ROUNDUP(AB68/'Capacity overview'!$N$9,1)),"")</f>
        <v/>
      </c>
      <c r="AC69" s="392" t="str">
        <f>IFERROR(IF(AC18="","",ROUNDUP(AC68/'Capacity overview'!$N$9,1)),"")</f>
        <v/>
      </c>
      <c r="AD69" s="392" t="str">
        <f>IFERROR(IF(AD18="","",ROUNDUP(AD68/'Capacity overview'!$N$9,1)),"")</f>
        <v/>
      </c>
      <c r="AE69" s="392" t="str">
        <f>IFERROR(IF(AE18="","",ROUNDUP(AE68/'Capacity overview'!$N$9,1)),"")</f>
        <v/>
      </c>
      <c r="AF69" s="392" t="str">
        <f>IFERROR(IF(AF18="","",ROUNDUP(AF68/'Capacity overview'!$N$9,1)),"")</f>
        <v/>
      </c>
      <c r="AG69" s="190"/>
    </row>
    <row r="70" spans="1:33" s="98" customFormat="1" ht="11" thickBot="1">
      <c r="A70" s="97"/>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8"/>
      <c r="AF70" s="108"/>
      <c r="AG70" s="99"/>
    </row>
    <row r="71" spans="1:33" ht="18">
      <c r="A71" s="92"/>
      <c r="B71" s="191" t="s">
        <v>196</v>
      </c>
      <c r="C71" s="380" t="str">
        <f t="shared" ref="C71:AF71" si="40">IF(C18="","",ROUNDUP($C$8*IF(C22="",1,C22)*IF($D$13=1,1/((1-C75)*(1-C76)*(1-C77)*(1-C78)*(1-C79)*(1-C80)*(1-C81)*(1-C82)*(1-C83)*(1-C84)*(1-C85)*(1-C86)*(1-C87)*(1-C88)*(1-C89)*(1-C90)*(1-C91)*(1-C92)*(1-C93)*(1-C94)*(1-C95)*(1-C96)*(1-C97)*(1-C98)*(1-C99)*(1-C100)*(1-C101)*(1-C102)*(1-C103)),1),0))</f>
        <v/>
      </c>
      <c r="D71" s="380" t="str">
        <f t="shared" si="40"/>
        <v/>
      </c>
      <c r="E71" s="380" t="str">
        <f t="shared" si="40"/>
        <v/>
      </c>
      <c r="F71" s="380" t="str">
        <f t="shared" si="40"/>
        <v/>
      </c>
      <c r="G71" s="380" t="str">
        <f t="shared" si="40"/>
        <v/>
      </c>
      <c r="H71" s="380" t="str">
        <f t="shared" si="40"/>
        <v/>
      </c>
      <c r="I71" s="380" t="str">
        <f t="shared" si="40"/>
        <v/>
      </c>
      <c r="J71" s="380" t="str">
        <f t="shared" si="40"/>
        <v/>
      </c>
      <c r="K71" s="380" t="str">
        <f t="shared" si="40"/>
        <v/>
      </c>
      <c r="L71" s="380" t="str">
        <f t="shared" si="40"/>
        <v/>
      </c>
      <c r="M71" s="380" t="str">
        <f t="shared" si="40"/>
        <v/>
      </c>
      <c r="N71" s="380" t="str">
        <f t="shared" si="40"/>
        <v/>
      </c>
      <c r="O71" s="380" t="str">
        <f t="shared" si="40"/>
        <v/>
      </c>
      <c r="P71" s="380" t="str">
        <f t="shared" si="40"/>
        <v/>
      </c>
      <c r="Q71" s="380" t="str">
        <f t="shared" si="40"/>
        <v/>
      </c>
      <c r="R71" s="380" t="str">
        <f t="shared" si="40"/>
        <v/>
      </c>
      <c r="S71" s="380" t="str">
        <f t="shared" si="40"/>
        <v/>
      </c>
      <c r="T71" s="380" t="str">
        <f t="shared" si="40"/>
        <v/>
      </c>
      <c r="U71" s="380" t="str">
        <f t="shared" si="40"/>
        <v/>
      </c>
      <c r="V71" s="380" t="str">
        <f t="shared" si="40"/>
        <v/>
      </c>
      <c r="W71" s="380" t="str">
        <f t="shared" si="40"/>
        <v/>
      </c>
      <c r="X71" s="380" t="str">
        <f t="shared" si="40"/>
        <v/>
      </c>
      <c r="Y71" s="380" t="str">
        <f t="shared" si="40"/>
        <v/>
      </c>
      <c r="Z71" s="380" t="str">
        <f t="shared" si="40"/>
        <v/>
      </c>
      <c r="AA71" s="380" t="str">
        <f t="shared" si="40"/>
        <v/>
      </c>
      <c r="AB71" s="380" t="str">
        <f t="shared" si="40"/>
        <v/>
      </c>
      <c r="AC71" s="380" t="str">
        <f t="shared" si="40"/>
        <v/>
      </c>
      <c r="AD71" s="380" t="str">
        <f t="shared" si="40"/>
        <v/>
      </c>
      <c r="AE71" s="380" t="str">
        <f t="shared" si="40"/>
        <v/>
      </c>
      <c r="AF71" s="380" t="str">
        <f t="shared" si="40"/>
        <v/>
      </c>
      <c r="AG71" s="188"/>
    </row>
    <row r="72" spans="1:33" ht="19" collapsed="1" thickBot="1">
      <c r="A72" s="189"/>
      <c r="B72" s="192" t="s">
        <v>197</v>
      </c>
      <c r="C72" s="392" t="str">
        <f>IFERROR(IF(C18="","",ROUNDUP(C71/'Capacity overview'!$O$9,1)),"")</f>
        <v/>
      </c>
      <c r="D72" s="392" t="str">
        <f>IFERROR(IF(D18="","",ROUNDUP(D71/'Capacity overview'!$O$9,1)),"")</f>
        <v/>
      </c>
      <c r="E72" s="392" t="str">
        <f>IFERROR(IF(E18="","",ROUNDUP(E71/'Capacity overview'!$O$9,1)),"")</f>
        <v/>
      </c>
      <c r="F72" s="392" t="str">
        <f>IFERROR(IF(F18="","",ROUNDUP(F71/'Capacity overview'!$O$9,1)),"")</f>
        <v/>
      </c>
      <c r="G72" s="392" t="str">
        <f>IFERROR(IF(G18="","",ROUNDUP(G71/'Capacity overview'!$O$9,1)),"")</f>
        <v/>
      </c>
      <c r="H72" s="392" t="str">
        <f>IFERROR(IF(H18="","",ROUNDUP(H71/'Capacity overview'!$O$9,1)),"")</f>
        <v/>
      </c>
      <c r="I72" s="392" t="str">
        <f>IFERROR(IF(I18="","",ROUNDUP(I71/'Capacity overview'!$O$9,1)),"")</f>
        <v/>
      </c>
      <c r="J72" s="392" t="str">
        <f>IFERROR(IF(J18="","",ROUNDUP(J71/'Capacity overview'!$O$9,1)),"")</f>
        <v/>
      </c>
      <c r="K72" s="392" t="str">
        <f>IFERROR(IF(K18="","",ROUNDUP(K71/'Capacity overview'!$O$9,1)),"")</f>
        <v/>
      </c>
      <c r="L72" s="392" t="str">
        <f>IFERROR(IF(L18="","",ROUNDUP(L71/'Capacity overview'!$O$9,1)),"")</f>
        <v/>
      </c>
      <c r="M72" s="392" t="str">
        <f>IFERROR(IF(M18="","",ROUNDUP(M71/'Capacity overview'!$O$9,1)),"")</f>
        <v/>
      </c>
      <c r="N72" s="392" t="str">
        <f>IFERROR(IF(N18="","",ROUNDUP(N71/'Capacity overview'!$O$9,1)),"")</f>
        <v/>
      </c>
      <c r="O72" s="392" t="str">
        <f>IFERROR(IF(O18="","",ROUNDUP(O71/'Capacity overview'!$O$9,1)),"")</f>
        <v/>
      </c>
      <c r="P72" s="392" t="str">
        <f>IFERROR(IF(P18="","",ROUNDUP(P71/'Capacity overview'!$O$9,1)),"")</f>
        <v/>
      </c>
      <c r="Q72" s="392" t="str">
        <f>IFERROR(IF(Q18="","",ROUNDUP(Q71/'Capacity overview'!$O$9,1)),"")</f>
        <v/>
      </c>
      <c r="R72" s="392" t="str">
        <f>IFERROR(IF(R18="","",ROUNDUP(R71/'Capacity overview'!$O$9,1)),"")</f>
        <v/>
      </c>
      <c r="S72" s="392" t="str">
        <f>IFERROR(IF(S18="","",ROUNDUP(S71/'Capacity overview'!$O$9,1)),"")</f>
        <v/>
      </c>
      <c r="T72" s="392" t="str">
        <f>IFERROR(IF(T18="","",ROUNDUP(T71/'Capacity overview'!$O$9,1)),"")</f>
        <v/>
      </c>
      <c r="U72" s="392" t="str">
        <f>IFERROR(IF(U18="","",ROUNDUP(U71/'Capacity overview'!$O$9,1)),"")</f>
        <v/>
      </c>
      <c r="V72" s="392" t="str">
        <f>IFERROR(IF(V18="","",ROUNDUP(V71/'Capacity overview'!$O$9,1)),"")</f>
        <v/>
      </c>
      <c r="W72" s="392" t="str">
        <f>IFERROR(IF(W18="","",ROUNDUP(W71/'Capacity overview'!$O$9,1)),"")</f>
        <v/>
      </c>
      <c r="X72" s="392" t="str">
        <f>IFERROR(IF(X18="","",ROUNDUP(X71/'Capacity overview'!$O$9,1)),"")</f>
        <v/>
      </c>
      <c r="Y72" s="392" t="str">
        <f>IFERROR(IF(Y18="","",ROUNDUP(Y71/'Capacity overview'!$O$9,1)),"")</f>
        <v/>
      </c>
      <c r="Z72" s="392" t="str">
        <f>IFERROR(IF(Z18="","",ROUNDUP(Z71/'Capacity overview'!$O$9,1)),"")</f>
        <v/>
      </c>
      <c r="AA72" s="392" t="str">
        <f>IFERROR(IF(AA18="","",ROUNDUP(AA71/'Capacity overview'!$O$9,1)),"")</f>
        <v/>
      </c>
      <c r="AB72" s="392" t="str">
        <f>IFERROR(IF(AB18="","",ROUNDUP(AB71/'Capacity overview'!$O$9,1)),"")</f>
        <v/>
      </c>
      <c r="AC72" s="392" t="str">
        <f>IFERROR(IF(AC18="","",ROUNDUP(AC71/'Capacity overview'!$O$9,1)),"")</f>
        <v/>
      </c>
      <c r="AD72" s="392" t="str">
        <f>IFERROR(IF(AD18="","",ROUNDUP(AD71/'Capacity overview'!$O$9,1)),"")</f>
        <v/>
      </c>
      <c r="AE72" s="392" t="str">
        <f>IFERROR(IF(AE18="","",ROUNDUP(AE71/'Capacity overview'!$O$9,1)),"")</f>
        <v/>
      </c>
      <c r="AF72" s="392" t="str">
        <f>IFERROR(IF(AF18="","",ROUNDUP(AF71/'Capacity overview'!$O$9,1)),"")</f>
        <v/>
      </c>
      <c r="AG72" s="190"/>
    </row>
    <row r="73" spans="1:33" s="98" customFormat="1" ht="10" hidden="1" outlineLevel="1">
      <c r="A73" s="97"/>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c r="AA73" s="108"/>
      <c r="AB73" s="108"/>
      <c r="AC73" s="108"/>
      <c r="AD73" s="108"/>
      <c r="AE73" s="108"/>
      <c r="AF73" s="108"/>
      <c r="AG73" s="99"/>
    </row>
    <row r="74" spans="1:33" ht="18" hidden="1" outlineLevel="1">
      <c r="A74" s="100"/>
      <c r="B74" s="126" t="s">
        <v>198</v>
      </c>
      <c r="C74" s="106"/>
      <c r="D74" s="106"/>
      <c r="E74" s="106"/>
      <c r="F74" s="106"/>
      <c r="G74" s="106"/>
      <c r="H74" s="106"/>
      <c r="I74" s="106"/>
      <c r="J74" s="106"/>
      <c r="K74" s="106"/>
      <c r="L74" s="106"/>
      <c r="M74" s="106"/>
      <c r="N74" s="106"/>
      <c r="O74" s="106"/>
      <c r="P74" s="106"/>
      <c r="Q74" s="106"/>
      <c r="R74" s="106"/>
      <c r="S74" s="106"/>
      <c r="T74" s="106"/>
      <c r="U74" s="106"/>
      <c r="V74" s="106"/>
      <c r="W74" s="106"/>
      <c r="X74" s="106"/>
      <c r="Y74" s="106"/>
      <c r="Z74" s="106"/>
      <c r="AA74" s="106"/>
      <c r="AB74" s="106"/>
      <c r="AC74" s="106"/>
      <c r="AD74" s="106"/>
      <c r="AE74" s="106"/>
      <c r="AF74" s="106"/>
      <c r="AG74" s="124"/>
    </row>
    <row r="75" spans="1:33" hidden="1" outlineLevel="1">
      <c r="A75" s="100"/>
      <c r="B75" s="106" t="str">
        <f>D16</f>
        <v>Process 2</v>
      </c>
      <c r="C75" s="497">
        <f>IF(ISBLANK('Capacity Planning'!C59),0,IF($D$54="",0,$D$54))</f>
        <v>0</v>
      </c>
      <c r="D75" s="497"/>
      <c r="E75" s="497"/>
      <c r="F75" s="497"/>
      <c r="G75" s="497"/>
      <c r="H75" s="497"/>
      <c r="I75" s="497"/>
      <c r="J75" s="497"/>
      <c r="K75" s="497"/>
      <c r="L75" s="497"/>
      <c r="M75" s="497"/>
      <c r="N75" s="497"/>
      <c r="O75" s="497"/>
      <c r="P75" s="497"/>
      <c r="Q75" s="497"/>
      <c r="R75" s="497"/>
      <c r="S75" s="497"/>
      <c r="T75" s="497"/>
      <c r="U75" s="497"/>
      <c r="V75" s="497"/>
      <c r="W75" s="497"/>
      <c r="X75" s="497"/>
      <c r="Y75" s="497"/>
      <c r="Z75" s="497"/>
      <c r="AA75" s="497"/>
      <c r="AB75" s="497"/>
      <c r="AC75" s="497"/>
      <c r="AD75" s="497"/>
      <c r="AE75" s="497"/>
      <c r="AF75" s="497"/>
      <c r="AG75" s="107"/>
    </row>
    <row r="76" spans="1:33" hidden="1" outlineLevel="1">
      <c r="A76" s="100"/>
      <c r="B76" s="106" t="str">
        <f>E16</f>
        <v>Process 3</v>
      </c>
      <c r="C76" s="497">
        <f>IF(ISBLANK('Capacity Planning'!C60),0,IF($E$54="",0,$E$54))</f>
        <v>0</v>
      </c>
      <c r="D76" s="497">
        <f>IF(ISBLANK('Capacity Planning'!D60),0,IF($E$54="",0,$E$54))</f>
        <v>0</v>
      </c>
      <c r="E76" s="497"/>
      <c r="F76" s="497"/>
      <c r="G76" s="497"/>
      <c r="H76" s="497"/>
      <c r="I76" s="497"/>
      <c r="J76" s="497"/>
      <c r="K76" s="497"/>
      <c r="L76" s="497"/>
      <c r="M76" s="497"/>
      <c r="N76" s="497"/>
      <c r="O76" s="497"/>
      <c r="P76" s="497"/>
      <c r="Q76" s="497"/>
      <c r="R76" s="497"/>
      <c r="S76" s="497"/>
      <c r="T76" s="497"/>
      <c r="U76" s="497"/>
      <c r="V76" s="497"/>
      <c r="W76" s="497"/>
      <c r="X76" s="497"/>
      <c r="Y76" s="497"/>
      <c r="Z76" s="497"/>
      <c r="AA76" s="497"/>
      <c r="AB76" s="497"/>
      <c r="AC76" s="497"/>
      <c r="AD76" s="497"/>
      <c r="AE76" s="497"/>
      <c r="AF76" s="497"/>
      <c r="AG76" s="107"/>
    </row>
    <row r="77" spans="1:33" hidden="1" outlineLevel="1">
      <c r="A77" s="100"/>
      <c r="B77" s="106" t="str">
        <f>F16</f>
        <v>Process 4</v>
      </c>
      <c r="C77" s="497">
        <f>IF(ISBLANK('Capacity Planning'!C61),0,IF($F$54="",0,$F$54))</f>
        <v>0</v>
      </c>
      <c r="D77" s="497">
        <f>IF(ISBLANK('Capacity Planning'!D61),0,IF($F$54="",0,$F$54))</f>
        <v>0</v>
      </c>
      <c r="E77" s="497">
        <f>IF(ISBLANK('Capacity Planning'!E61),0,IF($F$54="",0,$F$54))</f>
        <v>0</v>
      </c>
      <c r="F77" s="497"/>
      <c r="G77" s="497"/>
      <c r="H77" s="497"/>
      <c r="I77" s="497"/>
      <c r="J77" s="497"/>
      <c r="K77" s="497"/>
      <c r="L77" s="497"/>
      <c r="M77" s="497"/>
      <c r="N77" s="497"/>
      <c r="O77" s="497"/>
      <c r="P77" s="497"/>
      <c r="Q77" s="497"/>
      <c r="R77" s="497"/>
      <c r="S77" s="497"/>
      <c r="T77" s="497"/>
      <c r="U77" s="497"/>
      <c r="V77" s="497"/>
      <c r="W77" s="497"/>
      <c r="X77" s="497"/>
      <c r="Y77" s="497"/>
      <c r="Z77" s="497"/>
      <c r="AA77" s="497"/>
      <c r="AB77" s="497"/>
      <c r="AC77" s="497"/>
      <c r="AD77" s="497"/>
      <c r="AE77" s="497"/>
      <c r="AF77" s="497"/>
      <c r="AG77" s="107"/>
    </row>
    <row r="78" spans="1:33" hidden="1" outlineLevel="1">
      <c r="A78" s="100"/>
      <c r="B78" s="106" t="str">
        <f>G16</f>
        <v>Process 5</v>
      </c>
      <c r="C78" s="497">
        <f>IF(ISBLANK('Capacity Planning'!C62),0,IF($G$54="",0,$G$54))</f>
        <v>0</v>
      </c>
      <c r="D78" s="497">
        <f>IF(ISBLANK('Capacity Planning'!D62),0,IF($G$54="",0,$G$54))</f>
        <v>0</v>
      </c>
      <c r="E78" s="497">
        <f>IF(ISBLANK('Capacity Planning'!E62),0,IF($G$54="",0,$G$54))</f>
        <v>0</v>
      </c>
      <c r="F78" s="497">
        <f>IF(ISBLANK('Capacity Planning'!F62),0,IF($G$54="",0,$G$54))</f>
        <v>0</v>
      </c>
      <c r="G78" s="497"/>
      <c r="H78" s="497"/>
      <c r="I78" s="497"/>
      <c r="J78" s="497"/>
      <c r="K78" s="497"/>
      <c r="L78" s="497"/>
      <c r="M78" s="497"/>
      <c r="N78" s="497"/>
      <c r="O78" s="497"/>
      <c r="P78" s="497"/>
      <c r="Q78" s="497"/>
      <c r="R78" s="497"/>
      <c r="S78" s="497"/>
      <c r="T78" s="497"/>
      <c r="U78" s="497"/>
      <c r="V78" s="497"/>
      <c r="W78" s="497"/>
      <c r="X78" s="497"/>
      <c r="Y78" s="497"/>
      <c r="Z78" s="497"/>
      <c r="AA78" s="497"/>
      <c r="AB78" s="497"/>
      <c r="AC78" s="497"/>
      <c r="AD78" s="497"/>
      <c r="AE78" s="497"/>
      <c r="AF78" s="497"/>
      <c r="AG78" s="107"/>
    </row>
    <row r="79" spans="1:33" hidden="1" outlineLevel="1">
      <c r="A79" s="100"/>
      <c r="B79" s="269" t="str">
        <f>H16</f>
        <v>Process 6</v>
      </c>
      <c r="C79" s="497">
        <f>IF(ISBLANK('Capacity Planning'!C63),0,IF($H$54="",0,$H$54))</f>
        <v>0</v>
      </c>
      <c r="D79" s="497">
        <f>IF(ISBLANK('Capacity Planning'!D63),0,IF($H$54="",0,$H$54))</f>
        <v>0</v>
      </c>
      <c r="E79" s="497">
        <f>IF(ISBLANK('Capacity Planning'!E63),0,IF($H$54="",0,$H$54))</f>
        <v>0</v>
      </c>
      <c r="F79" s="497">
        <f>IF(ISBLANK('Capacity Planning'!F63),0,IF($H$54="",0,$H$54))</f>
        <v>0</v>
      </c>
      <c r="G79" s="497">
        <f>IF(ISBLANK('Capacity Planning'!G63),0,IF($H$54="",0,$H$54))</f>
        <v>0</v>
      </c>
      <c r="H79" s="497"/>
      <c r="I79" s="497"/>
      <c r="J79" s="497"/>
      <c r="K79" s="497"/>
      <c r="L79" s="497"/>
      <c r="M79" s="497"/>
      <c r="N79" s="497"/>
      <c r="O79" s="497"/>
      <c r="P79" s="497"/>
      <c r="Q79" s="497"/>
      <c r="R79" s="497"/>
      <c r="S79" s="497"/>
      <c r="T79" s="497"/>
      <c r="U79" s="497"/>
      <c r="V79" s="497"/>
      <c r="W79" s="497"/>
      <c r="X79" s="497"/>
      <c r="Y79" s="497"/>
      <c r="Z79" s="497"/>
      <c r="AA79" s="497"/>
      <c r="AB79" s="497"/>
      <c r="AC79" s="497"/>
      <c r="AD79" s="497"/>
      <c r="AE79" s="497"/>
      <c r="AF79" s="497"/>
      <c r="AG79" s="107"/>
    </row>
    <row r="80" spans="1:33" hidden="1" outlineLevel="1">
      <c r="A80" s="100"/>
      <c r="B80" s="106" t="str">
        <f>I16</f>
        <v>Process 7</v>
      </c>
      <c r="C80" s="497">
        <f>IF(ISBLANK('Capacity Planning'!C64),0,IF($I$54="",0,$I$54))</f>
        <v>0</v>
      </c>
      <c r="D80" s="497">
        <f>IF(ISBLANK('Capacity Planning'!D64),0,IF($I$54="",0,$I$54))</f>
        <v>0</v>
      </c>
      <c r="E80" s="497">
        <f>IF(ISBLANK('Capacity Planning'!E64),0,IF($I$54="",0,$I$54))</f>
        <v>0</v>
      </c>
      <c r="F80" s="497">
        <f>IF(ISBLANK('Capacity Planning'!F64),0,IF($I$54="",0,$I$54))</f>
        <v>0</v>
      </c>
      <c r="G80" s="497">
        <f>IF(ISBLANK('Capacity Planning'!G64),0,IF($I$54="",0,$I$54))</f>
        <v>0</v>
      </c>
      <c r="H80" s="497">
        <f>IF(ISBLANK('Capacity Planning'!H64),0,IF($I$54="",0,$I$54))</f>
        <v>0</v>
      </c>
      <c r="I80" s="497"/>
      <c r="J80" s="497"/>
      <c r="K80" s="497"/>
      <c r="L80" s="497"/>
      <c r="M80" s="497"/>
      <c r="N80" s="497"/>
      <c r="O80" s="497"/>
      <c r="P80" s="497"/>
      <c r="Q80" s="497"/>
      <c r="R80" s="497"/>
      <c r="S80" s="497"/>
      <c r="T80" s="497"/>
      <c r="U80" s="497"/>
      <c r="V80" s="497"/>
      <c r="W80" s="497"/>
      <c r="X80" s="497"/>
      <c r="Y80" s="497"/>
      <c r="Z80" s="497"/>
      <c r="AA80" s="497"/>
      <c r="AB80" s="497"/>
      <c r="AC80" s="497"/>
      <c r="AD80" s="497"/>
      <c r="AE80" s="497"/>
      <c r="AF80" s="497"/>
      <c r="AG80" s="107"/>
    </row>
    <row r="81" spans="1:33" hidden="1" outlineLevel="1">
      <c r="A81" s="100"/>
      <c r="B81" s="106" t="str">
        <f>J16</f>
        <v>Process 8</v>
      </c>
      <c r="C81" s="497">
        <f>IF(ISBLANK('Capacity Planning'!C65),0,IF($J$54="",0,$J$54))</f>
        <v>0</v>
      </c>
      <c r="D81" s="497">
        <f>IF(ISBLANK('Capacity Planning'!D65),0,IF($J$54="",0,$J$54))</f>
        <v>0</v>
      </c>
      <c r="E81" s="497">
        <f>IF(ISBLANK('Capacity Planning'!E65),0,IF($J$54="",0,$J$54))</f>
        <v>0</v>
      </c>
      <c r="F81" s="497">
        <f>IF(ISBLANK('Capacity Planning'!F65),0,IF($J$54="",0,$J$54))</f>
        <v>0</v>
      </c>
      <c r="G81" s="497">
        <f>IF(ISBLANK('Capacity Planning'!G65),0,IF($J$54="",0,$J$54))</f>
        <v>0</v>
      </c>
      <c r="H81" s="497">
        <f>IF(ISBLANK('Capacity Planning'!H65),0,IF($J$54="",0,$J$54))</f>
        <v>0</v>
      </c>
      <c r="I81" s="497">
        <f>IF(ISBLANK('Capacity Planning'!I65),0,IF($J$54="",0,$J$54))</f>
        <v>0</v>
      </c>
      <c r="J81" s="497"/>
      <c r="K81" s="497"/>
      <c r="L81" s="497"/>
      <c r="M81" s="497"/>
      <c r="N81" s="497"/>
      <c r="O81" s="497"/>
      <c r="P81" s="497"/>
      <c r="Q81" s="497"/>
      <c r="R81" s="497"/>
      <c r="S81" s="497"/>
      <c r="T81" s="497"/>
      <c r="U81" s="497"/>
      <c r="V81" s="497"/>
      <c r="W81" s="497"/>
      <c r="X81" s="497"/>
      <c r="Y81" s="497"/>
      <c r="Z81" s="497"/>
      <c r="AA81" s="497"/>
      <c r="AB81" s="497"/>
      <c r="AC81" s="497"/>
      <c r="AD81" s="497"/>
      <c r="AE81" s="497"/>
      <c r="AF81" s="497"/>
      <c r="AG81" s="107"/>
    </row>
    <row r="82" spans="1:33" hidden="1" outlineLevel="1">
      <c r="A82" s="100"/>
      <c r="B82" s="106" t="str">
        <f>K16</f>
        <v>Process 9</v>
      </c>
      <c r="C82" s="497">
        <f>IF(ISBLANK('Capacity Planning'!C66),0,IF($K$54="",0,$K$54))</f>
        <v>0</v>
      </c>
      <c r="D82" s="497">
        <f>IF(ISBLANK('Capacity Planning'!D66),0,IF($K$54="",0,$K$54))</f>
        <v>0</v>
      </c>
      <c r="E82" s="497">
        <f>IF(ISBLANK('Capacity Planning'!E66),0,IF($K$54="",0,$K$54))</f>
        <v>0</v>
      </c>
      <c r="F82" s="497">
        <f>IF(ISBLANK('Capacity Planning'!F66),0,IF($K$54="",0,$K$54))</f>
        <v>0</v>
      </c>
      <c r="G82" s="497">
        <f>IF(ISBLANK('Capacity Planning'!G66),0,IF($K$54="",0,$K$54))</f>
        <v>0</v>
      </c>
      <c r="H82" s="497">
        <f>IF(ISBLANK('Capacity Planning'!H66),0,IF($K$54="",0,$K$54))</f>
        <v>0</v>
      </c>
      <c r="I82" s="497">
        <f>IF(ISBLANK('Capacity Planning'!I66),0,IF($K$54="",0,$K$54))</f>
        <v>0</v>
      </c>
      <c r="J82" s="497">
        <f>IF(ISBLANK('Capacity Planning'!J66),0,IF($K$54="",0,$K$54))</f>
        <v>0</v>
      </c>
      <c r="K82" s="497"/>
      <c r="L82" s="497"/>
      <c r="M82" s="497"/>
      <c r="N82" s="497"/>
      <c r="O82" s="497"/>
      <c r="P82" s="497"/>
      <c r="Q82" s="497"/>
      <c r="R82" s="497"/>
      <c r="S82" s="497"/>
      <c r="T82" s="497"/>
      <c r="U82" s="497"/>
      <c r="V82" s="497"/>
      <c r="W82" s="497"/>
      <c r="X82" s="497"/>
      <c r="Y82" s="497"/>
      <c r="Z82" s="497"/>
      <c r="AA82" s="497"/>
      <c r="AB82" s="497"/>
      <c r="AC82" s="497"/>
      <c r="AD82" s="497"/>
      <c r="AE82" s="497"/>
      <c r="AF82" s="497"/>
      <c r="AG82" s="107"/>
    </row>
    <row r="83" spans="1:33" hidden="1" outlineLevel="1">
      <c r="A83" s="100"/>
      <c r="B83" s="106" t="str">
        <f>L16</f>
        <v>Process 10</v>
      </c>
      <c r="C83" s="497">
        <f>IF(ISBLANK('Capacity Planning'!C67),0,IF($L$54="",0,$L$54))</f>
        <v>0</v>
      </c>
      <c r="D83" s="497">
        <f>IF(ISBLANK('Capacity Planning'!D67),0,IF($L$54="",0,$L$54))</f>
        <v>0</v>
      </c>
      <c r="E83" s="497">
        <f>IF(ISBLANK('Capacity Planning'!E67),0,IF($L$54="",0,$L$54))</f>
        <v>0</v>
      </c>
      <c r="F83" s="497">
        <f>IF(ISBLANK('Capacity Planning'!F67),0,IF($L$54="",0,$L$54))</f>
        <v>0</v>
      </c>
      <c r="G83" s="497">
        <f>IF(ISBLANK('Capacity Planning'!G67),0,IF($L$54="",0,$L$54))</f>
        <v>0</v>
      </c>
      <c r="H83" s="497">
        <f>IF(ISBLANK('Capacity Planning'!H67),0,IF($L$54="",0,$L$54))</f>
        <v>0</v>
      </c>
      <c r="I83" s="497">
        <f>IF(ISBLANK('Capacity Planning'!I67),0,IF($L$54="",0,$L$54))</f>
        <v>0</v>
      </c>
      <c r="J83" s="497">
        <f>IF(ISBLANK('Capacity Planning'!J67),0,IF($L$54="",0,$L$54))</f>
        <v>0</v>
      </c>
      <c r="K83" s="497">
        <f>IF(ISBLANK('Capacity Planning'!K67),0,IF($L$54="",0,$L$54))</f>
        <v>0</v>
      </c>
      <c r="L83" s="497"/>
      <c r="M83" s="497"/>
      <c r="N83" s="497"/>
      <c r="O83" s="497"/>
      <c r="P83" s="497"/>
      <c r="Q83" s="497"/>
      <c r="R83" s="497"/>
      <c r="S83" s="497"/>
      <c r="T83" s="497"/>
      <c r="U83" s="497"/>
      <c r="V83" s="497"/>
      <c r="W83" s="497"/>
      <c r="X83" s="497"/>
      <c r="Y83" s="497"/>
      <c r="Z83" s="497"/>
      <c r="AA83" s="497"/>
      <c r="AB83" s="497"/>
      <c r="AC83" s="497"/>
      <c r="AD83" s="497"/>
      <c r="AE83" s="497"/>
      <c r="AF83" s="497"/>
      <c r="AG83" s="107"/>
    </row>
    <row r="84" spans="1:33" hidden="1" outlineLevel="1">
      <c r="A84" s="100"/>
      <c r="B84" s="106" t="str">
        <f>M16</f>
        <v>Process 11</v>
      </c>
      <c r="C84" s="497">
        <f>IF(ISBLANK('Capacity Planning'!C68),0,IF($M$54="",0,$M$54))</f>
        <v>0</v>
      </c>
      <c r="D84" s="497">
        <f>IF(ISBLANK('Capacity Planning'!D68),0,IF($M$54="",0,$M$54))</f>
        <v>0</v>
      </c>
      <c r="E84" s="497">
        <f>IF(ISBLANK('Capacity Planning'!E68),0,IF($M$54="",0,$M$54))</f>
        <v>0</v>
      </c>
      <c r="F84" s="497">
        <f>IF(ISBLANK('Capacity Planning'!F68),0,IF($M$54="",0,$M$54))</f>
        <v>0</v>
      </c>
      <c r="G84" s="497">
        <f>IF(ISBLANK('Capacity Planning'!G68),0,IF($M$54="",0,$M$54))</f>
        <v>0</v>
      </c>
      <c r="H84" s="497">
        <f>IF(ISBLANK('Capacity Planning'!H68),0,IF($M$54="",0,$M$54))</f>
        <v>0</v>
      </c>
      <c r="I84" s="497">
        <f>IF(ISBLANK('Capacity Planning'!I68),0,IF($M$54="",0,$M$54))</f>
        <v>0</v>
      </c>
      <c r="J84" s="497">
        <f>IF(ISBLANK('Capacity Planning'!J68),0,IF($M$54="",0,$M$54))</f>
        <v>0</v>
      </c>
      <c r="K84" s="497">
        <f>IF(ISBLANK('Capacity Planning'!K68),0,IF($M$54="",0,$M$54))</f>
        <v>0</v>
      </c>
      <c r="L84" s="497">
        <f>IF(ISBLANK('Capacity Planning'!L68),0,IF($M$54="",0,$M$54))</f>
        <v>0</v>
      </c>
      <c r="M84" s="497"/>
      <c r="N84" s="497"/>
      <c r="O84" s="497"/>
      <c r="P84" s="497"/>
      <c r="Q84" s="497"/>
      <c r="R84" s="497"/>
      <c r="S84" s="497"/>
      <c r="T84" s="497"/>
      <c r="U84" s="497"/>
      <c r="V84" s="497"/>
      <c r="W84" s="497"/>
      <c r="X84" s="497"/>
      <c r="Y84" s="497"/>
      <c r="Z84" s="497"/>
      <c r="AA84" s="497"/>
      <c r="AB84" s="497"/>
      <c r="AC84" s="497"/>
      <c r="AD84" s="497"/>
      <c r="AE84" s="497"/>
      <c r="AF84" s="497"/>
      <c r="AG84" s="107"/>
    </row>
    <row r="85" spans="1:33" hidden="1" outlineLevel="1">
      <c r="A85" s="100"/>
      <c r="B85" s="106" t="str">
        <f>N16</f>
        <v>Process 12</v>
      </c>
      <c r="C85" s="497">
        <f>IF(ISBLANK('Capacity Planning'!C69),0,IF($N$54="",0,$N$54))</f>
        <v>0</v>
      </c>
      <c r="D85" s="497">
        <f>IF(ISBLANK('Capacity Planning'!D69),0,IF($N$54="",0,$N$54))</f>
        <v>0</v>
      </c>
      <c r="E85" s="497">
        <f>IF(ISBLANK('Capacity Planning'!E69),0,IF($N$54="",0,$N$54))</f>
        <v>0</v>
      </c>
      <c r="F85" s="497">
        <f>IF(ISBLANK('Capacity Planning'!F69),0,IF($N$54="",0,$N$54))</f>
        <v>0</v>
      </c>
      <c r="G85" s="497">
        <f>IF(ISBLANK('Capacity Planning'!G69),0,IF($N$54="",0,$N$54))</f>
        <v>0</v>
      </c>
      <c r="H85" s="497">
        <f>IF(ISBLANK('Capacity Planning'!H69),0,IF($N$54="",0,$N$54))</f>
        <v>0</v>
      </c>
      <c r="I85" s="497">
        <f>IF(ISBLANK('Capacity Planning'!I69),0,IF($N$54="",0,$N$54))</f>
        <v>0</v>
      </c>
      <c r="J85" s="497">
        <f>IF(ISBLANK('Capacity Planning'!J69),0,IF($N$54="",0,$N$54))</f>
        <v>0</v>
      </c>
      <c r="K85" s="497">
        <f>IF(ISBLANK('Capacity Planning'!K69),0,IF($N$54="",0,$N$54))</f>
        <v>0</v>
      </c>
      <c r="L85" s="497">
        <f>IF(ISBLANK('Capacity Planning'!L69),0,IF($N$54="",0,$N$54))</f>
        <v>0</v>
      </c>
      <c r="M85" s="497">
        <f>IF(ISBLANK('Capacity Planning'!M69),0,IF($N$54="",0,$N$54))</f>
        <v>0</v>
      </c>
      <c r="N85" s="497"/>
      <c r="O85" s="497"/>
      <c r="P85" s="497"/>
      <c r="Q85" s="497"/>
      <c r="R85" s="497"/>
      <c r="S85" s="497"/>
      <c r="T85" s="497"/>
      <c r="U85" s="497"/>
      <c r="V85" s="497"/>
      <c r="W85" s="497"/>
      <c r="X85" s="497"/>
      <c r="Y85" s="497"/>
      <c r="Z85" s="497"/>
      <c r="AA85" s="497"/>
      <c r="AB85" s="497"/>
      <c r="AC85" s="497"/>
      <c r="AD85" s="497"/>
      <c r="AE85" s="497"/>
      <c r="AF85" s="497"/>
      <c r="AG85" s="107"/>
    </row>
    <row r="86" spans="1:33" hidden="1" outlineLevel="1">
      <c r="A86" s="100"/>
      <c r="B86" s="106" t="str">
        <f>O16</f>
        <v>Process 13</v>
      </c>
      <c r="C86" s="497">
        <f>IF(ISBLANK('Capacity Planning'!C70),0,IF($O$54="",0,$O$54))</f>
        <v>0</v>
      </c>
      <c r="D86" s="497">
        <f>IF(ISBLANK('Capacity Planning'!D70),0,IF($O$54="",0,$O$54))</f>
        <v>0</v>
      </c>
      <c r="E86" s="497">
        <f>IF(ISBLANK('Capacity Planning'!E70),0,IF($O$54="",0,$O$54))</f>
        <v>0</v>
      </c>
      <c r="F86" s="497">
        <f>IF(ISBLANK('Capacity Planning'!F70),0,IF($O$54="",0,$O$54))</f>
        <v>0</v>
      </c>
      <c r="G86" s="497">
        <f>IF(ISBLANK('Capacity Planning'!G70),0,IF($O$54="",0,$O$54))</f>
        <v>0</v>
      </c>
      <c r="H86" s="497">
        <f>IF(ISBLANK('Capacity Planning'!H70),0,IF($O$54="",0,$O$54))</f>
        <v>0</v>
      </c>
      <c r="I86" s="497">
        <f>IF(ISBLANK('Capacity Planning'!I70),0,IF($O$54="",0,$O$54))</f>
        <v>0</v>
      </c>
      <c r="J86" s="497">
        <f>IF(ISBLANK('Capacity Planning'!J70),0,IF($O$54="",0,$O$54))</f>
        <v>0</v>
      </c>
      <c r="K86" s="497">
        <f>IF(ISBLANK('Capacity Planning'!K70),0,IF($O$54="",0,$O$54))</f>
        <v>0</v>
      </c>
      <c r="L86" s="497">
        <f>IF(ISBLANK('Capacity Planning'!L70),0,IF($O$54="",0,$O$54))</f>
        <v>0</v>
      </c>
      <c r="M86" s="497">
        <f>IF(ISBLANK('Capacity Planning'!M70),0,IF($O$54="",0,$O$54))</f>
        <v>0</v>
      </c>
      <c r="N86" s="497">
        <f>IF(ISBLANK('Capacity Planning'!N70),0,IF($O$54="",0,$O$54))</f>
        <v>0</v>
      </c>
      <c r="O86" s="497"/>
      <c r="P86" s="497"/>
      <c r="Q86" s="497"/>
      <c r="R86" s="497"/>
      <c r="S86" s="497"/>
      <c r="T86" s="497"/>
      <c r="U86" s="497"/>
      <c r="V86" s="497"/>
      <c r="W86" s="497"/>
      <c r="X86" s="497"/>
      <c r="Y86" s="497"/>
      <c r="Z86" s="497"/>
      <c r="AA86" s="497"/>
      <c r="AB86" s="497"/>
      <c r="AC86" s="497"/>
      <c r="AD86" s="497"/>
      <c r="AE86" s="497"/>
      <c r="AF86" s="497"/>
      <c r="AG86" s="107"/>
    </row>
    <row r="87" spans="1:33" hidden="1" outlineLevel="1">
      <c r="A87" s="100"/>
      <c r="B87" s="106" t="str">
        <f>P16</f>
        <v>Process 14</v>
      </c>
      <c r="C87" s="497">
        <f>IF(ISBLANK('Capacity Planning'!C71),0,IF($P$54="",0,$P$54))</f>
        <v>0</v>
      </c>
      <c r="D87" s="497">
        <f>IF(ISBLANK('Capacity Planning'!D71),0,IF($P$54="",0,$P$54))</f>
        <v>0</v>
      </c>
      <c r="E87" s="497">
        <f>IF(ISBLANK('Capacity Planning'!E71),0,IF($P$54="",0,$P$54))</f>
        <v>0</v>
      </c>
      <c r="F87" s="497">
        <f>IF(ISBLANK('Capacity Planning'!F71),0,IF($P$54="",0,$P$54))</f>
        <v>0</v>
      </c>
      <c r="G87" s="497">
        <f>IF(ISBLANK('Capacity Planning'!G71),0,IF($P$54="",0,$P$54))</f>
        <v>0</v>
      </c>
      <c r="H87" s="497">
        <f>IF(ISBLANK('Capacity Planning'!H71),0,IF($P$54="",0,$P$54))</f>
        <v>0</v>
      </c>
      <c r="I87" s="497">
        <f>IF(ISBLANK('Capacity Planning'!I71),0,IF($P$54="",0,$P$54))</f>
        <v>0</v>
      </c>
      <c r="J87" s="497">
        <f>IF(ISBLANK('Capacity Planning'!J71),0,IF($P$54="",0,$P$54))</f>
        <v>0</v>
      </c>
      <c r="K87" s="497">
        <f>IF(ISBLANK('Capacity Planning'!K71),0,IF($P$54="",0,$P$54))</f>
        <v>0</v>
      </c>
      <c r="L87" s="497">
        <f>IF(ISBLANK('Capacity Planning'!L71),0,IF($P$54="",0,$P$54))</f>
        <v>0</v>
      </c>
      <c r="M87" s="497">
        <f>IF(ISBLANK('Capacity Planning'!M71),0,IF($P$54="",0,$P$54))</f>
        <v>0</v>
      </c>
      <c r="N87" s="497">
        <f>IF(ISBLANK('Capacity Planning'!N71),0,IF($P$54="",0,$P$54))</f>
        <v>0</v>
      </c>
      <c r="O87" s="497">
        <f t="shared" ref="O87" si="41">IF($P$54="",0,$P$54)</f>
        <v>0</v>
      </c>
      <c r="P87" s="497"/>
      <c r="Q87" s="497"/>
      <c r="R87" s="497"/>
      <c r="S87" s="497"/>
      <c r="T87" s="497"/>
      <c r="U87" s="497"/>
      <c r="V87" s="497"/>
      <c r="W87" s="497"/>
      <c r="X87" s="497"/>
      <c r="Y87" s="497"/>
      <c r="Z87" s="497"/>
      <c r="AA87" s="497"/>
      <c r="AB87" s="497"/>
      <c r="AC87" s="497"/>
      <c r="AD87" s="497"/>
      <c r="AE87" s="497"/>
      <c r="AF87" s="497"/>
      <c r="AG87" s="107"/>
    </row>
    <row r="88" spans="1:33" hidden="1" outlineLevel="1">
      <c r="A88" s="100"/>
      <c r="B88" s="106" t="str">
        <f>Q16</f>
        <v>Process 15</v>
      </c>
      <c r="C88" s="497">
        <f>IF(ISBLANK('Capacity Planning'!C72),0,IF($Q$54="",0,$Q$54))</f>
        <v>0</v>
      </c>
      <c r="D88" s="497">
        <f>IF(ISBLANK('Capacity Planning'!D72),0,IF($Q$54="",0,$Q$54))</f>
        <v>0</v>
      </c>
      <c r="E88" s="497">
        <f>IF(ISBLANK('Capacity Planning'!E72),0,IF($Q$54="",0,$Q$54))</f>
        <v>0</v>
      </c>
      <c r="F88" s="497">
        <f>IF(ISBLANK('Capacity Planning'!F72),0,IF($Q$54="",0,$Q$54))</f>
        <v>0</v>
      </c>
      <c r="G88" s="497">
        <f>IF(ISBLANK('Capacity Planning'!G72),0,IF($Q$54="",0,$Q$54))</f>
        <v>0</v>
      </c>
      <c r="H88" s="497">
        <f>IF(ISBLANK('Capacity Planning'!H72),0,IF($Q$54="",0,$Q$54))</f>
        <v>0</v>
      </c>
      <c r="I88" s="497">
        <f>IF(ISBLANK('Capacity Planning'!I72),0,IF($Q$54="",0,$Q$54))</f>
        <v>0</v>
      </c>
      <c r="J88" s="497">
        <f>IF(ISBLANK('Capacity Planning'!J72),0,IF($Q$54="",0,$Q$54))</f>
        <v>0</v>
      </c>
      <c r="K88" s="497">
        <f>IF(ISBLANK('Capacity Planning'!K72),0,IF($Q$54="",0,$Q$54))</f>
        <v>0</v>
      </c>
      <c r="L88" s="497">
        <f>IF(ISBLANK('Capacity Planning'!L72),0,IF($Q$54="",0,$Q$54))</f>
        <v>0</v>
      </c>
      <c r="M88" s="497">
        <f>IF(ISBLANK('Capacity Planning'!M72),0,IF($Q$54="",0,$Q$54))</f>
        <v>0</v>
      </c>
      <c r="N88" s="497">
        <f>IF(ISBLANK('Capacity Planning'!N72),0,IF($Q$54="",0,$Q$54))</f>
        <v>0</v>
      </c>
      <c r="O88" s="497">
        <f>IF(ISBLANK('Capacity Planning'!O72),0,IF($Q$54="",0,$Q$54))</f>
        <v>0</v>
      </c>
      <c r="P88" s="497">
        <f>IF(ISBLANK('Capacity Planning'!P72),0,IF($Q$54="",0,$Q$54))</f>
        <v>0</v>
      </c>
      <c r="Q88" s="497"/>
      <c r="R88" s="497"/>
      <c r="S88" s="497"/>
      <c r="T88" s="497"/>
      <c r="U88" s="497"/>
      <c r="V88" s="497"/>
      <c r="W88" s="497"/>
      <c r="X88" s="497"/>
      <c r="Y88" s="497"/>
      <c r="Z88" s="497"/>
      <c r="AA88" s="497"/>
      <c r="AB88" s="497"/>
      <c r="AC88" s="497"/>
      <c r="AD88" s="497"/>
      <c r="AE88" s="497"/>
      <c r="AF88" s="497"/>
      <c r="AG88" s="107"/>
    </row>
    <row r="89" spans="1:33" hidden="1" outlineLevel="1">
      <c r="A89" s="100"/>
      <c r="B89" s="106" t="str">
        <f>R16</f>
        <v>Process 16</v>
      </c>
      <c r="C89" s="497">
        <f>IF(ISBLANK('Capacity Planning'!C73),0,IF($R$54="",0,$R$54))</f>
        <v>0</v>
      </c>
      <c r="D89" s="497">
        <f>IF(ISBLANK('Capacity Planning'!D73),0,IF($R$54="",0,$R$54))</f>
        <v>0</v>
      </c>
      <c r="E89" s="497">
        <f>IF(ISBLANK('Capacity Planning'!E73),0,IF($R$54="",0,$R$54))</f>
        <v>0</v>
      </c>
      <c r="F89" s="497">
        <f>IF(ISBLANK('Capacity Planning'!F73),0,IF($R$54="",0,$R$54))</f>
        <v>0</v>
      </c>
      <c r="G89" s="497">
        <f>IF(ISBLANK('Capacity Planning'!G73),0,IF($R$54="",0,$R$54))</f>
        <v>0</v>
      </c>
      <c r="H89" s="497">
        <f>IF(ISBLANK('Capacity Planning'!H73),0,IF($R$54="",0,$R$54))</f>
        <v>0</v>
      </c>
      <c r="I89" s="497">
        <f>IF(ISBLANK('Capacity Planning'!I73),0,IF($R$54="",0,$R$54))</f>
        <v>0</v>
      </c>
      <c r="J89" s="497">
        <f>IF(ISBLANK('Capacity Planning'!J73),0,IF($R$54="",0,$R$54))</f>
        <v>0</v>
      </c>
      <c r="K89" s="497">
        <f>IF(ISBLANK('Capacity Planning'!K73),0,IF($R$54="",0,$R$54))</f>
        <v>0</v>
      </c>
      <c r="L89" s="497">
        <f>IF(ISBLANK('Capacity Planning'!L73),0,IF($R$54="",0,$R$54))</f>
        <v>0</v>
      </c>
      <c r="M89" s="497">
        <f>IF(ISBLANK('Capacity Planning'!M73),0,IF($R$54="",0,$R$54))</f>
        <v>0</v>
      </c>
      <c r="N89" s="497">
        <f>IF(ISBLANK('Capacity Planning'!N73),0,IF($R$54="",0,$R$54))</f>
        <v>0</v>
      </c>
      <c r="O89" s="497">
        <f>IF(ISBLANK('Capacity Planning'!O73),0,IF($R$54="",0,$R$54))</f>
        <v>0</v>
      </c>
      <c r="P89" s="497">
        <f>IF(ISBLANK('Capacity Planning'!P73),0,IF($R$54="",0,$R$54))</f>
        <v>0</v>
      </c>
      <c r="Q89" s="497">
        <f>IF(ISBLANK('Capacity Planning'!Q73),0,IF($R$54="",0,$R$54))</f>
        <v>0</v>
      </c>
      <c r="R89" s="497"/>
      <c r="S89" s="497"/>
      <c r="T89" s="497"/>
      <c r="U89" s="497"/>
      <c r="V89" s="497"/>
      <c r="W89" s="497"/>
      <c r="X89" s="497"/>
      <c r="Y89" s="497"/>
      <c r="Z89" s="497"/>
      <c r="AA89" s="497"/>
      <c r="AB89" s="497"/>
      <c r="AC89" s="497"/>
      <c r="AD89" s="497"/>
      <c r="AE89" s="497"/>
      <c r="AF89" s="497"/>
      <c r="AG89" s="107"/>
    </row>
    <row r="90" spans="1:33" hidden="1" outlineLevel="1">
      <c r="A90" s="100"/>
      <c r="B90" s="106" t="str">
        <f>S16</f>
        <v>Process 17</v>
      </c>
      <c r="C90" s="497">
        <f>IF(ISBLANK('Capacity Planning'!C74),0,IF($S$54="",0,$S$54))</f>
        <v>0</v>
      </c>
      <c r="D90" s="497">
        <f>IF(ISBLANK('Capacity Planning'!D74),0,IF($S$54="",0,$S$54))</f>
        <v>0</v>
      </c>
      <c r="E90" s="497">
        <f>IF(ISBLANK('Capacity Planning'!E74),0,IF($S$54="",0,$S$54))</f>
        <v>0</v>
      </c>
      <c r="F90" s="497">
        <f>IF(ISBLANK('Capacity Planning'!F74),0,IF($S$54="",0,$S$54))</f>
        <v>0</v>
      </c>
      <c r="G90" s="497">
        <f>IF(ISBLANK('Capacity Planning'!G74),0,IF($S$54="",0,$S$54))</f>
        <v>0</v>
      </c>
      <c r="H90" s="497">
        <f>IF(ISBLANK('Capacity Planning'!H74),0,IF($S$54="",0,$S$54))</f>
        <v>0</v>
      </c>
      <c r="I90" s="497">
        <f>IF(ISBLANK('Capacity Planning'!I74),0,IF($S$54="",0,$S$54))</f>
        <v>0</v>
      </c>
      <c r="J90" s="497">
        <f>IF(ISBLANK('Capacity Planning'!J74),0,IF($S$54="",0,$S$54))</f>
        <v>0</v>
      </c>
      <c r="K90" s="497">
        <f>IF(ISBLANK('Capacity Planning'!K74),0,IF($S$54="",0,$S$54))</f>
        <v>0</v>
      </c>
      <c r="L90" s="497">
        <f>IF(ISBLANK('Capacity Planning'!L74),0,IF($S$54="",0,$S$54))</f>
        <v>0</v>
      </c>
      <c r="M90" s="497">
        <f>IF(ISBLANK('Capacity Planning'!M74),0,IF($S$54="",0,$S$54))</f>
        <v>0</v>
      </c>
      <c r="N90" s="497">
        <f>IF(ISBLANK('Capacity Planning'!N74),0,IF($S$54="",0,$S$54))</f>
        <v>0</v>
      </c>
      <c r="O90" s="497">
        <f>IF(ISBLANK('Capacity Planning'!O74),0,IF($S$54="",0,$S$54))</f>
        <v>0</v>
      </c>
      <c r="P90" s="497">
        <f>IF(ISBLANK('Capacity Planning'!P74),0,IF($S$54="",0,$S$54))</f>
        <v>0</v>
      </c>
      <c r="Q90" s="497">
        <f>IF(ISBLANK('Capacity Planning'!Q74),0,IF($S$54="",0,$S$54))</f>
        <v>0</v>
      </c>
      <c r="R90" s="497">
        <f>IF(ISBLANK('Capacity Planning'!R74),0,IF($S$54="",0,$S$54))</f>
        <v>0</v>
      </c>
      <c r="S90" s="497"/>
      <c r="T90" s="497"/>
      <c r="U90" s="497"/>
      <c r="V90" s="497"/>
      <c r="W90" s="497"/>
      <c r="X90" s="497"/>
      <c r="Y90" s="497"/>
      <c r="Z90" s="497"/>
      <c r="AA90" s="497"/>
      <c r="AB90" s="497"/>
      <c r="AC90" s="497"/>
      <c r="AD90" s="497"/>
      <c r="AE90" s="497"/>
      <c r="AF90" s="497"/>
      <c r="AG90" s="107"/>
    </row>
    <row r="91" spans="1:33" hidden="1" outlineLevel="1">
      <c r="A91" s="100"/>
      <c r="B91" s="106" t="str">
        <f>T16</f>
        <v>Process 18</v>
      </c>
      <c r="C91" s="497">
        <f>IF(ISBLANK('Capacity Planning'!C75),0,IF($T$54="",0,$T$54))</f>
        <v>0</v>
      </c>
      <c r="D91" s="497">
        <f>IF(ISBLANK('Capacity Planning'!D75),0,IF($T$54="",0,$T$54))</f>
        <v>0</v>
      </c>
      <c r="E91" s="497">
        <f>IF(ISBLANK('Capacity Planning'!E75),0,IF($T$54="",0,$T$54))</f>
        <v>0</v>
      </c>
      <c r="F91" s="497">
        <f>IF(ISBLANK('Capacity Planning'!F75),0,IF($T$54="",0,$T$54))</f>
        <v>0</v>
      </c>
      <c r="G91" s="497">
        <f>IF(ISBLANK('Capacity Planning'!G75),0,IF($T$54="",0,$T$54))</f>
        <v>0</v>
      </c>
      <c r="H91" s="497">
        <f>IF(ISBLANK('Capacity Planning'!H75),0,IF($T$54="",0,$T$54))</f>
        <v>0</v>
      </c>
      <c r="I91" s="497">
        <f>IF(ISBLANK('Capacity Planning'!I75),0,IF($T$54="",0,$T$54))</f>
        <v>0</v>
      </c>
      <c r="J91" s="497">
        <f>IF(ISBLANK('Capacity Planning'!J75),0,IF($T$54="",0,$T$54))</f>
        <v>0</v>
      </c>
      <c r="K91" s="497">
        <f>IF(ISBLANK('Capacity Planning'!K75),0,IF($T$54="",0,$T$54))</f>
        <v>0</v>
      </c>
      <c r="L91" s="497">
        <f>IF(ISBLANK('Capacity Planning'!L75),0,IF($T$54="",0,$T$54))</f>
        <v>0</v>
      </c>
      <c r="M91" s="497">
        <f>IF(ISBLANK('Capacity Planning'!M75),0,IF($T$54="",0,$T$54))</f>
        <v>0</v>
      </c>
      <c r="N91" s="497">
        <f>IF(ISBLANK('Capacity Planning'!N75),0,IF($T$54="",0,$T$54))</f>
        <v>0</v>
      </c>
      <c r="O91" s="497">
        <f>IF(ISBLANK('Capacity Planning'!O75),0,IF($T$54="",0,$T$54))</f>
        <v>0</v>
      </c>
      <c r="P91" s="497">
        <f>IF(ISBLANK('Capacity Planning'!P75),0,IF($T$54="",0,$T$54))</f>
        <v>0</v>
      </c>
      <c r="Q91" s="497">
        <f>IF(ISBLANK('Capacity Planning'!Q75),0,IF($T$54="",0,$T$54))</f>
        <v>0</v>
      </c>
      <c r="R91" s="497">
        <f>IF(ISBLANK('Capacity Planning'!R75),0,IF($T$54="",0,$T$54))</f>
        <v>0</v>
      </c>
      <c r="S91" s="497">
        <f>IF(ISBLANK('Capacity Planning'!S75),0,IF($T$54="",0,$T$54))</f>
        <v>0</v>
      </c>
      <c r="T91" s="497"/>
      <c r="U91" s="497"/>
      <c r="V91" s="497"/>
      <c r="W91" s="497"/>
      <c r="X91" s="497"/>
      <c r="Y91" s="497"/>
      <c r="Z91" s="497"/>
      <c r="AA91" s="497"/>
      <c r="AB91" s="497"/>
      <c r="AC91" s="497"/>
      <c r="AD91" s="497"/>
      <c r="AE91" s="497"/>
      <c r="AF91" s="497"/>
      <c r="AG91" s="107"/>
    </row>
    <row r="92" spans="1:33" hidden="1" outlineLevel="1">
      <c r="A92" s="100"/>
      <c r="B92" s="106" t="str">
        <f>U16</f>
        <v>Process 19</v>
      </c>
      <c r="C92" s="497">
        <f>IF(ISBLANK('Capacity Planning'!C76),0,IF($U$54="",0,$U$54))</f>
        <v>0</v>
      </c>
      <c r="D92" s="497">
        <f>IF(ISBLANK('Capacity Planning'!D76),0,IF($U$54="",0,$U$54))</f>
        <v>0</v>
      </c>
      <c r="E92" s="497">
        <f>IF(ISBLANK('Capacity Planning'!E76),0,IF($U$54="",0,$U$54))</f>
        <v>0</v>
      </c>
      <c r="F92" s="497">
        <f>IF(ISBLANK('Capacity Planning'!F76),0,IF($U$54="",0,$U$54))</f>
        <v>0</v>
      </c>
      <c r="G92" s="497">
        <f>IF(ISBLANK('Capacity Planning'!G76),0,IF($U$54="",0,$U$54))</f>
        <v>0</v>
      </c>
      <c r="H92" s="497">
        <f>IF(ISBLANK('Capacity Planning'!H76),0,IF($U$54="",0,$U$54))</f>
        <v>0</v>
      </c>
      <c r="I92" s="497">
        <f>IF(ISBLANK('Capacity Planning'!I76),0,IF($U$54="",0,$U$54))</f>
        <v>0</v>
      </c>
      <c r="J92" s="497">
        <f>IF(ISBLANK('Capacity Planning'!J76),0,IF($U$54="",0,$U$54))</f>
        <v>0</v>
      </c>
      <c r="K92" s="497">
        <f>IF(ISBLANK('Capacity Planning'!K76),0,IF($U$54="",0,$U$54))</f>
        <v>0</v>
      </c>
      <c r="L92" s="497">
        <f>IF(ISBLANK('Capacity Planning'!L76),0,IF($U$54="",0,$U$54))</f>
        <v>0</v>
      </c>
      <c r="M92" s="497">
        <f>IF(ISBLANK('Capacity Planning'!M76),0,IF($U$54="",0,$U$54))</f>
        <v>0</v>
      </c>
      <c r="N92" s="497">
        <f>IF(ISBLANK('Capacity Planning'!N76),0,IF($U$54="",0,$U$54))</f>
        <v>0</v>
      </c>
      <c r="O92" s="497">
        <f>IF(ISBLANK('Capacity Planning'!O76),0,IF($U$54="",0,$U$54))</f>
        <v>0</v>
      </c>
      <c r="P92" s="497">
        <f>IF(ISBLANK('Capacity Planning'!P76),0,IF($U$54="",0,$U$54))</f>
        <v>0</v>
      </c>
      <c r="Q92" s="497">
        <f>IF(ISBLANK('Capacity Planning'!Q76),0,IF($U$54="",0,$U$54))</f>
        <v>0</v>
      </c>
      <c r="R92" s="497">
        <f>IF(ISBLANK('Capacity Planning'!R76),0,IF($U$54="",0,$U$54))</f>
        <v>0</v>
      </c>
      <c r="S92" s="497">
        <f>IF(ISBLANK('Capacity Planning'!S76),0,IF($U$54="",0,$U$54))</f>
        <v>0</v>
      </c>
      <c r="T92" s="497">
        <f>IF(ISBLANK('Capacity Planning'!T76),0,IF($U$54="",0,$U$54))</f>
        <v>0</v>
      </c>
      <c r="U92" s="497"/>
      <c r="V92" s="497"/>
      <c r="W92" s="497"/>
      <c r="X92" s="497"/>
      <c r="Y92" s="497"/>
      <c r="Z92" s="497"/>
      <c r="AA92" s="497"/>
      <c r="AB92" s="497"/>
      <c r="AC92" s="497"/>
      <c r="AD92" s="497"/>
      <c r="AE92" s="497"/>
      <c r="AF92" s="497"/>
      <c r="AG92" s="107"/>
    </row>
    <row r="93" spans="1:33" hidden="1" outlineLevel="1">
      <c r="A93" s="100"/>
      <c r="B93" s="106" t="str">
        <f>V16</f>
        <v>Process 20</v>
      </c>
      <c r="C93" s="497">
        <f>IF(ISBLANK('Capacity Planning'!C77),0,IF($V$54="",0,$V$54))</f>
        <v>0</v>
      </c>
      <c r="D93" s="497">
        <f>IF(ISBLANK('Capacity Planning'!D77),0,IF($V$54="",0,$V$54))</f>
        <v>0</v>
      </c>
      <c r="E93" s="497">
        <f>IF(ISBLANK('Capacity Planning'!E77),0,IF($V$54="",0,$V$54))</f>
        <v>0</v>
      </c>
      <c r="F93" s="497">
        <f>IF(ISBLANK('Capacity Planning'!F77),0,IF($V$54="",0,$V$54))</f>
        <v>0</v>
      </c>
      <c r="G93" s="497">
        <f>IF(ISBLANK('Capacity Planning'!G77),0,IF($V$54="",0,$V$54))</f>
        <v>0</v>
      </c>
      <c r="H93" s="497">
        <f>IF(ISBLANK('Capacity Planning'!H77),0,IF($V$54="",0,$V$54))</f>
        <v>0</v>
      </c>
      <c r="I93" s="497">
        <f>IF(ISBLANK('Capacity Planning'!I77),0,IF($V$54="",0,$V$54))</f>
        <v>0</v>
      </c>
      <c r="J93" s="497">
        <f>IF(ISBLANK('Capacity Planning'!J77),0,IF($V$54="",0,$V$54))</f>
        <v>0</v>
      </c>
      <c r="K93" s="497">
        <f>IF(ISBLANK('Capacity Planning'!K77),0,IF($V$54="",0,$V$54))</f>
        <v>0</v>
      </c>
      <c r="L93" s="497">
        <f>IF(ISBLANK('Capacity Planning'!L77),0,IF($V$54="",0,$V$54))</f>
        <v>0</v>
      </c>
      <c r="M93" s="497">
        <f>IF(ISBLANK('Capacity Planning'!M77),0,IF($V$54="",0,$V$54))</f>
        <v>0</v>
      </c>
      <c r="N93" s="497">
        <f>IF(ISBLANK('Capacity Planning'!N77),0,IF($V$54="",0,$V$54))</f>
        <v>0</v>
      </c>
      <c r="O93" s="497">
        <f>IF(ISBLANK('Capacity Planning'!O77),0,IF($V$54="",0,$V$54))</f>
        <v>0</v>
      </c>
      <c r="P93" s="497">
        <f>IF(ISBLANK('Capacity Planning'!P77),0,IF($V$54="",0,$V$54))</f>
        <v>0</v>
      </c>
      <c r="Q93" s="497">
        <f>IF(ISBLANK('Capacity Planning'!Q77),0,IF($V$54="",0,$V$54))</f>
        <v>0</v>
      </c>
      <c r="R93" s="497">
        <f>IF(ISBLANK('Capacity Planning'!R77),0,IF($V$54="",0,$V$54))</f>
        <v>0</v>
      </c>
      <c r="S93" s="497">
        <f>IF(ISBLANK('Capacity Planning'!S77),0,IF($V$54="",0,$V$54))</f>
        <v>0</v>
      </c>
      <c r="T93" s="497">
        <f>IF(ISBLANK('Capacity Planning'!T77),0,IF($V$54="",0,$V$54))</f>
        <v>0</v>
      </c>
      <c r="U93" s="497">
        <f>IF(ISBLANK('Capacity Planning'!U77),0,IF($V$54="",0,$V$54))</f>
        <v>0</v>
      </c>
      <c r="V93" s="497"/>
      <c r="W93" s="497"/>
      <c r="X93" s="497"/>
      <c r="Y93" s="497"/>
      <c r="Z93" s="497"/>
      <c r="AA93" s="497"/>
      <c r="AB93" s="497"/>
      <c r="AC93" s="497"/>
      <c r="AD93" s="497"/>
      <c r="AE93" s="497"/>
      <c r="AF93" s="497"/>
      <c r="AG93" s="107"/>
    </row>
    <row r="94" spans="1:33" hidden="1" outlineLevel="1">
      <c r="A94" s="100"/>
      <c r="B94" s="106" t="str">
        <f>W16</f>
        <v>Process 21</v>
      </c>
      <c r="C94" s="497">
        <f>IF(ISBLANK('Capacity Planning'!C78),0,IF($W$54="",0,$W$54))</f>
        <v>0</v>
      </c>
      <c r="D94" s="497">
        <f>IF(ISBLANK('Capacity Planning'!D78),0,IF($W$54="",0,$W$54))</f>
        <v>0</v>
      </c>
      <c r="E94" s="497">
        <f>IF(ISBLANK('Capacity Planning'!E78),0,IF($W$54="",0,$W$54))</f>
        <v>0</v>
      </c>
      <c r="F94" s="497">
        <f>IF(ISBLANK('Capacity Planning'!F78),0,IF($W$54="",0,$W$54))</f>
        <v>0</v>
      </c>
      <c r="G94" s="497">
        <f>IF(ISBLANK('Capacity Planning'!G78),0,IF($W$54="",0,$W$54))</f>
        <v>0</v>
      </c>
      <c r="H94" s="497">
        <f>IF(ISBLANK('Capacity Planning'!H78),0,IF($W$54="",0,$W$54))</f>
        <v>0</v>
      </c>
      <c r="I94" s="497">
        <f>IF(ISBLANK('Capacity Planning'!I78),0,IF($W$54="",0,$W$54))</f>
        <v>0</v>
      </c>
      <c r="J94" s="497">
        <f>IF(ISBLANK('Capacity Planning'!J78),0,IF($W$54="",0,$W$54))</f>
        <v>0</v>
      </c>
      <c r="K94" s="497">
        <f>IF(ISBLANK('Capacity Planning'!K78),0,IF($W$54="",0,$W$54))</f>
        <v>0</v>
      </c>
      <c r="L94" s="497">
        <f>IF(ISBLANK('Capacity Planning'!L78),0,IF($W$54="",0,$W$54))</f>
        <v>0</v>
      </c>
      <c r="M94" s="497">
        <f>IF(ISBLANK('Capacity Planning'!M78),0,IF($W$54="",0,$W$54))</f>
        <v>0</v>
      </c>
      <c r="N94" s="497">
        <f>IF(ISBLANK('Capacity Planning'!N78),0,IF($W$54="",0,$W$54))</f>
        <v>0</v>
      </c>
      <c r="O94" s="497">
        <f>IF(ISBLANK('Capacity Planning'!O78),0,IF($W$54="",0,$W$54))</f>
        <v>0</v>
      </c>
      <c r="P94" s="497">
        <f>IF(ISBLANK('Capacity Planning'!P78),0,IF($W$54="",0,$W$54))</f>
        <v>0</v>
      </c>
      <c r="Q94" s="497">
        <f>IF(ISBLANK('Capacity Planning'!Q78),0,IF($W$54="",0,$W$54))</f>
        <v>0</v>
      </c>
      <c r="R94" s="497">
        <f>IF(ISBLANK('Capacity Planning'!R78),0,IF($W$54="",0,$W$54))</f>
        <v>0</v>
      </c>
      <c r="S94" s="497">
        <f>IF(ISBLANK('Capacity Planning'!S78),0,IF($W$54="",0,$W$54))</f>
        <v>0</v>
      </c>
      <c r="T94" s="497">
        <f>IF(ISBLANK('Capacity Planning'!T78),0,IF($W$54="",0,$W$54))</f>
        <v>0</v>
      </c>
      <c r="U94" s="497">
        <f>IF(ISBLANK('Capacity Planning'!U78),0,IF($W$54="",0,$W$54))</f>
        <v>0</v>
      </c>
      <c r="V94" s="497">
        <f>IF(ISBLANK('Capacity Planning'!V78),0,IF($W$54="",0,$W$54))</f>
        <v>0</v>
      </c>
      <c r="W94" s="497"/>
      <c r="X94" s="497"/>
      <c r="Y94" s="497"/>
      <c r="Z94" s="497"/>
      <c r="AA94" s="497"/>
      <c r="AB94" s="497"/>
      <c r="AC94" s="497"/>
      <c r="AD94" s="497"/>
      <c r="AE94" s="497"/>
      <c r="AF94" s="497"/>
      <c r="AG94" s="107"/>
    </row>
    <row r="95" spans="1:33" hidden="1" outlineLevel="1">
      <c r="A95" s="100"/>
      <c r="B95" s="106" t="str">
        <f>X16</f>
        <v>Process 22</v>
      </c>
      <c r="C95" s="497">
        <f>IF(ISBLANK('Capacity Planning'!C79),0,IF($X$54="",0,$X$54))</f>
        <v>0</v>
      </c>
      <c r="D95" s="497">
        <f>IF(ISBLANK('Capacity Planning'!D79),0,IF($X$54="",0,$X$54))</f>
        <v>0</v>
      </c>
      <c r="E95" s="497">
        <f>IF(ISBLANK('Capacity Planning'!E79),0,IF($X$54="",0,$X$54))</f>
        <v>0</v>
      </c>
      <c r="F95" s="497">
        <f>IF(ISBLANK('Capacity Planning'!F79),0,IF($X$54="",0,$X$54))</f>
        <v>0</v>
      </c>
      <c r="G95" s="497">
        <f>IF(ISBLANK('Capacity Planning'!G79),0,IF($X$54="",0,$X$54))</f>
        <v>0</v>
      </c>
      <c r="H95" s="497">
        <f>IF(ISBLANK('Capacity Planning'!H79),0,IF($X$54="",0,$X$54))</f>
        <v>0</v>
      </c>
      <c r="I95" s="497">
        <f>IF(ISBLANK('Capacity Planning'!I79),0,IF($X$54="",0,$X$54))</f>
        <v>0</v>
      </c>
      <c r="J95" s="497">
        <f>IF(ISBLANK('Capacity Planning'!J79),0,IF($X$54="",0,$X$54))</f>
        <v>0</v>
      </c>
      <c r="K95" s="497">
        <f>IF(ISBLANK('Capacity Planning'!K79),0,IF($X$54="",0,$X$54))</f>
        <v>0</v>
      </c>
      <c r="L95" s="497">
        <f>IF(ISBLANK('Capacity Planning'!L79),0,IF($X$54="",0,$X$54))</f>
        <v>0</v>
      </c>
      <c r="M95" s="497">
        <f>IF(ISBLANK('Capacity Planning'!M79),0,IF($X$54="",0,$X$54))</f>
        <v>0</v>
      </c>
      <c r="N95" s="497">
        <f>IF(ISBLANK('Capacity Planning'!N79),0,IF($X$54="",0,$X$54))</f>
        <v>0</v>
      </c>
      <c r="O95" s="497">
        <f>IF(ISBLANK('Capacity Planning'!O79),0,IF($X$54="",0,$X$54))</f>
        <v>0</v>
      </c>
      <c r="P95" s="497">
        <f>IF(ISBLANK('Capacity Planning'!P79),0,IF($X$54="",0,$X$54))</f>
        <v>0</v>
      </c>
      <c r="Q95" s="497">
        <f>IF(ISBLANK('Capacity Planning'!Q79),0,IF($X$54="",0,$X$54))</f>
        <v>0</v>
      </c>
      <c r="R95" s="497">
        <f>IF(ISBLANK('Capacity Planning'!R79),0,IF($X$54="",0,$X$54))</f>
        <v>0</v>
      </c>
      <c r="S95" s="497">
        <f>IF(ISBLANK('Capacity Planning'!S79),0,IF($X$54="",0,$X$54))</f>
        <v>0</v>
      </c>
      <c r="T95" s="497">
        <f>IF(ISBLANK('Capacity Planning'!T79),0,IF($X$54="",0,$X$54))</f>
        <v>0</v>
      </c>
      <c r="U95" s="497">
        <f>IF(ISBLANK('Capacity Planning'!U79),0,IF($X$54="",0,$X$54))</f>
        <v>0</v>
      </c>
      <c r="V95" s="497">
        <f>IF(ISBLANK('Capacity Planning'!V79),0,IF($X$54="",0,$X$54))</f>
        <v>0</v>
      </c>
      <c r="W95" s="497">
        <f>IF(ISBLANK('Capacity Planning'!W79),0,IF($X$54="",0,$X$54))</f>
        <v>0</v>
      </c>
      <c r="X95" s="497"/>
      <c r="Y95" s="497"/>
      <c r="Z95" s="497"/>
      <c r="AA95" s="497"/>
      <c r="AB95" s="497"/>
      <c r="AC95" s="497"/>
      <c r="AD95" s="497"/>
      <c r="AE95" s="497"/>
      <c r="AF95" s="497"/>
      <c r="AG95" s="107"/>
    </row>
    <row r="96" spans="1:33" hidden="1" outlineLevel="1">
      <c r="A96" s="100"/>
      <c r="B96" s="106" t="str">
        <f>Y16</f>
        <v>Process 23</v>
      </c>
      <c r="C96" s="497">
        <f>IF(ISBLANK('Capacity Planning'!C80),0,IF($Y$54="",0,$Y$54))</f>
        <v>0</v>
      </c>
      <c r="D96" s="497">
        <f>IF(ISBLANK('Capacity Planning'!D80),0,IF($Y$54="",0,$Y$54))</f>
        <v>0</v>
      </c>
      <c r="E96" s="497">
        <f>IF(ISBLANK('Capacity Planning'!E80),0,IF($Y$54="",0,$Y$54))</f>
        <v>0</v>
      </c>
      <c r="F96" s="497">
        <f>IF(ISBLANK('Capacity Planning'!F80),0,IF($Y$54="",0,$Y$54))</f>
        <v>0</v>
      </c>
      <c r="G96" s="497">
        <f>IF(ISBLANK('Capacity Planning'!G80),0,IF($Y$54="",0,$Y$54))</f>
        <v>0</v>
      </c>
      <c r="H96" s="497">
        <f>IF(ISBLANK('Capacity Planning'!H80),0,IF($Y$54="",0,$Y$54))</f>
        <v>0</v>
      </c>
      <c r="I96" s="497">
        <f>IF(ISBLANK('Capacity Planning'!I80),0,IF($Y$54="",0,$Y$54))</f>
        <v>0</v>
      </c>
      <c r="J96" s="497">
        <f>IF(ISBLANK('Capacity Planning'!J80),0,IF($Y$54="",0,$Y$54))</f>
        <v>0</v>
      </c>
      <c r="K96" s="497">
        <f>IF(ISBLANK('Capacity Planning'!K80),0,IF($Y$54="",0,$Y$54))</f>
        <v>0</v>
      </c>
      <c r="L96" s="497">
        <f>IF(ISBLANK('Capacity Planning'!L80),0,IF($Y$54="",0,$Y$54))</f>
        <v>0</v>
      </c>
      <c r="M96" s="497">
        <f>IF(ISBLANK('Capacity Planning'!M80),0,IF($Y$54="",0,$Y$54))</f>
        <v>0</v>
      </c>
      <c r="N96" s="497">
        <f>IF(ISBLANK('Capacity Planning'!N80),0,IF($Y$54="",0,$Y$54))</f>
        <v>0</v>
      </c>
      <c r="O96" s="497">
        <f>IF(ISBLANK('Capacity Planning'!O80),0,IF($Y$54="",0,$Y$54))</f>
        <v>0</v>
      </c>
      <c r="P96" s="497">
        <f>IF(ISBLANK('Capacity Planning'!P80),0,IF($Y$54="",0,$Y$54))</f>
        <v>0</v>
      </c>
      <c r="Q96" s="497">
        <f>IF(ISBLANK('Capacity Planning'!Q80),0,IF($Y$54="",0,$Y$54))</f>
        <v>0</v>
      </c>
      <c r="R96" s="497">
        <f>IF(ISBLANK('Capacity Planning'!R80),0,IF($Y$54="",0,$Y$54))</f>
        <v>0</v>
      </c>
      <c r="S96" s="497">
        <f>IF(ISBLANK('Capacity Planning'!S80),0,IF($Y$54="",0,$Y$54))</f>
        <v>0</v>
      </c>
      <c r="T96" s="497">
        <f>IF(ISBLANK('Capacity Planning'!T80),0,IF($Y$54="",0,$Y$54))</f>
        <v>0</v>
      </c>
      <c r="U96" s="497">
        <f>IF(ISBLANK('Capacity Planning'!U80),0,IF($Y$54="",0,$Y$54))</f>
        <v>0</v>
      </c>
      <c r="V96" s="497">
        <f>IF(ISBLANK('Capacity Planning'!V80),0,IF($Y$54="",0,$Y$54))</f>
        <v>0</v>
      </c>
      <c r="W96" s="497">
        <f>IF(ISBLANK('Capacity Planning'!W80),0,IF($Y$54="",0,$Y$54))</f>
        <v>0</v>
      </c>
      <c r="X96" s="497">
        <f>IF(ISBLANK('Capacity Planning'!X80),0,IF($Y$54="",0,$Y$54))</f>
        <v>0</v>
      </c>
      <c r="Y96" s="497"/>
      <c r="Z96" s="497"/>
      <c r="AA96" s="497"/>
      <c r="AB96" s="497"/>
      <c r="AC96" s="497"/>
      <c r="AD96" s="497"/>
      <c r="AE96" s="497"/>
      <c r="AF96" s="497"/>
      <c r="AG96" s="107"/>
    </row>
    <row r="97" spans="1:33" hidden="1" outlineLevel="1">
      <c r="A97" s="100"/>
      <c r="B97" s="106" t="str">
        <f>Z16</f>
        <v>Process 24</v>
      </c>
      <c r="C97" s="497">
        <f>IF(ISBLANK('Capacity Planning'!C81),0,IF($Z$54="",0,$Z$54))</f>
        <v>0</v>
      </c>
      <c r="D97" s="497">
        <f>IF(ISBLANK('Capacity Planning'!D81),0,IF($Z$54="",0,$Z$54))</f>
        <v>0</v>
      </c>
      <c r="E97" s="497">
        <f>IF(ISBLANK('Capacity Planning'!E81),0,IF($Z$54="",0,$Z$54))</f>
        <v>0</v>
      </c>
      <c r="F97" s="497">
        <f>IF(ISBLANK('Capacity Planning'!F81),0,IF($Z$54="",0,$Z$54))</f>
        <v>0</v>
      </c>
      <c r="G97" s="497">
        <f>IF(ISBLANK('Capacity Planning'!G81),0,IF($Z$54="",0,$Z$54))</f>
        <v>0</v>
      </c>
      <c r="H97" s="497">
        <f>IF(ISBLANK('Capacity Planning'!H81),0,IF($Z$54="",0,$Z$54))</f>
        <v>0</v>
      </c>
      <c r="I97" s="497">
        <f>IF(ISBLANK('Capacity Planning'!I81),0,IF($Z$54="",0,$Z$54))</f>
        <v>0</v>
      </c>
      <c r="J97" s="497">
        <f>IF(ISBLANK('Capacity Planning'!J81),0,IF($Z$54="",0,$Z$54))</f>
        <v>0</v>
      </c>
      <c r="K97" s="497">
        <f>IF(ISBLANK('Capacity Planning'!K81),0,IF($Z$54="",0,$Z$54))</f>
        <v>0</v>
      </c>
      <c r="L97" s="497">
        <f>IF(ISBLANK('Capacity Planning'!L81),0,IF($Z$54="",0,$Z$54))</f>
        <v>0</v>
      </c>
      <c r="M97" s="497">
        <f>IF(ISBLANK('Capacity Planning'!M81),0,IF($Z$54="",0,$Z$54))</f>
        <v>0</v>
      </c>
      <c r="N97" s="497">
        <f>IF(ISBLANK('Capacity Planning'!N81),0,IF($Z$54="",0,$Z$54))</f>
        <v>0</v>
      </c>
      <c r="O97" s="497">
        <f>IF(ISBLANK('Capacity Planning'!O81),0,IF($Z$54="",0,$Z$54))</f>
        <v>0</v>
      </c>
      <c r="P97" s="497">
        <f>IF(ISBLANK('Capacity Planning'!P81),0,IF($Z$54="",0,$Z$54))</f>
        <v>0</v>
      </c>
      <c r="Q97" s="497">
        <f>IF(ISBLANK('Capacity Planning'!Q81),0,IF($Z$54="",0,$Z$54))</f>
        <v>0</v>
      </c>
      <c r="R97" s="497">
        <f>IF(ISBLANK('Capacity Planning'!R81),0,IF($Z$54="",0,$Z$54))</f>
        <v>0</v>
      </c>
      <c r="S97" s="497">
        <f>IF(ISBLANK('Capacity Planning'!S81),0,IF($Z$54="",0,$Z$54))</f>
        <v>0</v>
      </c>
      <c r="T97" s="497">
        <f>IF(ISBLANK('Capacity Planning'!T81),0,IF($Z$54="",0,$Z$54))</f>
        <v>0</v>
      </c>
      <c r="U97" s="497">
        <f>IF(ISBLANK('Capacity Planning'!U81),0,IF($Z$54="",0,$Z$54))</f>
        <v>0</v>
      </c>
      <c r="V97" s="497">
        <f>IF(ISBLANK('Capacity Planning'!V81),0,IF($Z$54="",0,$Z$54))</f>
        <v>0</v>
      </c>
      <c r="W97" s="497">
        <f>IF(ISBLANK('Capacity Planning'!W81),0,IF($Z$54="",0,$Z$54))</f>
        <v>0</v>
      </c>
      <c r="X97" s="497">
        <f>IF(ISBLANK('Capacity Planning'!X81),0,IF($Z$54="",0,$Z$54))</f>
        <v>0</v>
      </c>
      <c r="Y97" s="497">
        <f>IF(ISBLANK('Capacity Planning'!Y81),0,IF($Z$54="",0,$Z$54))</f>
        <v>0</v>
      </c>
      <c r="Z97" s="497"/>
      <c r="AA97" s="497"/>
      <c r="AB97" s="497"/>
      <c r="AC97" s="497"/>
      <c r="AD97" s="497"/>
      <c r="AE97" s="497"/>
      <c r="AF97" s="497"/>
      <c r="AG97" s="107"/>
    </row>
    <row r="98" spans="1:33" hidden="1" outlineLevel="1">
      <c r="A98" s="100"/>
      <c r="B98" s="106" t="str">
        <f>AA16</f>
        <v>Process 25</v>
      </c>
      <c r="C98" s="497">
        <f>IF(ISBLANK('Capacity Planning'!C82),0,IF($AA$54="",0,$AA$54))</f>
        <v>0</v>
      </c>
      <c r="D98" s="497">
        <f>IF(ISBLANK('Capacity Planning'!D82),0,IF($AA$54="",0,$AA$54))</f>
        <v>0</v>
      </c>
      <c r="E98" s="497">
        <f>IF(ISBLANK('Capacity Planning'!E82),0,IF($AA$54="",0,$AA$54))</f>
        <v>0</v>
      </c>
      <c r="F98" s="497">
        <f>IF(ISBLANK('Capacity Planning'!F82),0,IF($AA$54="",0,$AA$54))</f>
        <v>0</v>
      </c>
      <c r="G98" s="497">
        <f>IF(ISBLANK('Capacity Planning'!G82),0,IF($AA$54="",0,$AA$54))</f>
        <v>0</v>
      </c>
      <c r="H98" s="497">
        <f>IF(ISBLANK('Capacity Planning'!H82),0,IF($AA$54="",0,$AA$54))</f>
        <v>0</v>
      </c>
      <c r="I98" s="497">
        <f>IF(ISBLANK('Capacity Planning'!I82),0,IF($AA$54="",0,$AA$54))</f>
        <v>0</v>
      </c>
      <c r="J98" s="497">
        <f>IF(ISBLANK('Capacity Planning'!J82),0,IF($AA$54="",0,$AA$54))</f>
        <v>0</v>
      </c>
      <c r="K98" s="497">
        <f>IF(ISBLANK('Capacity Planning'!K82),0,IF($AA$54="",0,$AA$54))</f>
        <v>0</v>
      </c>
      <c r="L98" s="497">
        <f>IF(ISBLANK('Capacity Planning'!L82),0,IF($AA$54="",0,$AA$54))</f>
        <v>0</v>
      </c>
      <c r="M98" s="497">
        <f>IF(ISBLANK('Capacity Planning'!M82),0,IF($AA$54="",0,$AA$54))</f>
        <v>0</v>
      </c>
      <c r="N98" s="497">
        <f>IF(ISBLANK('Capacity Planning'!N82),0,IF($AA$54="",0,$AA$54))</f>
        <v>0</v>
      </c>
      <c r="O98" s="497">
        <f>IF(ISBLANK('Capacity Planning'!O82),0,IF($AA$54="",0,$AA$54))</f>
        <v>0</v>
      </c>
      <c r="P98" s="497">
        <f>IF(ISBLANK('Capacity Planning'!P82),0,IF($AA$54="",0,$AA$54))</f>
        <v>0</v>
      </c>
      <c r="Q98" s="497">
        <f>IF(ISBLANK('Capacity Planning'!Q82),0,IF($AA$54="",0,$AA$54))</f>
        <v>0</v>
      </c>
      <c r="R98" s="497">
        <f>IF(ISBLANK('Capacity Planning'!R82),0,IF($AA$54="",0,$AA$54))</f>
        <v>0</v>
      </c>
      <c r="S98" s="497">
        <f>IF(ISBLANK('Capacity Planning'!S82),0,IF($AA$54="",0,$AA$54))</f>
        <v>0</v>
      </c>
      <c r="T98" s="497">
        <f>IF(ISBLANK('Capacity Planning'!T82),0,IF($AA$54="",0,$AA$54))</f>
        <v>0</v>
      </c>
      <c r="U98" s="497">
        <f>IF(ISBLANK('Capacity Planning'!U82),0,IF($AA$54="",0,$AA$54))</f>
        <v>0</v>
      </c>
      <c r="V98" s="497">
        <f>IF(ISBLANK('Capacity Planning'!V82),0,IF($AA$54="",0,$AA$54))</f>
        <v>0</v>
      </c>
      <c r="W98" s="497">
        <f>IF(ISBLANK('Capacity Planning'!W82),0,IF($AA$54="",0,$AA$54))</f>
        <v>0</v>
      </c>
      <c r="X98" s="497">
        <f>IF(ISBLANK('Capacity Planning'!X82),0,IF($AA$54="",0,$AA$54))</f>
        <v>0</v>
      </c>
      <c r="Y98" s="497">
        <f>IF(ISBLANK('Capacity Planning'!Y82),0,IF($AA$54="",0,$AA$54))</f>
        <v>0</v>
      </c>
      <c r="Z98" s="497">
        <f>IF(ISBLANK('Capacity Planning'!Z82),0,IF($AA$54="",0,$AA$54))</f>
        <v>0</v>
      </c>
      <c r="AA98" s="497"/>
      <c r="AB98" s="497"/>
      <c r="AC98" s="497"/>
      <c r="AD98" s="497"/>
      <c r="AE98" s="497"/>
      <c r="AF98" s="497"/>
      <c r="AG98" s="107"/>
    </row>
    <row r="99" spans="1:33" hidden="1" outlineLevel="1">
      <c r="A99" s="100"/>
      <c r="B99" s="106" t="str">
        <f>AB16</f>
        <v>Process 26</v>
      </c>
      <c r="C99" s="497">
        <f>IF(ISBLANK('Capacity Planning'!C83),0,IF($AB$54="",0,$AB$54))</f>
        <v>0</v>
      </c>
      <c r="D99" s="497">
        <f>IF(ISBLANK('Capacity Planning'!D83),0,IF($AB$54="",0,$AB$54))</f>
        <v>0</v>
      </c>
      <c r="E99" s="497">
        <f>IF(ISBLANK('Capacity Planning'!E83),0,IF($AB$54="",0,$AB$54))</f>
        <v>0</v>
      </c>
      <c r="F99" s="497">
        <f>IF(ISBLANK('Capacity Planning'!F83),0,IF($AB$54="",0,$AB$54))</f>
        <v>0</v>
      </c>
      <c r="G99" s="497">
        <f>IF(ISBLANK('Capacity Planning'!G83),0,IF($AB$54="",0,$AB$54))</f>
        <v>0</v>
      </c>
      <c r="H99" s="497">
        <f>IF(ISBLANK('Capacity Planning'!H83),0,IF($AB$54="",0,$AB$54))</f>
        <v>0</v>
      </c>
      <c r="I99" s="497">
        <f>IF(ISBLANK('Capacity Planning'!I83),0,IF($AB$54="",0,$AB$54))</f>
        <v>0</v>
      </c>
      <c r="J99" s="497">
        <f>IF(ISBLANK('Capacity Planning'!J83),0,IF($AB$54="",0,$AB$54))</f>
        <v>0</v>
      </c>
      <c r="K99" s="497">
        <f>IF(ISBLANK('Capacity Planning'!K83),0,IF($AB$54="",0,$AB$54))</f>
        <v>0</v>
      </c>
      <c r="L99" s="497">
        <f>IF(ISBLANK('Capacity Planning'!L83),0,IF($AB$54="",0,$AB$54))</f>
        <v>0</v>
      </c>
      <c r="M99" s="497">
        <f>IF(ISBLANK('Capacity Planning'!M83),0,IF($AB$54="",0,$AB$54))</f>
        <v>0</v>
      </c>
      <c r="N99" s="497">
        <f>IF(ISBLANK('Capacity Planning'!N83),0,IF($AB$54="",0,$AB$54))</f>
        <v>0</v>
      </c>
      <c r="O99" s="497">
        <f>IF(ISBLANK('Capacity Planning'!O83),0,IF($AB$54="",0,$AB$54))</f>
        <v>0</v>
      </c>
      <c r="P99" s="497">
        <f>IF(ISBLANK('Capacity Planning'!P83),0,IF($AB$54="",0,$AB$54))</f>
        <v>0</v>
      </c>
      <c r="Q99" s="497">
        <f>IF(ISBLANK('Capacity Planning'!Q83),0,IF($AB$54="",0,$AB$54))</f>
        <v>0</v>
      </c>
      <c r="R99" s="497">
        <f>IF(ISBLANK('Capacity Planning'!R83),0,IF($AB$54="",0,$AB$54))</f>
        <v>0</v>
      </c>
      <c r="S99" s="497">
        <f>IF(ISBLANK('Capacity Planning'!S83),0,IF($AB$54="",0,$AB$54))</f>
        <v>0</v>
      </c>
      <c r="T99" s="497">
        <f>IF(ISBLANK('Capacity Planning'!T83),0,IF($AB$54="",0,$AB$54))</f>
        <v>0</v>
      </c>
      <c r="U99" s="497">
        <f>IF(ISBLANK('Capacity Planning'!U83),0,IF($AB$54="",0,$AB$54))</f>
        <v>0</v>
      </c>
      <c r="V99" s="497">
        <f>IF(ISBLANK('Capacity Planning'!V83),0,IF($AB$54="",0,$AB$54))</f>
        <v>0</v>
      </c>
      <c r="W99" s="497">
        <f>IF(ISBLANK('Capacity Planning'!W83),0,IF($AB$54="",0,$AB$54))</f>
        <v>0</v>
      </c>
      <c r="X99" s="497">
        <f>IF(ISBLANK('Capacity Planning'!X83),0,IF($AB$54="",0,$AB$54))</f>
        <v>0</v>
      </c>
      <c r="Y99" s="497">
        <f>IF(ISBLANK('Capacity Planning'!Y83),0,IF($AB$54="",0,$AB$54))</f>
        <v>0</v>
      </c>
      <c r="Z99" s="497">
        <f>IF(ISBLANK('Capacity Planning'!Z83),0,IF($AB$54="",0,$AB$54))</f>
        <v>0</v>
      </c>
      <c r="AA99" s="497">
        <f>IF(ISBLANK('Capacity Planning'!AA83),0,IF($AB$54="",0,$AB$54))</f>
        <v>0</v>
      </c>
      <c r="AB99" s="497"/>
      <c r="AC99" s="497"/>
      <c r="AD99" s="497"/>
      <c r="AE99" s="497"/>
      <c r="AF99" s="497"/>
      <c r="AG99" s="107"/>
    </row>
    <row r="100" spans="1:33" hidden="1" outlineLevel="1">
      <c r="A100" s="100"/>
      <c r="B100" s="106" t="str">
        <f>AC16</f>
        <v>Process 27</v>
      </c>
      <c r="C100" s="497">
        <f>IF(ISBLANK('Capacity Planning'!C84),0,IF($AC$54="",0,$AC$54))</f>
        <v>0</v>
      </c>
      <c r="D100" s="497">
        <f>IF(ISBLANK('Capacity Planning'!D84),0,IF($AC$54="",0,$AC$54))</f>
        <v>0</v>
      </c>
      <c r="E100" s="497">
        <f>IF(ISBLANK('Capacity Planning'!E84),0,IF($AC$54="",0,$AC$54))</f>
        <v>0</v>
      </c>
      <c r="F100" s="497">
        <f>IF(ISBLANK('Capacity Planning'!F84),0,IF($AC$54="",0,$AC$54))</f>
        <v>0</v>
      </c>
      <c r="G100" s="497">
        <f>IF(ISBLANK('Capacity Planning'!G84),0,IF($AC$54="",0,$AC$54))</f>
        <v>0</v>
      </c>
      <c r="H100" s="497">
        <f>IF(ISBLANK('Capacity Planning'!H84),0,IF($AC$54="",0,$AC$54))</f>
        <v>0</v>
      </c>
      <c r="I100" s="497">
        <f>IF(ISBLANK('Capacity Planning'!I84),0,IF($AC$54="",0,$AC$54))</f>
        <v>0</v>
      </c>
      <c r="J100" s="497">
        <f>IF(ISBLANK('Capacity Planning'!J84),0,IF($AC$54="",0,$AC$54))</f>
        <v>0</v>
      </c>
      <c r="K100" s="497">
        <f>IF(ISBLANK('Capacity Planning'!K84),0,IF($AC$54="",0,$AC$54))</f>
        <v>0</v>
      </c>
      <c r="L100" s="497">
        <f>IF(ISBLANK('Capacity Planning'!L84),0,IF($AC$54="",0,$AC$54))</f>
        <v>0</v>
      </c>
      <c r="M100" s="497">
        <f>IF(ISBLANK('Capacity Planning'!M84),0,IF($AC$54="",0,$AC$54))</f>
        <v>0</v>
      </c>
      <c r="N100" s="497">
        <f>IF(ISBLANK('Capacity Planning'!N84),0,IF($AC$54="",0,$AC$54))</f>
        <v>0</v>
      </c>
      <c r="O100" s="497">
        <f>IF(ISBLANK('Capacity Planning'!O84),0,IF($AC$54="",0,$AC$54))</f>
        <v>0</v>
      </c>
      <c r="P100" s="497">
        <f>IF(ISBLANK('Capacity Planning'!P84),0,IF($AC$54="",0,$AC$54))</f>
        <v>0</v>
      </c>
      <c r="Q100" s="497">
        <f>IF(ISBLANK('Capacity Planning'!Q84),0,IF($AC$54="",0,$AC$54))</f>
        <v>0</v>
      </c>
      <c r="R100" s="497">
        <f>IF(ISBLANK('Capacity Planning'!R84),0,IF($AC$54="",0,$AC$54))</f>
        <v>0</v>
      </c>
      <c r="S100" s="497">
        <f>IF(ISBLANK('Capacity Planning'!S84),0,IF($AC$54="",0,$AC$54))</f>
        <v>0</v>
      </c>
      <c r="T100" s="497">
        <f>IF(ISBLANK('Capacity Planning'!T84),0,IF($AC$54="",0,$AC$54))</f>
        <v>0</v>
      </c>
      <c r="U100" s="497">
        <f>IF(ISBLANK('Capacity Planning'!U84),0,IF($AC$54="",0,$AC$54))</f>
        <v>0</v>
      </c>
      <c r="V100" s="497">
        <f>IF(ISBLANK('Capacity Planning'!V84),0,IF($AC$54="",0,$AC$54))</f>
        <v>0</v>
      </c>
      <c r="W100" s="497">
        <f>IF(ISBLANK('Capacity Planning'!W84),0,IF($AC$54="",0,$AC$54))</f>
        <v>0</v>
      </c>
      <c r="X100" s="497">
        <f>IF(ISBLANK('Capacity Planning'!X84),0,IF($AC$54="",0,$AC$54))</f>
        <v>0</v>
      </c>
      <c r="Y100" s="497">
        <f>IF(ISBLANK('Capacity Planning'!Y84),0,IF($AC$54="",0,$AC$54))</f>
        <v>0</v>
      </c>
      <c r="Z100" s="497">
        <f>IF(ISBLANK('Capacity Planning'!Z84),0,IF($AC$54="",0,$AC$54))</f>
        <v>0</v>
      </c>
      <c r="AA100" s="497">
        <f>IF(ISBLANK('Capacity Planning'!AA84),0,IF($AC$54="",0,$AC$54))</f>
        <v>0</v>
      </c>
      <c r="AB100" s="497">
        <f>IF(ISBLANK('Capacity Planning'!AB84),0,IF($AC$54="",0,$AC$54))</f>
        <v>0</v>
      </c>
      <c r="AC100" s="497"/>
      <c r="AD100" s="497"/>
      <c r="AE100" s="497"/>
      <c r="AF100" s="497"/>
      <c r="AG100" s="107"/>
    </row>
    <row r="101" spans="1:33" hidden="1" outlineLevel="1">
      <c r="A101" s="100"/>
      <c r="B101" s="106" t="str">
        <f>AD16</f>
        <v>Process 28</v>
      </c>
      <c r="C101" s="497">
        <f>IF(ISBLANK('Capacity Planning'!C85),0,IF($AD$54="",0,$AD$54))</f>
        <v>0</v>
      </c>
      <c r="D101" s="497">
        <f>IF(ISBLANK('Capacity Planning'!D85),0,IF($AD$54="",0,$AD$54))</f>
        <v>0</v>
      </c>
      <c r="E101" s="497">
        <f>IF(ISBLANK('Capacity Planning'!E85),0,IF($AD$54="",0,$AD$54))</f>
        <v>0</v>
      </c>
      <c r="F101" s="497">
        <f>IF(ISBLANK('Capacity Planning'!F85),0,IF($AD$54="",0,$AD$54))</f>
        <v>0</v>
      </c>
      <c r="G101" s="497">
        <f>IF(ISBLANK('Capacity Planning'!G85),0,IF($AD$54="",0,$AD$54))</f>
        <v>0</v>
      </c>
      <c r="H101" s="497">
        <f>IF(ISBLANK('Capacity Planning'!H85),0,IF($AD$54="",0,$AD$54))</f>
        <v>0</v>
      </c>
      <c r="I101" s="497">
        <f>IF(ISBLANK('Capacity Planning'!I85),0,IF($AD$54="",0,$AD$54))</f>
        <v>0</v>
      </c>
      <c r="J101" s="497">
        <f>IF(ISBLANK('Capacity Planning'!J85),0,IF($AD$54="",0,$AD$54))</f>
        <v>0</v>
      </c>
      <c r="K101" s="497">
        <f>IF(ISBLANK('Capacity Planning'!K85),0,IF($AD$54="",0,$AD$54))</f>
        <v>0</v>
      </c>
      <c r="L101" s="497">
        <f>IF(ISBLANK('Capacity Planning'!L85),0,IF($AD$54="",0,$AD$54))</f>
        <v>0</v>
      </c>
      <c r="M101" s="497">
        <f>IF(ISBLANK('Capacity Planning'!M85),0,IF($AD$54="",0,$AD$54))</f>
        <v>0</v>
      </c>
      <c r="N101" s="497">
        <f>IF(ISBLANK('Capacity Planning'!N85),0,IF($AD$54="",0,$AD$54))</f>
        <v>0</v>
      </c>
      <c r="O101" s="497">
        <f>IF(ISBLANK('Capacity Planning'!O85),0,IF($AD$54="",0,$AD$54))</f>
        <v>0</v>
      </c>
      <c r="P101" s="497">
        <f>IF(ISBLANK('Capacity Planning'!P85),0,IF($AD$54="",0,$AD$54))</f>
        <v>0</v>
      </c>
      <c r="Q101" s="497">
        <f>IF(ISBLANK('Capacity Planning'!Q85),0,IF($AD$54="",0,$AD$54))</f>
        <v>0</v>
      </c>
      <c r="R101" s="497">
        <f>IF(ISBLANK('Capacity Planning'!R85),0,IF($AD$54="",0,$AD$54))</f>
        <v>0</v>
      </c>
      <c r="S101" s="497">
        <f>IF(ISBLANK('Capacity Planning'!S85),0,IF($AD$54="",0,$AD$54))</f>
        <v>0</v>
      </c>
      <c r="T101" s="497">
        <f>IF(ISBLANK('Capacity Planning'!T85),0,IF($AD$54="",0,$AD$54))</f>
        <v>0</v>
      </c>
      <c r="U101" s="497">
        <f>IF(ISBLANK('Capacity Planning'!U85),0,IF($AD$54="",0,$AD$54))</f>
        <v>0</v>
      </c>
      <c r="V101" s="497">
        <f>IF(ISBLANK('Capacity Planning'!V85),0,IF($AD$54="",0,$AD$54))</f>
        <v>0</v>
      </c>
      <c r="W101" s="497">
        <f>IF(ISBLANK('Capacity Planning'!W85),0,IF($AD$54="",0,$AD$54))</f>
        <v>0</v>
      </c>
      <c r="X101" s="497">
        <f>IF(ISBLANK('Capacity Planning'!X85),0,IF($AD$54="",0,$AD$54))</f>
        <v>0</v>
      </c>
      <c r="Y101" s="497">
        <f>IF(ISBLANK('Capacity Planning'!Y85),0,IF($AD$54="",0,$AD$54))</f>
        <v>0</v>
      </c>
      <c r="Z101" s="497">
        <f>IF(ISBLANK('Capacity Planning'!Z85),0,IF($AD$54="",0,$AD$54))</f>
        <v>0</v>
      </c>
      <c r="AA101" s="497">
        <f>IF(ISBLANK('Capacity Planning'!AA85),0,IF($AD$54="",0,$AD$54))</f>
        <v>0</v>
      </c>
      <c r="AB101" s="497">
        <f>IF(ISBLANK('Capacity Planning'!AB85),0,IF($AD$54="",0,$AD$54))</f>
        <v>0</v>
      </c>
      <c r="AC101" s="497">
        <f>IF(ISBLANK('Capacity Planning'!AC85),0,IF($AD$54="",0,$AD$54))</f>
        <v>0</v>
      </c>
      <c r="AD101" s="497"/>
      <c r="AE101" s="497"/>
      <c r="AF101" s="497"/>
      <c r="AG101" s="107"/>
    </row>
    <row r="102" spans="1:33" hidden="1" outlineLevel="1">
      <c r="A102" s="100"/>
      <c r="B102" s="106" t="str">
        <f>AE16</f>
        <v>Process 29</v>
      </c>
      <c r="C102" s="497">
        <f>IF(ISBLANK('Capacity Planning'!C86),0,IF($AE$54="",0,$AE$54))</f>
        <v>0</v>
      </c>
      <c r="D102" s="497">
        <f>IF(ISBLANK('Capacity Planning'!D86),0,IF($AE$54="",0,$AE$54))</f>
        <v>0</v>
      </c>
      <c r="E102" s="497">
        <f>IF(ISBLANK('Capacity Planning'!E86),0,IF($AE$54="",0,$AE$54))</f>
        <v>0</v>
      </c>
      <c r="F102" s="497">
        <f>IF(ISBLANK('Capacity Planning'!F86),0,IF($AE$54="",0,$AE$54))</f>
        <v>0</v>
      </c>
      <c r="G102" s="497">
        <f>IF(ISBLANK('Capacity Planning'!G86),0,IF($AE$54="",0,$AE$54))</f>
        <v>0</v>
      </c>
      <c r="H102" s="497">
        <f>IF(ISBLANK('Capacity Planning'!H86),0,IF($AE$54="",0,$AE$54))</f>
        <v>0</v>
      </c>
      <c r="I102" s="497">
        <f>IF(ISBLANK('Capacity Planning'!I86),0,IF($AE$54="",0,$AE$54))</f>
        <v>0</v>
      </c>
      <c r="J102" s="497">
        <f>IF(ISBLANK('Capacity Planning'!J86),0,IF($AE$54="",0,$AE$54))</f>
        <v>0</v>
      </c>
      <c r="K102" s="497">
        <f>IF(ISBLANK('Capacity Planning'!K86),0,IF($AE$54="",0,$AE$54))</f>
        <v>0</v>
      </c>
      <c r="L102" s="497">
        <f>IF(ISBLANK('Capacity Planning'!L86),0,IF($AE$54="",0,$AE$54))</f>
        <v>0</v>
      </c>
      <c r="M102" s="497">
        <f>IF(ISBLANK('Capacity Planning'!M86),0,IF($AE$54="",0,$AE$54))</f>
        <v>0</v>
      </c>
      <c r="N102" s="497">
        <f>IF(ISBLANK('Capacity Planning'!N86),0,IF($AE$54="",0,$AE$54))</f>
        <v>0</v>
      </c>
      <c r="O102" s="497">
        <f>IF(ISBLANK('Capacity Planning'!O86),0,IF($AE$54="",0,$AE$54))</f>
        <v>0</v>
      </c>
      <c r="P102" s="497">
        <f>IF(ISBLANK('Capacity Planning'!P86),0,IF($AE$54="",0,$AE$54))</f>
        <v>0</v>
      </c>
      <c r="Q102" s="497">
        <f>IF(ISBLANK('Capacity Planning'!Q86),0,IF($AE$54="",0,$AE$54))</f>
        <v>0</v>
      </c>
      <c r="R102" s="497">
        <f>IF(ISBLANK('Capacity Planning'!R86),0,IF($AE$54="",0,$AE$54))</f>
        <v>0</v>
      </c>
      <c r="S102" s="497">
        <f>IF(ISBLANK('Capacity Planning'!S86),0,IF($AE$54="",0,$AE$54))</f>
        <v>0</v>
      </c>
      <c r="T102" s="497">
        <f>IF(ISBLANK('Capacity Planning'!T86),0,IF($AE$54="",0,$AE$54))</f>
        <v>0</v>
      </c>
      <c r="U102" s="497">
        <f>IF(ISBLANK('Capacity Planning'!U86),0,IF($AE$54="",0,$AE$54))</f>
        <v>0</v>
      </c>
      <c r="V102" s="497">
        <f>IF(ISBLANK('Capacity Planning'!V86),0,IF($AE$54="",0,$AE$54))</f>
        <v>0</v>
      </c>
      <c r="W102" s="497">
        <f>IF(ISBLANK('Capacity Planning'!W86),0,IF($AE$54="",0,$AE$54))</f>
        <v>0</v>
      </c>
      <c r="X102" s="497">
        <f>IF(ISBLANK('Capacity Planning'!X86),0,IF($AE$54="",0,$AE$54))</f>
        <v>0</v>
      </c>
      <c r="Y102" s="497">
        <f>IF(ISBLANK('Capacity Planning'!Y86),0,IF($AE$54="",0,$AE$54))</f>
        <v>0</v>
      </c>
      <c r="Z102" s="497">
        <f>IF(ISBLANK('Capacity Planning'!Z86),0,IF($AE$54="",0,$AE$54))</f>
        <v>0</v>
      </c>
      <c r="AA102" s="497">
        <f>IF(ISBLANK('Capacity Planning'!AA86),0,IF($AE$54="",0,$AE$54))</f>
        <v>0</v>
      </c>
      <c r="AB102" s="497">
        <f>IF(ISBLANK('Capacity Planning'!AB86),0,IF($AE$54="",0,$AE$54))</f>
        <v>0</v>
      </c>
      <c r="AC102" s="497">
        <f>IF(ISBLANK('Capacity Planning'!AC86),0,IF($AE$54="",0,$AE$54))</f>
        <v>0</v>
      </c>
      <c r="AD102" s="497">
        <f>IF(ISBLANK('Capacity Planning'!AD86),0,IF($AE$54="",0,$AE$54))</f>
        <v>0</v>
      </c>
      <c r="AE102" s="497"/>
      <c r="AF102" s="497"/>
      <c r="AG102" s="107"/>
    </row>
    <row r="103" spans="1:33" hidden="1" outlineLevel="1">
      <c r="A103" s="100"/>
      <c r="B103" s="106" t="str">
        <f>AF16</f>
        <v>Process 30</v>
      </c>
      <c r="C103" s="497">
        <f>IF(ISBLANK('Capacity Planning'!C87),0,IF($AF$54="",0,$AF$54))</f>
        <v>0</v>
      </c>
      <c r="D103" s="497">
        <f>IF(ISBLANK('Capacity Planning'!D87),0,IF($AF$54="",0,$AF$54))</f>
        <v>0</v>
      </c>
      <c r="E103" s="497">
        <f>IF(ISBLANK('Capacity Planning'!E87),0,IF($AF$54="",0,$AF$54))</f>
        <v>0</v>
      </c>
      <c r="F103" s="497">
        <f>IF(ISBLANK('Capacity Planning'!F87),0,IF($AF$54="",0,$AF$54))</f>
        <v>0</v>
      </c>
      <c r="G103" s="497">
        <f>IF(ISBLANK('Capacity Planning'!G87),0,IF($AF$54="",0,$AF$54))</f>
        <v>0</v>
      </c>
      <c r="H103" s="497">
        <f>IF(ISBLANK('Capacity Planning'!H87),0,IF($AF$54="",0,$AF$54))</f>
        <v>0</v>
      </c>
      <c r="I103" s="497">
        <f>IF(ISBLANK('Capacity Planning'!I87),0,IF($AF$54="",0,$AF$54))</f>
        <v>0</v>
      </c>
      <c r="J103" s="497">
        <f>IF(ISBLANK('Capacity Planning'!J87),0,IF($AF$54="",0,$AF$54))</f>
        <v>0</v>
      </c>
      <c r="K103" s="497">
        <f>IF(ISBLANK('Capacity Planning'!K87),0,IF($AF$54="",0,$AF$54))</f>
        <v>0</v>
      </c>
      <c r="L103" s="497">
        <f>IF(ISBLANK('Capacity Planning'!L87),0,IF($AF$54="",0,$AF$54))</f>
        <v>0</v>
      </c>
      <c r="M103" s="497">
        <f>IF(ISBLANK('Capacity Planning'!M87),0,IF($AF$54="",0,$AF$54))</f>
        <v>0</v>
      </c>
      <c r="N103" s="497">
        <f>IF(ISBLANK('Capacity Planning'!N87),0,IF($AF$54="",0,$AF$54))</f>
        <v>0</v>
      </c>
      <c r="O103" s="497">
        <f>IF(ISBLANK('Capacity Planning'!O87),0,IF($AF$54="",0,$AF$54))</f>
        <v>0</v>
      </c>
      <c r="P103" s="497">
        <f>IF(ISBLANK('Capacity Planning'!P87),0,IF($AF$54="",0,$AF$54))</f>
        <v>0</v>
      </c>
      <c r="Q103" s="497">
        <f>IF(ISBLANK('Capacity Planning'!Q87),0,IF($AF$54="",0,$AF$54))</f>
        <v>0</v>
      </c>
      <c r="R103" s="497">
        <f>IF(ISBLANK('Capacity Planning'!R87),0,IF($AF$54="",0,$AF$54))</f>
        <v>0</v>
      </c>
      <c r="S103" s="497">
        <f>IF(ISBLANK('Capacity Planning'!S87),0,IF($AF$54="",0,$AF$54))</f>
        <v>0</v>
      </c>
      <c r="T103" s="497">
        <f>IF(ISBLANK('Capacity Planning'!T87),0,IF($AF$54="",0,$AF$54))</f>
        <v>0</v>
      </c>
      <c r="U103" s="497">
        <f>IF(ISBLANK('Capacity Planning'!U87),0,IF($AF$54="",0,$AF$54))</f>
        <v>0</v>
      </c>
      <c r="V103" s="497">
        <f>IF(ISBLANK('Capacity Planning'!V87),0,IF($AF$54="",0,$AF$54))</f>
        <v>0</v>
      </c>
      <c r="W103" s="497">
        <f>IF(ISBLANK('Capacity Planning'!W87),0,IF($AF$54="",0,$AF$54))</f>
        <v>0</v>
      </c>
      <c r="X103" s="497">
        <f>IF(ISBLANK('Capacity Planning'!X87),0,IF($AF$54="",0,$AF$54))</f>
        <v>0</v>
      </c>
      <c r="Y103" s="497">
        <f>IF(ISBLANK('Capacity Planning'!Y87),0,IF($AF$54="",0,$AF$54))</f>
        <v>0</v>
      </c>
      <c r="Z103" s="497">
        <f>IF(ISBLANK('Capacity Planning'!Z87),0,IF($AF$54="",0,$AF$54))</f>
        <v>0</v>
      </c>
      <c r="AA103" s="497">
        <f>IF(ISBLANK('Capacity Planning'!AA87),0,IF($AF$54="",0,$AF$54))</f>
        <v>0</v>
      </c>
      <c r="AB103" s="497">
        <f>IF(ISBLANK('Capacity Planning'!AB87),0,IF($AF$54="",0,$AF$54))</f>
        <v>0</v>
      </c>
      <c r="AC103" s="497">
        <f>IF(ISBLANK('Capacity Planning'!AC87),0,IF($AF$54="",0,$AF$54))</f>
        <v>0</v>
      </c>
      <c r="AD103" s="497">
        <f>IF(ISBLANK('Capacity Planning'!AD87),0,IF($AF$54="",0,$AF$54))</f>
        <v>0</v>
      </c>
      <c r="AE103" s="497">
        <f>IF(ISBLANK('Capacity Planning'!AE87),0,IF($AF$54="",0,$AF$54))</f>
        <v>0</v>
      </c>
      <c r="AF103" s="497"/>
      <c r="AG103" s="107"/>
    </row>
    <row r="104" spans="1:33" s="98" customFormat="1" ht="11" thickBot="1">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9"/>
    </row>
  </sheetData>
  <sheetProtection formatCells="0" formatColumns="0" formatRows="0"/>
  <dataConsolidate/>
  <mergeCells count="9">
    <mergeCell ref="C10:D12"/>
    <mergeCell ref="C8:D8"/>
    <mergeCell ref="C5:H5"/>
    <mergeCell ref="C4:H4"/>
    <mergeCell ref="A1:AG1"/>
    <mergeCell ref="C6:D6"/>
    <mergeCell ref="E6:H6"/>
    <mergeCell ref="C7:D7"/>
    <mergeCell ref="C2:E2"/>
  </mergeCells>
  <phoneticPr fontId="76" type="noConversion"/>
  <conditionalFormatting sqref="D57:AF58">
    <cfRule type="cellIs" dxfId="43" priority="66" operator="greaterThan">
      <formula>1</formula>
    </cfRule>
  </conditionalFormatting>
  <conditionalFormatting sqref="C66:AF66">
    <cfRule type="cellIs" dxfId="42" priority="62" operator="lessThan">
      <formula>0</formula>
    </cfRule>
  </conditionalFormatting>
  <conditionalFormatting sqref="C64:AF65">
    <cfRule type="cellIs" dxfId="41" priority="58" operator="equal">
      <formula>""</formula>
    </cfRule>
    <cfRule type="expression" dxfId="40" priority="59">
      <formula>C71&lt;=C64</formula>
    </cfRule>
    <cfRule type="expression" dxfId="39" priority="60">
      <formula>C68&lt;=C64</formula>
    </cfRule>
    <cfRule type="expression" dxfId="38" priority="61">
      <formula>C68&gt;C64</formula>
    </cfRule>
  </conditionalFormatting>
  <conditionalFormatting sqref="C44:AF44">
    <cfRule type="cellIs" dxfId="37" priority="49" operator="between">
      <formula>1</formula>
      <formula>60</formula>
    </cfRule>
  </conditionalFormatting>
  <conditionalFormatting sqref="G27:AF27">
    <cfRule type="cellIs" dxfId="36" priority="8" operator="greaterThan">
      <formula>$C$6</formula>
    </cfRule>
  </conditionalFormatting>
  <conditionalFormatting sqref="C27:AF27">
    <cfRule type="cellIs" dxfId="35" priority="7" operator="greaterThan">
      <formula>$C$6</formula>
    </cfRule>
  </conditionalFormatting>
  <conditionalFormatting sqref="E27:F27">
    <cfRule type="cellIs" dxfId="34" priority="6" operator="greaterThan">
      <formula>$C$6</formula>
    </cfRule>
  </conditionalFormatting>
  <conditionalFormatting sqref="C33:AF33">
    <cfRule type="cellIs" dxfId="33" priority="5" operator="greaterThan">
      <formula>0.85</formula>
    </cfRule>
  </conditionalFormatting>
  <conditionalFormatting sqref="C48:AF48">
    <cfRule type="expression" dxfId="32" priority="4">
      <formula>$C$55&lt;$C$35</formula>
    </cfRule>
  </conditionalFormatting>
  <conditionalFormatting sqref="C57:C58 C55:AF55">
    <cfRule type="cellIs" dxfId="31" priority="3" operator="greaterThan">
      <formula>1</formula>
    </cfRule>
  </conditionalFormatting>
  <conditionalFormatting sqref="C55:AF55">
    <cfRule type="expression" dxfId="30" priority="2">
      <formula>$C$55&lt;$C$35</formula>
    </cfRule>
  </conditionalFormatting>
  <conditionalFormatting sqref="C56:AF56">
    <cfRule type="cellIs" dxfId="29" priority="1" operator="greaterThan">
      <formula>1</formula>
    </cfRule>
  </conditionalFormatting>
  <dataValidations count="11">
    <dataValidation type="whole" allowBlank="1" showInputMessage="1" showErrorMessage="1" sqref="D13" xr:uid="{00000000-0002-0000-0300-000001000000}">
      <formula1>1</formula1>
      <formula2>2</formula2>
    </dataValidation>
    <dataValidation allowBlank="1" showInputMessage="1" showErrorMessage="1" error="Bitte geben Sie eine ganze Zahl ein" sqref="B38:B41 C39:AF40 C48:AF48" xr:uid="{00000000-0002-0000-0300-000002000000}"/>
    <dataValidation type="decimal" allowBlank="1" showInputMessage="1" showErrorMessage="1" errorTitle="Umrechnung Stunden - Minuten" error="Bitte geben Sie eine positive Zahl ein._x000a_Es können ausschließlich positive Zahlen umgerechnet werden." sqref="F10:G10 H12" xr:uid="{00000000-0002-0000-0300-000003000000}">
      <formula1>0</formula1>
      <formula2>1000000</formula2>
    </dataValidation>
    <dataValidation allowBlank="1" showInputMessage="1" showErrorMessage="1" errorTitle="Umrechnung Stunden - Minuten" error="Bitte geben Sie eine positive Zahl ein._x000a_Es können ausschließlich positive Zahlen umgerechnet werden." sqref="E9:E12 F11:H11" xr:uid="{00000000-0002-0000-0300-000004000000}"/>
    <dataValidation type="time" allowBlank="1" showInputMessage="1" showErrorMessage="1" errorTitle="Umrechnung Zeit - Minuten" error="Bitte geben Sie eine gültige Zeit im Format [hh:mm:ss] ein." sqref="F12:G12" xr:uid="{00000000-0002-0000-0300-000005000000}">
      <formula1>0</formula1>
      <formula2>0.999988425925926</formula2>
    </dataValidation>
    <dataValidation type="whole" allowBlank="1" showInputMessage="1" showErrorMessage="1" error="Bitte geben Sie eine ganze Zahl ein" sqref="C20:AF21 C28:AF28" xr:uid="{00000000-0002-0000-0300-000000000000}">
      <formula1>0</formula1>
      <formula2>9999999</formula2>
    </dataValidation>
    <dataValidation type="decimal" allowBlank="1" showInputMessage="1" showErrorMessage="1" error="Bitte geben Sie eine %-Zahl zwischen 1% und 100% ein" sqref="C33:AF33 C38:AF38" xr:uid="{00000000-0002-0000-0300-000006000000}">
      <formula1>0</formula1>
      <formula2>1</formula2>
    </dataValidation>
    <dataValidation type="whole" allowBlank="1" showInputMessage="1" showErrorMessage="1" error="Bitte geben Sie eine ganze Zahl ein" sqref="C59:AF59 C34:AF34 C44:AF47 C50:AF52" xr:uid="{00000000-0002-0000-0300-000007000000}">
      <formula1>0</formula1>
      <formula2>999999</formula2>
    </dataValidation>
    <dataValidation type="decimal" operator="greaterThanOrEqual" allowBlank="1" showInputMessage="1" showErrorMessage="1" error="Bitte geben Sie eine %-Zahl größer 0 ein" sqref="C22:AF22" xr:uid="{5630680E-05BD-4C51-A49C-61F4B2C38820}">
      <formula1>0</formula1>
    </dataValidation>
    <dataValidation type="decimal" allowBlank="1" showInputMessage="1" showErrorMessage="1" error="Bitte geben Sie eine Zahl ein" sqref="C26:AF27" xr:uid="{E3535DF4-E97D-4A85-8EFC-2A82AC077737}">
      <formula1>0</formula1>
      <formula2>9999999</formula2>
    </dataValidation>
    <dataValidation allowBlank="1" showInputMessage="1" showErrorMessage="1" error="Bitte geben Sie eine %-Zahl zwischen 1% und 100% ein" sqref="C41:AF41" xr:uid="{00000000-0002-0000-0300-00000A000000}"/>
  </dataValidations>
  <printOptions horizontalCentered="1"/>
  <pageMargins left="0.70866141732283472" right="0.70866141732283472" top="0.9055118110236221" bottom="0.78740157480314965" header="0.31496062992125984" footer="0.31496062992125984"/>
  <pageSetup paperSize="9" scale="32" orientation="landscape" r:id="rId1"/>
  <headerFooter>
    <oddHeader>&amp;L&amp;"Calibri"&amp;10&amp;K000000 INTERNAL&amp;1#_x000D_&amp;"Arialri"&amp;11&amp;K000000
&amp;"Calibri,Standard"Kapazitätsplanung und abnahme
&amp;A&amp;R&amp;G</oddHeader>
    <oddFooter>&amp;L&amp;"Audi Type,Standard"&amp;8&amp;F_x000D_&amp;1#&amp;"Calibri"&amp;10&amp;K000000 Internal&amp;C&amp;"Audi Type,Standard"&amp;8&amp;P von &amp;N&amp;R&amp;"Audi Type,Standard"&amp;8&amp;D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5851" r:id="rId5" name="Option Button 11">
              <controlPr defaultSize="0" autoFill="0" autoLine="0" autoPict="0">
                <anchor moveWithCells="1">
                  <from>
                    <xdr:col>1</xdr:col>
                    <xdr:colOff>444500</xdr:colOff>
                    <xdr:row>9</xdr:row>
                    <xdr:rowOff>165100</xdr:rowOff>
                  </from>
                  <to>
                    <xdr:col>1</xdr:col>
                    <xdr:colOff>1701800</xdr:colOff>
                    <xdr:row>10</xdr:row>
                    <xdr:rowOff>152400</xdr:rowOff>
                  </to>
                </anchor>
              </controlPr>
            </control>
          </mc:Choice>
        </mc:AlternateContent>
        <mc:AlternateContent xmlns:mc="http://schemas.openxmlformats.org/markup-compatibility/2006">
          <mc:Choice Requires="x14">
            <control shapeId="35852" r:id="rId6" name="Option Button 12">
              <controlPr defaultSize="0" autoFill="0" autoLine="0" autoPict="0">
                <anchor moveWithCells="1">
                  <from>
                    <xdr:col>1</xdr:col>
                    <xdr:colOff>1714500</xdr:colOff>
                    <xdr:row>9</xdr:row>
                    <xdr:rowOff>165100</xdr:rowOff>
                  </from>
                  <to>
                    <xdr:col>1</xdr:col>
                    <xdr:colOff>2984500</xdr:colOff>
                    <xdr:row>10</xdr:row>
                    <xdr:rowOff>152400</xdr:rowOff>
                  </to>
                </anchor>
              </controlPr>
            </control>
          </mc:Choice>
        </mc:AlternateContent>
        <mc:AlternateContent xmlns:mc="http://schemas.openxmlformats.org/markup-compatibility/2006">
          <mc:Choice Requires="x14">
            <control shapeId="35859" r:id="rId7" name="Button 19">
              <controlPr defaultSize="0" print="0" autoFill="0" autoPict="0" macro="[0]!PlanungUebertragen">
                <anchor moveWithCells="1" sizeWithCells="1">
                  <from>
                    <xdr:col>6</xdr:col>
                    <xdr:colOff>38100</xdr:colOff>
                    <xdr:row>1</xdr:row>
                    <xdr:rowOff>127000</xdr:rowOff>
                  </from>
                  <to>
                    <xdr:col>7</xdr:col>
                    <xdr:colOff>1358900</xdr:colOff>
                    <xdr:row>3</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R55"/>
  <sheetViews>
    <sheetView workbookViewId="0">
      <selection activeCell="O6" sqref="O6"/>
    </sheetView>
  </sheetViews>
  <sheetFormatPr baseColWidth="10" defaultColWidth="10.5" defaultRowHeight="14" outlineLevelCol="1"/>
  <cols>
    <col min="1" max="1" width="1.83203125" style="422" customWidth="1"/>
    <col min="2" max="2" width="11.1640625" style="422" customWidth="1"/>
    <col min="3" max="3" width="59" style="422" customWidth="1"/>
    <col min="4" max="4" width="12.83203125" style="422" bestFit="1" customWidth="1"/>
    <col min="5" max="5" width="14.5" style="422" bestFit="1" customWidth="1"/>
    <col min="6" max="6" width="9.6640625" style="422" customWidth="1"/>
    <col min="7" max="9" width="9.6640625" style="422" customWidth="1" outlineLevel="1"/>
    <col min="10" max="12" width="9.6640625" style="422" customWidth="1"/>
    <col min="13" max="13" width="15" style="422" bestFit="1" customWidth="1"/>
    <col min="14" max="14" width="19" style="422" bestFit="1" customWidth="1"/>
    <col min="15" max="17" width="17.6640625" style="422" customWidth="1"/>
    <col min="18" max="18" width="1.83203125" style="422" customWidth="1"/>
    <col min="19" max="16384" width="10.5" style="422"/>
  </cols>
  <sheetData>
    <row r="1" spans="1:18" ht="22" thickBot="1">
      <c r="A1" s="524" t="str">
        <f>CONCATENATE("Cycle time monitoring - ",D3)</f>
        <v>Cycle time monitoring - Process name</v>
      </c>
      <c r="B1" s="524"/>
      <c r="C1" s="524"/>
      <c r="D1" s="524"/>
      <c r="E1" s="524"/>
      <c r="F1" s="524"/>
      <c r="G1" s="524"/>
      <c r="H1" s="524"/>
      <c r="I1" s="524"/>
      <c r="J1" s="524"/>
      <c r="K1" s="524"/>
      <c r="L1" s="524"/>
      <c r="M1" s="524"/>
      <c r="N1" s="524"/>
      <c r="O1" s="524"/>
      <c r="P1" s="524"/>
      <c r="Q1" s="524"/>
      <c r="R1" s="524"/>
    </row>
    <row r="2" spans="1:18">
      <c r="A2" s="423"/>
      <c r="B2" s="424"/>
      <c r="C2" s="424"/>
      <c r="D2" s="424"/>
      <c r="E2" s="424"/>
      <c r="F2" s="424"/>
      <c r="G2" s="424"/>
      <c r="H2" s="424"/>
      <c r="I2" s="424"/>
      <c r="J2" s="424"/>
      <c r="K2" s="424"/>
      <c r="L2" s="424"/>
      <c r="M2" s="424"/>
      <c r="N2" s="424"/>
      <c r="O2" s="424"/>
      <c r="P2" s="424"/>
      <c r="Q2" s="424"/>
      <c r="R2" s="425"/>
    </row>
    <row r="3" spans="1:18">
      <c r="A3" s="426"/>
      <c r="C3" s="427" t="s">
        <v>276</v>
      </c>
      <c r="D3" s="591" t="s">
        <v>166</v>
      </c>
      <c r="E3" s="591"/>
      <c r="R3" s="428"/>
    </row>
    <row r="4" spans="1:18">
      <c r="A4" s="426"/>
      <c r="O4" s="429" t="s">
        <v>269</v>
      </c>
      <c r="P4" s="429" t="s">
        <v>270</v>
      </c>
      <c r="Q4" s="429" t="s">
        <v>271</v>
      </c>
      <c r="R4" s="428"/>
    </row>
    <row r="5" spans="1:18" ht="96">
      <c r="A5" s="430"/>
      <c r="B5" s="431" t="s">
        <v>274</v>
      </c>
      <c r="C5" s="432" t="s">
        <v>275</v>
      </c>
      <c r="D5" s="433" t="s">
        <v>278</v>
      </c>
      <c r="E5" s="434" t="s">
        <v>277</v>
      </c>
      <c r="F5" s="431" t="s">
        <v>272</v>
      </c>
      <c r="G5" s="435" t="s">
        <v>279</v>
      </c>
      <c r="H5" s="435" t="s">
        <v>280</v>
      </c>
      <c r="I5" s="432" t="s">
        <v>281</v>
      </c>
      <c r="J5" s="436" t="s">
        <v>282</v>
      </c>
      <c r="K5" s="433" t="s">
        <v>168</v>
      </c>
      <c r="L5" s="434" t="s">
        <v>171</v>
      </c>
      <c r="M5" s="433" t="s">
        <v>283</v>
      </c>
      <c r="N5" s="434" t="s">
        <v>284</v>
      </c>
      <c r="O5" s="431" t="s">
        <v>290</v>
      </c>
      <c r="P5" s="435" t="s">
        <v>285</v>
      </c>
      <c r="Q5" s="432" t="s">
        <v>286</v>
      </c>
      <c r="R5" s="437"/>
    </row>
    <row r="6" spans="1:18">
      <c r="A6" s="426"/>
      <c r="B6" s="483">
        <v>44197</v>
      </c>
      <c r="C6" s="438" t="s">
        <v>287</v>
      </c>
      <c r="D6" s="439"/>
      <c r="E6" s="440">
        <v>30</v>
      </c>
      <c r="F6" s="441">
        <f>IF(C6&lt;&gt;"",G6*H6*(1-I6),"")</f>
        <v>0.8075</v>
      </c>
      <c r="G6" s="442">
        <v>0.85</v>
      </c>
      <c r="H6" s="442">
        <v>1</v>
      </c>
      <c r="I6" s="443">
        <v>0.05</v>
      </c>
      <c r="J6" s="444">
        <v>0.2</v>
      </c>
      <c r="K6" s="480">
        <v>1</v>
      </c>
      <c r="L6" s="477">
        <v>2</v>
      </c>
      <c r="M6" s="474">
        <v>480</v>
      </c>
      <c r="N6" s="471">
        <v>15</v>
      </c>
      <c r="O6" s="462">
        <f>IF(C6&lt;&gt;"",(M6*N6*60*L6*K6*F6*J6)/E6,"")</f>
        <v>4651.2</v>
      </c>
      <c r="P6" s="463">
        <v>2700</v>
      </c>
      <c r="Q6" s="464">
        <v>2000</v>
      </c>
      <c r="R6" s="428"/>
    </row>
    <row r="7" spans="1:18">
      <c r="A7" s="426"/>
      <c r="B7" s="484">
        <v>44228</v>
      </c>
      <c r="C7" s="445" t="s">
        <v>288</v>
      </c>
      <c r="D7" s="446"/>
      <c r="E7" s="447">
        <f>IF(C7&lt;&gt;"",E6+D7,"")</f>
        <v>30</v>
      </c>
      <c r="F7" s="448">
        <f t="shared" ref="F7:F24" si="0">IF(C7&lt;&gt;"",G7*H7*(1-I7),"")</f>
        <v>0.82450000000000001</v>
      </c>
      <c r="G7" s="449">
        <v>0.85</v>
      </c>
      <c r="H7" s="449">
        <v>1</v>
      </c>
      <c r="I7" s="450">
        <v>0.03</v>
      </c>
      <c r="J7" s="451">
        <v>0.2</v>
      </c>
      <c r="K7" s="481">
        <v>1</v>
      </c>
      <c r="L7" s="478">
        <v>2</v>
      </c>
      <c r="M7" s="475">
        <v>480</v>
      </c>
      <c r="N7" s="472">
        <v>15</v>
      </c>
      <c r="O7" s="465">
        <f>IF(C7&lt;&gt;"",(M7*N7*60*L7*K7*F7*J7)/E7,"")</f>
        <v>4749.12</v>
      </c>
      <c r="P7" s="466">
        <v>2700</v>
      </c>
      <c r="Q7" s="467">
        <v>2300</v>
      </c>
      <c r="R7" s="428"/>
    </row>
    <row r="8" spans="1:18">
      <c r="A8" s="426"/>
      <c r="B8" s="484">
        <v>44242</v>
      </c>
      <c r="C8" s="445" t="s">
        <v>289</v>
      </c>
      <c r="D8" s="446">
        <v>-5</v>
      </c>
      <c r="E8" s="447">
        <f t="shared" ref="E8:E24" si="1">IF(C8&lt;&gt;"",E7+D8,"")</f>
        <v>25</v>
      </c>
      <c r="F8" s="448">
        <f t="shared" si="0"/>
        <v>0.82450000000000001</v>
      </c>
      <c r="G8" s="449">
        <v>0.85</v>
      </c>
      <c r="H8" s="449">
        <v>1</v>
      </c>
      <c r="I8" s="450">
        <v>0.03</v>
      </c>
      <c r="J8" s="451">
        <v>0.2</v>
      </c>
      <c r="K8" s="481">
        <v>1</v>
      </c>
      <c r="L8" s="478">
        <v>2</v>
      </c>
      <c r="M8" s="475">
        <v>480</v>
      </c>
      <c r="N8" s="472">
        <v>15</v>
      </c>
      <c r="O8" s="465">
        <f t="shared" ref="O8:O24" si="2">IF(C8&lt;&gt;"",(M8*N8*60*L8*K8*F8*J8)/E8,"")</f>
        <v>5698.9440000000004</v>
      </c>
      <c r="P8" s="466">
        <v>2700</v>
      </c>
      <c r="Q8" s="467">
        <v>2500</v>
      </c>
      <c r="R8" s="428"/>
    </row>
    <row r="9" spans="1:18">
      <c r="A9" s="426"/>
      <c r="B9" s="484"/>
      <c r="C9" s="445" t="s">
        <v>273</v>
      </c>
      <c r="D9" s="446"/>
      <c r="E9" s="447">
        <f t="shared" si="1"/>
        <v>25</v>
      </c>
      <c r="F9" s="448">
        <f t="shared" si="0"/>
        <v>0</v>
      </c>
      <c r="G9" s="449"/>
      <c r="H9" s="449"/>
      <c r="I9" s="450"/>
      <c r="J9" s="451"/>
      <c r="K9" s="481"/>
      <c r="L9" s="478"/>
      <c r="M9" s="475"/>
      <c r="N9" s="472"/>
      <c r="O9" s="465">
        <f t="shared" si="2"/>
        <v>0</v>
      </c>
      <c r="P9" s="466"/>
      <c r="Q9" s="467"/>
      <c r="R9" s="428"/>
    </row>
    <row r="10" spans="1:18">
      <c r="A10" s="426"/>
      <c r="B10" s="484"/>
      <c r="C10" s="445"/>
      <c r="D10" s="446"/>
      <c r="E10" s="447" t="str">
        <f t="shared" si="1"/>
        <v/>
      </c>
      <c r="F10" s="448" t="str">
        <f t="shared" si="0"/>
        <v/>
      </c>
      <c r="G10" s="449"/>
      <c r="H10" s="449"/>
      <c r="I10" s="450"/>
      <c r="J10" s="451"/>
      <c r="K10" s="481"/>
      <c r="L10" s="478"/>
      <c r="M10" s="475"/>
      <c r="N10" s="472"/>
      <c r="O10" s="465" t="str">
        <f t="shared" si="2"/>
        <v/>
      </c>
      <c r="P10" s="466"/>
      <c r="Q10" s="467"/>
      <c r="R10" s="428"/>
    </row>
    <row r="11" spans="1:18">
      <c r="A11" s="426"/>
      <c r="B11" s="484"/>
      <c r="C11" s="445"/>
      <c r="D11" s="446"/>
      <c r="E11" s="447" t="str">
        <f t="shared" si="1"/>
        <v/>
      </c>
      <c r="F11" s="448" t="str">
        <f t="shared" si="0"/>
        <v/>
      </c>
      <c r="G11" s="449"/>
      <c r="H11" s="449"/>
      <c r="I11" s="450"/>
      <c r="J11" s="451"/>
      <c r="K11" s="481"/>
      <c r="L11" s="478"/>
      <c r="M11" s="475"/>
      <c r="N11" s="472"/>
      <c r="O11" s="465" t="str">
        <f t="shared" si="2"/>
        <v/>
      </c>
      <c r="P11" s="466"/>
      <c r="Q11" s="467"/>
      <c r="R11" s="428"/>
    </row>
    <row r="12" spans="1:18">
      <c r="A12" s="426"/>
      <c r="B12" s="484"/>
      <c r="C12" s="445"/>
      <c r="D12" s="446"/>
      <c r="E12" s="447" t="str">
        <f t="shared" si="1"/>
        <v/>
      </c>
      <c r="F12" s="448" t="str">
        <f t="shared" si="0"/>
        <v/>
      </c>
      <c r="G12" s="449"/>
      <c r="H12" s="449"/>
      <c r="I12" s="450"/>
      <c r="J12" s="451"/>
      <c r="K12" s="481"/>
      <c r="L12" s="478"/>
      <c r="M12" s="475"/>
      <c r="N12" s="472"/>
      <c r="O12" s="465" t="str">
        <f t="shared" si="2"/>
        <v/>
      </c>
      <c r="P12" s="466"/>
      <c r="Q12" s="467"/>
      <c r="R12" s="428"/>
    </row>
    <row r="13" spans="1:18">
      <c r="A13" s="426"/>
      <c r="B13" s="484"/>
      <c r="C13" s="445"/>
      <c r="D13" s="446"/>
      <c r="E13" s="447" t="str">
        <f t="shared" si="1"/>
        <v/>
      </c>
      <c r="F13" s="448" t="str">
        <f t="shared" si="0"/>
        <v/>
      </c>
      <c r="G13" s="449"/>
      <c r="H13" s="449"/>
      <c r="I13" s="450"/>
      <c r="J13" s="451"/>
      <c r="K13" s="481"/>
      <c r="L13" s="478"/>
      <c r="M13" s="475"/>
      <c r="N13" s="472"/>
      <c r="O13" s="465" t="str">
        <f t="shared" si="2"/>
        <v/>
      </c>
      <c r="P13" s="466"/>
      <c r="Q13" s="467"/>
      <c r="R13" s="428"/>
    </row>
    <row r="14" spans="1:18">
      <c r="A14" s="426"/>
      <c r="B14" s="484"/>
      <c r="C14" s="445"/>
      <c r="D14" s="446"/>
      <c r="E14" s="447" t="str">
        <f t="shared" si="1"/>
        <v/>
      </c>
      <c r="F14" s="448" t="str">
        <f t="shared" si="0"/>
        <v/>
      </c>
      <c r="G14" s="449"/>
      <c r="H14" s="449"/>
      <c r="I14" s="450"/>
      <c r="J14" s="451"/>
      <c r="K14" s="481"/>
      <c r="L14" s="478"/>
      <c r="M14" s="475"/>
      <c r="N14" s="472"/>
      <c r="O14" s="465" t="str">
        <f t="shared" si="2"/>
        <v/>
      </c>
      <c r="P14" s="466"/>
      <c r="Q14" s="467"/>
      <c r="R14" s="428"/>
    </row>
    <row r="15" spans="1:18">
      <c r="A15" s="426"/>
      <c r="B15" s="484"/>
      <c r="C15" s="445"/>
      <c r="D15" s="446"/>
      <c r="E15" s="447" t="str">
        <f t="shared" si="1"/>
        <v/>
      </c>
      <c r="F15" s="448" t="str">
        <f t="shared" si="0"/>
        <v/>
      </c>
      <c r="G15" s="449"/>
      <c r="H15" s="449"/>
      <c r="I15" s="450"/>
      <c r="J15" s="451"/>
      <c r="K15" s="481"/>
      <c r="L15" s="478"/>
      <c r="M15" s="475"/>
      <c r="N15" s="472"/>
      <c r="O15" s="465" t="str">
        <f t="shared" si="2"/>
        <v/>
      </c>
      <c r="P15" s="466"/>
      <c r="Q15" s="467"/>
      <c r="R15" s="428"/>
    </row>
    <row r="16" spans="1:18">
      <c r="A16" s="426"/>
      <c r="B16" s="484"/>
      <c r="C16" s="445"/>
      <c r="D16" s="446"/>
      <c r="E16" s="447" t="str">
        <f t="shared" si="1"/>
        <v/>
      </c>
      <c r="F16" s="448" t="str">
        <f t="shared" si="0"/>
        <v/>
      </c>
      <c r="G16" s="449"/>
      <c r="H16" s="449"/>
      <c r="I16" s="450"/>
      <c r="J16" s="451"/>
      <c r="K16" s="481"/>
      <c r="L16" s="478"/>
      <c r="M16" s="475"/>
      <c r="N16" s="472"/>
      <c r="O16" s="465" t="str">
        <f t="shared" si="2"/>
        <v/>
      </c>
      <c r="P16" s="466"/>
      <c r="Q16" s="467"/>
      <c r="R16" s="428"/>
    </row>
    <row r="17" spans="1:18">
      <c r="A17" s="426"/>
      <c r="B17" s="484"/>
      <c r="C17" s="445"/>
      <c r="D17" s="446"/>
      <c r="E17" s="447" t="str">
        <f t="shared" si="1"/>
        <v/>
      </c>
      <c r="F17" s="448" t="str">
        <f t="shared" si="0"/>
        <v/>
      </c>
      <c r="G17" s="449"/>
      <c r="H17" s="449"/>
      <c r="I17" s="450"/>
      <c r="J17" s="451"/>
      <c r="K17" s="481"/>
      <c r="L17" s="478"/>
      <c r="M17" s="475"/>
      <c r="N17" s="472"/>
      <c r="O17" s="465" t="str">
        <f t="shared" si="2"/>
        <v/>
      </c>
      <c r="P17" s="466"/>
      <c r="Q17" s="467"/>
      <c r="R17" s="428"/>
    </row>
    <row r="18" spans="1:18">
      <c r="A18" s="426"/>
      <c r="B18" s="484"/>
      <c r="C18" s="445"/>
      <c r="D18" s="446"/>
      <c r="E18" s="447" t="str">
        <f t="shared" si="1"/>
        <v/>
      </c>
      <c r="F18" s="448" t="str">
        <f t="shared" si="0"/>
        <v/>
      </c>
      <c r="G18" s="449"/>
      <c r="H18" s="449"/>
      <c r="I18" s="450"/>
      <c r="J18" s="451"/>
      <c r="K18" s="481"/>
      <c r="L18" s="478"/>
      <c r="M18" s="475"/>
      <c r="N18" s="472"/>
      <c r="O18" s="465" t="str">
        <f t="shared" si="2"/>
        <v/>
      </c>
      <c r="P18" s="466"/>
      <c r="Q18" s="467"/>
      <c r="R18" s="428"/>
    </row>
    <row r="19" spans="1:18">
      <c r="A19" s="426"/>
      <c r="B19" s="484"/>
      <c r="C19" s="445"/>
      <c r="D19" s="446"/>
      <c r="E19" s="447" t="str">
        <f t="shared" si="1"/>
        <v/>
      </c>
      <c r="F19" s="448" t="str">
        <f t="shared" si="0"/>
        <v/>
      </c>
      <c r="G19" s="449"/>
      <c r="H19" s="449"/>
      <c r="I19" s="450"/>
      <c r="J19" s="451"/>
      <c r="K19" s="481"/>
      <c r="L19" s="478"/>
      <c r="M19" s="475"/>
      <c r="N19" s="472"/>
      <c r="O19" s="465" t="str">
        <f t="shared" si="2"/>
        <v/>
      </c>
      <c r="P19" s="466"/>
      <c r="Q19" s="467"/>
      <c r="R19" s="428"/>
    </row>
    <row r="20" spans="1:18">
      <c r="A20" s="426"/>
      <c r="B20" s="484"/>
      <c r="C20" s="445"/>
      <c r="D20" s="446"/>
      <c r="E20" s="447" t="str">
        <f t="shared" si="1"/>
        <v/>
      </c>
      <c r="F20" s="448" t="str">
        <f t="shared" si="0"/>
        <v/>
      </c>
      <c r="G20" s="449"/>
      <c r="H20" s="449"/>
      <c r="I20" s="450"/>
      <c r="J20" s="451"/>
      <c r="K20" s="481"/>
      <c r="L20" s="478"/>
      <c r="M20" s="475"/>
      <c r="N20" s="472"/>
      <c r="O20" s="465" t="str">
        <f t="shared" si="2"/>
        <v/>
      </c>
      <c r="P20" s="466"/>
      <c r="Q20" s="467"/>
      <c r="R20" s="428"/>
    </row>
    <row r="21" spans="1:18">
      <c r="A21" s="426"/>
      <c r="B21" s="484"/>
      <c r="C21" s="445"/>
      <c r="D21" s="446"/>
      <c r="E21" s="447" t="str">
        <f t="shared" si="1"/>
        <v/>
      </c>
      <c r="F21" s="448" t="str">
        <f t="shared" si="0"/>
        <v/>
      </c>
      <c r="G21" s="449"/>
      <c r="H21" s="449"/>
      <c r="I21" s="450"/>
      <c r="J21" s="451"/>
      <c r="K21" s="481"/>
      <c r="L21" s="478"/>
      <c r="M21" s="475"/>
      <c r="N21" s="472"/>
      <c r="O21" s="465" t="str">
        <f t="shared" si="2"/>
        <v/>
      </c>
      <c r="P21" s="466"/>
      <c r="Q21" s="467"/>
      <c r="R21" s="428"/>
    </row>
    <row r="22" spans="1:18">
      <c r="A22" s="426"/>
      <c r="B22" s="484"/>
      <c r="C22" s="445"/>
      <c r="D22" s="446"/>
      <c r="E22" s="447" t="str">
        <f t="shared" si="1"/>
        <v/>
      </c>
      <c r="F22" s="448" t="str">
        <f t="shared" si="0"/>
        <v/>
      </c>
      <c r="G22" s="449"/>
      <c r="H22" s="449"/>
      <c r="I22" s="450"/>
      <c r="J22" s="451"/>
      <c r="K22" s="481"/>
      <c r="L22" s="478"/>
      <c r="M22" s="475"/>
      <c r="N22" s="472"/>
      <c r="O22" s="465" t="str">
        <f t="shared" si="2"/>
        <v/>
      </c>
      <c r="P22" s="466"/>
      <c r="Q22" s="467"/>
      <c r="R22" s="428"/>
    </row>
    <row r="23" spans="1:18">
      <c r="A23" s="426"/>
      <c r="B23" s="484"/>
      <c r="C23" s="445"/>
      <c r="D23" s="446"/>
      <c r="E23" s="447" t="str">
        <f t="shared" si="1"/>
        <v/>
      </c>
      <c r="F23" s="448" t="str">
        <f t="shared" si="0"/>
        <v/>
      </c>
      <c r="G23" s="449"/>
      <c r="H23" s="449"/>
      <c r="I23" s="450"/>
      <c r="J23" s="451"/>
      <c r="K23" s="481"/>
      <c r="L23" s="478"/>
      <c r="M23" s="475"/>
      <c r="N23" s="472"/>
      <c r="O23" s="465" t="str">
        <f t="shared" si="2"/>
        <v/>
      </c>
      <c r="P23" s="466"/>
      <c r="Q23" s="467"/>
      <c r="R23" s="428"/>
    </row>
    <row r="24" spans="1:18">
      <c r="A24" s="426"/>
      <c r="B24" s="485"/>
      <c r="C24" s="452"/>
      <c r="D24" s="453"/>
      <c r="E24" s="454" t="str">
        <f t="shared" si="1"/>
        <v/>
      </c>
      <c r="F24" s="455" t="str">
        <f t="shared" si="0"/>
        <v/>
      </c>
      <c r="G24" s="456"/>
      <c r="H24" s="456"/>
      <c r="I24" s="457"/>
      <c r="J24" s="458"/>
      <c r="K24" s="482"/>
      <c r="L24" s="479"/>
      <c r="M24" s="476"/>
      <c r="N24" s="473"/>
      <c r="O24" s="468" t="str">
        <f t="shared" si="2"/>
        <v/>
      </c>
      <c r="P24" s="469"/>
      <c r="Q24" s="470"/>
      <c r="R24" s="428"/>
    </row>
    <row r="25" spans="1:18">
      <c r="A25" s="426"/>
      <c r="R25" s="428"/>
    </row>
    <row r="26" spans="1:18">
      <c r="A26" s="426"/>
      <c r="R26" s="428"/>
    </row>
    <row r="27" spans="1:18">
      <c r="A27" s="426"/>
      <c r="R27" s="428"/>
    </row>
    <row r="28" spans="1:18">
      <c r="A28" s="426"/>
      <c r="R28" s="428"/>
    </row>
    <row r="29" spans="1:18">
      <c r="A29" s="426"/>
      <c r="R29" s="428"/>
    </row>
    <row r="30" spans="1:18">
      <c r="A30" s="426"/>
      <c r="R30" s="428"/>
    </row>
    <row r="31" spans="1:18">
      <c r="A31" s="426"/>
      <c r="R31" s="428"/>
    </row>
    <row r="32" spans="1:18">
      <c r="A32" s="426"/>
      <c r="R32" s="428"/>
    </row>
    <row r="33" spans="1:18">
      <c r="A33" s="426"/>
      <c r="R33" s="428"/>
    </row>
    <row r="34" spans="1:18">
      <c r="A34" s="426"/>
      <c r="R34" s="428"/>
    </row>
    <row r="35" spans="1:18">
      <c r="A35" s="426"/>
      <c r="R35" s="428"/>
    </row>
    <row r="36" spans="1:18">
      <c r="A36" s="426"/>
      <c r="R36" s="428"/>
    </row>
    <row r="37" spans="1:18">
      <c r="A37" s="426"/>
      <c r="R37" s="428"/>
    </row>
    <row r="38" spans="1:18">
      <c r="A38" s="426"/>
      <c r="R38" s="428"/>
    </row>
    <row r="39" spans="1:18">
      <c r="A39" s="426"/>
      <c r="R39" s="428"/>
    </row>
    <row r="40" spans="1:18">
      <c r="A40" s="426"/>
      <c r="R40" s="428"/>
    </row>
    <row r="41" spans="1:18">
      <c r="A41" s="426"/>
      <c r="R41" s="428"/>
    </row>
    <row r="42" spans="1:18">
      <c r="A42" s="426"/>
      <c r="R42" s="428"/>
    </row>
    <row r="43" spans="1:18">
      <c r="A43" s="426"/>
      <c r="R43" s="428"/>
    </row>
    <row r="44" spans="1:18">
      <c r="A44" s="426"/>
      <c r="R44" s="428"/>
    </row>
    <row r="45" spans="1:18">
      <c r="A45" s="426"/>
      <c r="R45" s="428"/>
    </row>
    <row r="46" spans="1:18">
      <c r="A46" s="426"/>
      <c r="R46" s="428"/>
    </row>
    <row r="47" spans="1:18">
      <c r="A47" s="426"/>
      <c r="R47" s="428"/>
    </row>
    <row r="48" spans="1:18">
      <c r="A48" s="426"/>
      <c r="R48" s="428"/>
    </row>
    <row r="49" spans="1:18">
      <c r="A49" s="426"/>
      <c r="R49" s="428"/>
    </row>
    <row r="50" spans="1:18">
      <c r="A50" s="426"/>
      <c r="R50" s="428"/>
    </row>
    <row r="51" spans="1:18">
      <c r="A51" s="426"/>
      <c r="R51" s="428"/>
    </row>
    <row r="52" spans="1:18">
      <c r="A52" s="426"/>
      <c r="R52" s="428"/>
    </row>
    <row r="53" spans="1:18">
      <c r="A53" s="426"/>
      <c r="R53" s="428"/>
    </row>
    <row r="54" spans="1:18">
      <c r="A54" s="426"/>
      <c r="R54" s="428"/>
    </row>
    <row r="55" spans="1:18" ht="15" thickBot="1">
      <c r="A55" s="459"/>
      <c r="B55" s="460"/>
      <c r="C55" s="460"/>
      <c r="D55" s="460"/>
      <c r="E55" s="460"/>
      <c r="F55" s="460"/>
      <c r="G55" s="460"/>
      <c r="H55" s="460"/>
      <c r="I55" s="460"/>
      <c r="J55" s="460"/>
      <c r="K55" s="460"/>
      <c r="L55" s="460"/>
      <c r="M55" s="460"/>
      <c r="N55" s="460"/>
      <c r="O55" s="460"/>
      <c r="P55" s="460"/>
      <c r="Q55" s="460"/>
      <c r="R55" s="461"/>
    </row>
  </sheetData>
  <mergeCells count="2">
    <mergeCell ref="A1:R1"/>
    <mergeCell ref="D3:E3"/>
  </mergeCells>
  <phoneticPr fontId="76" type="noConversion"/>
  <conditionalFormatting sqref="D6:D24">
    <cfRule type="cellIs" dxfId="6" priority="2" operator="greaterThan">
      <formula>0</formula>
    </cfRule>
    <cfRule type="cellIs" dxfId="5" priority="3" operator="lessThan">
      <formula>0</formula>
    </cfRule>
  </conditionalFormatting>
  <conditionalFormatting sqref="O6:O24">
    <cfRule type="cellIs" dxfId="4" priority="1" operator="lessThan">
      <formula>$Q6</formula>
    </cfRule>
  </conditionalFormatting>
  <pageMargins left="0.7" right="0.7" top="0.78740157499999996" bottom="0.78740157499999996" header="0.3" footer="0.3"/>
  <pageSetup orientation="portrait" r:id="rId1"/>
  <headerFooter>
    <oddHeader>&amp;L&amp;"Calibri"&amp;10&amp;K000000 INTERNAL&amp;1#_x000D_</oddHeader>
    <oddFooter>&amp;L_x000D_&amp;1#&amp;"Calibri"&amp;10&amp;K000000 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3">
    <pageSetUpPr fitToPage="1"/>
  </sheetPr>
  <dimension ref="A1:I27"/>
  <sheetViews>
    <sheetView workbookViewId="0">
      <pane ySplit="5" topLeftCell="A6" activePane="bottomLeft" state="frozen"/>
      <selection activeCell="B3" sqref="B3"/>
      <selection pane="bottomLeft" activeCell="D35" sqref="D35"/>
    </sheetView>
  </sheetViews>
  <sheetFormatPr baseColWidth="10" defaultColWidth="11" defaultRowHeight="14"/>
  <cols>
    <col min="1" max="1" width="2.5" style="53" customWidth="1"/>
    <col min="2" max="2" width="4.33203125" style="53" customWidth="1"/>
    <col min="3" max="3" width="37" style="53" customWidth="1"/>
    <col min="4" max="4" width="26.1640625" style="53" customWidth="1"/>
    <col min="5" max="5" width="16" style="53" customWidth="1"/>
    <col min="6" max="6" width="9.5" style="53" customWidth="1"/>
    <col min="7" max="7" width="8.33203125" style="53" customWidth="1"/>
    <col min="8" max="8" width="26.5" style="53" customWidth="1"/>
    <col min="9" max="9" width="2.5" style="53" customWidth="1"/>
    <col min="10" max="16384" width="11" style="53"/>
  </cols>
  <sheetData>
    <row r="1" spans="1:9" ht="22" thickBot="1">
      <c r="A1" s="560" t="str">
        <f>CONCATENATE("List of Open Points - ", Datasheet!C9)</f>
        <v xml:space="preserve">List of Open Points - </v>
      </c>
      <c r="B1" s="560"/>
      <c r="C1" s="560"/>
      <c r="D1" s="560"/>
      <c r="E1" s="560"/>
      <c r="F1" s="560"/>
      <c r="G1" s="560"/>
      <c r="H1" s="560"/>
      <c r="I1" s="560"/>
    </row>
    <row r="2" spans="1:9" ht="26" thickBot="1">
      <c r="A2" s="54"/>
      <c r="B2" s="592" t="str">
        <f ca="1">CONCATENATE(RIGHT(Datasheet!A1,LEN(Datasheet!A1)-12)," - LOP of ",TEXT(Datasheet!C4,"MMMM DD, YYYY"))</f>
        <v>Pre-Check - LOP of September 15, 2026</v>
      </c>
      <c r="C2" s="592"/>
      <c r="D2" s="592"/>
      <c r="E2" s="592"/>
      <c r="F2" s="592"/>
      <c r="G2" s="592"/>
      <c r="H2" s="592"/>
      <c r="I2" s="50"/>
    </row>
    <row r="3" spans="1:9" s="23" customFormat="1" ht="8.25" customHeight="1">
      <c r="A3" s="46"/>
      <c r="B3" s="58"/>
      <c r="C3" s="47"/>
      <c r="D3" s="59"/>
      <c r="E3" s="47"/>
      <c r="F3" s="47"/>
      <c r="G3" s="47"/>
      <c r="H3" s="47"/>
      <c r="I3" s="48"/>
    </row>
    <row r="4" spans="1:9" ht="15">
      <c r="A4" s="55"/>
      <c r="B4" s="252" t="s">
        <v>223</v>
      </c>
      <c r="C4" s="252" t="s">
        <v>224</v>
      </c>
      <c r="D4" s="252" t="s">
        <v>225</v>
      </c>
      <c r="E4" s="252" t="s">
        <v>226</v>
      </c>
      <c r="F4" s="252" t="s">
        <v>227</v>
      </c>
      <c r="G4" s="252" t="s">
        <v>81</v>
      </c>
      <c r="H4" s="252" t="s">
        <v>228</v>
      </c>
      <c r="I4" s="56"/>
    </row>
    <row r="5" spans="1:9" s="23" customFormat="1" ht="42">
      <c r="A5" s="253"/>
      <c r="B5" s="254"/>
      <c r="C5" s="254" t="s">
        <v>229</v>
      </c>
      <c r="D5" s="254" t="s">
        <v>230</v>
      </c>
      <c r="E5" s="254" t="s">
        <v>231</v>
      </c>
      <c r="F5" s="254" t="s">
        <v>232</v>
      </c>
      <c r="G5" s="254"/>
      <c r="H5" s="254" t="s">
        <v>233</v>
      </c>
      <c r="I5" s="255"/>
    </row>
    <row r="6" spans="1:9" ht="15" thickBot="1">
      <c r="A6" s="29"/>
      <c r="B6" s="30"/>
      <c r="C6" s="256"/>
      <c r="D6" s="30"/>
      <c r="E6" s="30"/>
      <c r="F6" s="30"/>
      <c r="G6" s="30"/>
      <c r="H6" s="30"/>
      <c r="I6" s="32"/>
    </row>
    <row r="7" spans="1:9">
      <c r="A7" s="55"/>
      <c r="B7" s="60">
        <v>1</v>
      </c>
      <c r="C7" s="257"/>
      <c r="D7" s="258"/>
      <c r="E7" s="259"/>
      <c r="F7" s="260"/>
      <c r="G7" s="259"/>
      <c r="H7" s="259"/>
      <c r="I7" s="56"/>
    </row>
    <row r="8" spans="1:9">
      <c r="A8" s="55"/>
      <c r="B8" s="57">
        <v>2</v>
      </c>
      <c r="C8" s="261"/>
      <c r="D8" s="262"/>
      <c r="E8" s="61"/>
      <c r="F8" s="263"/>
      <c r="G8" s="61"/>
      <c r="H8" s="61"/>
      <c r="I8" s="56"/>
    </row>
    <row r="9" spans="1:9">
      <c r="A9" s="55"/>
      <c r="B9" s="57">
        <v>3</v>
      </c>
      <c r="C9" s="261"/>
      <c r="D9" s="262"/>
      <c r="E9" s="61"/>
      <c r="F9" s="263"/>
      <c r="G9" s="61"/>
      <c r="H9" s="61"/>
      <c r="I9" s="56"/>
    </row>
    <row r="10" spans="1:9">
      <c r="A10" s="55"/>
      <c r="B10" s="57">
        <v>4</v>
      </c>
      <c r="C10" s="261"/>
      <c r="D10" s="262"/>
      <c r="E10" s="61"/>
      <c r="F10" s="263"/>
      <c r="G10" s="61"/>
      <c r="H10" s="61"/>
      <c r="I10" s="56"/>
    </row>
    <row r="11" spans="1:9">
      <c r="A11" s="55"/>
      <c r="B11" s="57">
        <v>5</v>
      </c>
      <c r="C11" s="261"/>
      <c r="D11" s="262"/>
      <c r="E11" s="61"/>
      <c r="F11" s="263"/>
      <c r="G11" s="61"/>
      <c r="H11" s="61"/>
      <c r="I11" s="56"/>
    </row>
    <row r="12" spans="1:9">
      <c r="A12" s="55"/>
      <c r="B12" s="57">
        <v>6</v>
      </c>
      <c r="C12" s="261"/>
      <c r="D12" s="262"/>
      <c r="E12" s="61"/>
      <c r="F12" s="263"/>
      <c r="G12" s="61"/>
      <c r="H12" s="61"/>
      <c r="I12" s="56"/>
    </row>
    <row r="13" spans="1:9">
      <c r="A13" s="55"/>
      <c r="B13" s="57">
        <v>7</v>
      </c>
      <c r="C13" s="261"/>
      <c r="D13" s="262"/>
      <c r="E13" s="61"/>
      <c r="F13" s="263"/>
      <c r="G13" s="61"/>
      <c r="H13" s="61"/>
      <c r="I13" s="56"/>
    </row>
    <row r="14" spans="1:9">
      <c r="A14" s="55"/>
      <c r="B14" s="57">
        <v>8</v>
      </c>
      <c r="C14" s="261"/>
      <c r="D14" s="262"/>
      <c r="E14" s="61"/>
      <c r="F14" s="263"/>
      <c r="G14" s="61"/>
      <c r="H14" s="61"/>
      <c r="I14" s="56"/>
    </row>
    <row r="15" spans="1:9">
      <c r="A15" s="55"/>
      <c r="B15" s="57">
        <v>9</v>
      </c>
      <c r="C15" s="261"/>
      <c r="D15" s="262"/>
      <c r="E15" s="61"/>
      <c r="F15" s="263"/>
      <c r="G15" s="61"/>
      <c r="H15" s="61"/>
      <c r="I15" s="56"/>
    </row>
    <row r="16" spans="1:9">
      <c r="A16" s="55"/>
      <c r="B16" s="57">
        <v>10</v>
      </c>
      <c r="C16" s="261"/>
      <c r="D16" s="262"/>
      <c r="E16" s="61"/>
      <c r="F16" s="263"/>
      <c r="G16" s="61"/>
      <c r="H16" s="61"/>
      <c r="I16" s="56"/>
    </row>
    <row r="17" spans="1:9">
      <c r="A17" s="55"/>
      <c r="B17" s="57">
        <v>11</v>
      </c>
      <c r="C17" s="261"/>
      <c r="D17" s="262"/>
      <c r="E17" s="61"/>
      <c r="F17" s="263"/>
      <c r="G17" s="61"/>
      <c r="H17" s="61"/>
      <c r="I17" s="56"/>
    </row>
    <row r="18" spans="1:9">
      <c r="A18" s="55"/>
      <c r="B18" s="57">
        <v>12</v>
      </c>
      <c r="C18" s="261"/>
      <c r="D18" s="262"/>
      <c r="E18" s="61"/>
      <c r="F18" s="263"/>
      <c r="G18" s="61"/>
      <c r="H18" s="61"/>
      <c r="I18" s="56"/>
    </row>
    <row r="19" spans="1:9">
      <c r="A19" s="55"/>
      <c r="B19" s="57">
        <v>13</v>
      </c>
      <c r="C19" s="261"/>
      <c r="D19" s="262"/>
      <c r="E19" s="61"/>
      <c r="F19" s="263"/>
      <c r="G19" s="61"/>
      <c r="H19" s="61"/>
      <c r="I19" s="56"/>
    </row>
    <row r="20" spans="1:9">
      <c r="A20" s="55"/>
      <c r="B20" s="57">
        <v>14</v>
      </c>
      <c r="C20" s="261"/>
      <c r="D20" s="262"/>
      <c r="E20" s="61"/>
      <c r="F20" s="263"/>
      <c r="G20" s="61"/>
      <c r="H20" s="61"/>
      <c r="I20" s="56"/>
    </row>
    <row r="21" spans="1:9">
      <c r="A21" s="55"/>
      <c r="B21" s="57">
        <v>15</v>
      </c>
      <c r="C21" s="261"/>
      <c r="D21" s="262"/>
      <c r="E21" s="61"/>
      <c r="F21" s="263"/>
      <c r="G21" s="61"/>
      <c r="H21" s="61"/>
      <c r="I21" s="56"/>
    </row>
    <row r="22" spans="1:9">
      <c r="A22" s="55"/>
      <c r="B22" s="57">
        <v>16</v>
      </c>
      <c r="C22" s="261"/>
      <c r="D22" s="262"/>
      <c r="E22" s="61"/>
      <c r="F22" s="263"/>
      <c r="G22" s="61"/>
      <c r="H22" s="61"/>
      <c r="I22" s="56"/>
    </row>
    <row r="23" spans="1:9">
      <c r="A23" s="55"/>
      <c r="B23" s="57">
        <v>17</v>
      </c>
      <c r="C23" s="261"/>
      <c r="D23" s="262"/>
      <c r="E23" s="61"/>
      <c r="F23" s="263"/>
      <c r="G23" s="61"/>
      <c r="H23" s="61"/>
      <c r="I23" s="56"/>
    </row>
    <row r="24" spans="1:9">
      <c r="A24" s="55"/>
      <c r="B24" s="57">
        <v>18</v>
      </c>
      <c r="C24" s="261"/>
      <c r="D24" s="262"/>
      <c r="E24" s="61"/>
      <c r="F24" s="263"/>
      <c r="G24" s="61"/>
      <c r="H24" s="61"/>
      <c r="I24" s="56"/>
    </row>
    <row r="25" spans="1:9">
      <c r="A25" s="55"/>
      <c r="B25" s="57">
        <v>20</v>
      </c>
      <c r="C25" s="261"/>
      <c r="D25" s="262"/>
      <c r="E25" s="61"/>
      <c r="F25" s="263"/>
      <c r="G25" s="61"/>
      <c r="H25" s="61"/>
      <c r="I25" s="56"/>
    </row>
    <row r="26" spans="1:9" s="23" customFormat="1" ht="11" thickBot="1">
      <c r="A26" s="22"/>
      <c r="I26" s="24"/>
    </row>
    <row r="27" spans="1:9" ht="50.5" customHeight="1" thickBot="1">
      <c r="A27" s="493"/>
      <c r="B27" s="593" t="s">
        <v>234</v>
      </c>
      <c r="C27" s="593"/>
      <c r="D27" s="593"/>
      <c r="E27" s="593"/>
      <c r="F27" s="593"/>
      <c r="G27" s="593"/>
      <c r="H27" s="593"/>
      <c r="I27" s="594"/>
    </row>
  </sheetData>
  <mergeCells count="3">
    <mergeCell ref="A1:I1"/>
    <mergeCell ref="B2:H2"/>
    <mergeCell ref="B27:I27"/>
  </mergeCells>
  <phoneticPr fontId="76" type="noConversion"/>
  <printOptions horizontalCentered="1"/>
  <pageMargins left="0.70866141732283472" right="0.70866141732283472" top="0.9055118110236221" bottom="0.78740157480314965" header="0.31496062992125984" footer="0.31496062992125984"/>
  <pageSetup paperSize="9" scale="60" fitToHeight="0" orientation="portrait" r:id="rId1"/>
  <headerFooter>
    <oddHeader>&amp;L&amp;"Calibri"&amp;10&amp;K000000 INTERNAL&amp;1#_x000D_&amp;"Arialri"&amp;11&amp;K000000
&amp;"Calibri,Standard"Kapazitätsplanung und abnahme
&amp;A&amp;R&amp;G</oddHeader>
    <oddFooter>&amp;L&amp;"Audi Type,Standard"&amp;8&amp;F_x000D_&amp;1#&amp;"Calibri"&amp;10&amp;K000000 Internal&amp;C&amp;"Audi Type,Standard"&amp;8&amp;P von &amp;N&amp;R&amp;"Audi Type,Standard"&amp;8&amp;D</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pageSetUpPr fitToPage="1"/>
  </sheetPr>
  <dimension ref="A1:F262"/>
  <sheetViews>
    <sheetView topLeftCell="A45" zoomScaleNormal="100" workbookViewId="0">
      <selection activeCell="D83" sqref="D83"/>
    </sheetView>
  </sheetViews>
  <sheetFormatPr baseColWidth="10" defaultColWidth="11" defaultRowHeight="13"/>
  <cols>
    <col min="1" max="1" width="28.1640625" style="1" bestFit="1" customWidth="1"/>
    <col min="2" max="2" width="6.33203125" style="1" customWidth="1"/>
    <col min="3" max="3" width="1.6640625" style="62" customWidth="1"/>
    <col min="4" max="4" width="27.1640625" style="1" bestFit="1" customWidth="1"/>
    <col min="5" max="5" width="2.5" style="62" bestFit="1" customWidth="1"/>
    <col min="6" max="6" width="20.33203125" style="1" bestFit="1" customWidth="1"/>
    <col min="7" max="16384" width="11" style="1"/>
  </cols>
  <sheetData>
    <row r="1" spans="1:6" s="90" customFormat="1" ht="11">
      <c r="A1" s="89">
        <v>1</v>
      </c>
      <c r="B1" s="90">
        <v>2</v>
      </c>
      <c r="C1" s="89">
        <v>3</v>
      </c>
      <c r="D1" s="89">
        <v>4</v>
      </c>
      <c r="E1" s="90">
        <v>5</v>
      </c>
      <c r="F1" s="89">
        <v>6</v>
      </c>
    </row>
    <row r="2" spans="1:6" ht="18">
      <c r="A2" s="595" t="s">
        <v>79</v>
      </c>
      <c r="B2" s="595"/>
      <c r="D2" s="277" t="s">
        <v>80</v>
      </c>
      <c r="F2" s="277" t="s">
        <v>87</v>
      </c>
    </row>
    <row r="4" spans="1:6" ht="14">
      <c r="A4" s="11" t="s">
        <v>0</v>
      </c>
      <c r="B4" s="11" t="s">
        <v>1</v>
      </c>
      <c r="D4" s="51" t="s">
        <v>86</v>
      </c>
      <c r="F4" s="344" t="s">
        <v>82</v>
      </c>
    </row>
    <row r="5" spans="1:6">
      <c r="A5" s="12" t="s">
        <v>107</v>
      </c>
      <c r="B5" s="11" t="s">
        <v>2</v>
      </c>
      <c r="D5" s="1" t="s">
        <v>147</v>
      </c>
      <c r="F5" s="12" t="s">
        <v>107</v>
      </c>
    </row>
    <row r="6" spans="1:6" ht="14">
      <c r="A6" s="13" t="s">
        <v>240</v>
      </c>
      <c r="B6" s="13"/>
      <c r="D6" s="1" t="s">
        <v>148</v>
      </c>
      <c r="F6" s="490" t="s">
        <v>462</v>
      </c>
    </row>
    <row r="7" spans="1:6" ht="14">
      <c r="A7" s="13" t="s">
        <v>295</v>
      </c>
      <c r="B7" s="13"/>
      <c r="D7" s="1" t="s">
        <v>149</v>
      </c>
      <c r="F7" s="490" t="s">
        <v>463</v>
      </c>
    </row>
    <row r="8" spans="1:6" ht="14">
      <c r="A8" s="13" t="s">
        <v>14</v>
      </c>
      <c r="B8" s="13"/>
      <c r="F8" s="490" t="s">
        <v>464</v>
      </c>
    </row>
    <row r="9" spans="1:6" ht="14">
      <c r="A9" s="13" t="s">
        <v>250</v>
      </c>
      <c r="B9" s="13"/>
      <c r="F9" s="490" t="s">
        <v>465</v>
      </c>
    </row>
    <row r="10" spans="1:6" ht="14">
      <c r="A10" s="13" t="s">
        <v>242</v>
      </c>
      <c r="B10" s="13"/>
      <c r="F10" s="1" t="s">
        <v>410</v>
      </c>
    </row>
    <row r="11" spans="1:6" ht="14">
      <c r="A11" s="13" t="s">
        <v>241</v>
      </c>
      <c r="B11" s="13"/>
      <c r="D11" s="182"/>
      <c r="F11" s="181" t="s">
        <v>411</v>
      </c>
    </row>
    <row r="12" spans="1:6" ht="14">
      <c r="A12" s="13" t="s">
        <v>251</v>
      </c>
      <c r="B12" s="13"/>
      <c r="D12" s="181"/>
      <c r="F12" s="181" t="s">
        <v>412</v>
      </c>
    </row>
    <row r="13" spans="1:6" ht="14">
      <c r="A13" s="13" t="s">
        <v>244</v>
      </c>
      <c r="B13" s="13"/>
      <c r="D13" s="181"/>
      <c r="F13" s="181" t="s">
        <v>424</v>
      </c>
    </row>
    <row r="14" spans="1:6" ht="14">
      <c r="A14" s="13" t="s">
        <v>36</v>
      </c>
      <c r="B14" s="13"/>
      <c r="D14" s="181"/>
      <c r="F14" s="181" t="s">
        <v>425</v>
      </c>
    </row>
    <row r="15" spans="1:6" ht="14">
      <c r="A15" s="13" t="s">
        <v>296</v>
      </c>
      <c r="B15" s="13"/>
      <c r="D15" s="83"/>
      <c r="F15" s="181" t="s">
        <v>426</v>
      </c>
    </row>
    <row r="16" spans="1:6" ht="14">
      <c r="A16" s="13" t="s">
        <v>297</v>
      </c>
      <c r="B16" s="13"/>
      <c r="F16" s="181" t="s">
        <v>427</v>
      </c>
    </row>
    <row r="17" spans="1:6" ht="14">
      <c r="A17" s="13" t="s">
        <v>245</v>
      </c>
      <c r="B17" s="13"/>
      <c r="F17" s="181" t="s">
        <v>428</v>
      </c>
    </row>
    <row r="18" spans="1:6" ht="14">
      <c r="A18" s="13" t="s">
        <v>247</v>
      </c>
      <c r="B18" s="13"/>
      <c r="D18" s="68"/>
      <c r="F18" s="490" t="s">
        <v>417</v>
      </c>
    </row>
    <row r="19" spans="1:6" ht="14">
      <c r="A19" s="13" t="s">
        <v>56</v>
      </c>
      <c r="B19" s="13"/>
      <c r="F19" s="490" t="s">
        <v>418</v>
      </c>
    </row>
    <row r="20" spans="1:6" ht="14">
      <c r="A20" s="13" t="s">
        <v>248</v>
      </c>
      <c r="B20" s="13"/>
      <c r="F20" s="490" t="s">
        <v>419</v>
      </c>
    </row>
    <row r="21" spans="1:6" ht="14">
      <c r="A21" s="13" t="s">
        <v>298</v>
      </c>
      <c r="B21" s="13"/>
      <c r="F21" s="490" t="s">
        <v>420</v>
      </c>
    </row>
    <row r="22" spans="1:6" ht="14">
      <c r="A22" s="13" t="s">
        <v>299</v>
      </c>
      <c r="B22" s="13"/>
      <c r="F22" s="490" t="s">
        <v>421</v>
      </c>
    </row>
    <row r="23" spans="1:6" ht="14">
      <c r="A23" s="13" t="s">
        <v>300</v>
      </c>
      <c r="B23" s="13"/>
      <c r="F23" s="181" t="s">
        <v>413</v>
      </c>
    </row>
    <row r="24" spans="1:6" ht="14">
      <c r="A24" s="13" t="s">
        <v>249</v>
      </c>
      <c r="B24" s="13"/>
      <c r="F24" s="181" t="s">
        <v>414</v>
      </c>
    </row>
    <row r="25" spans="1:6" ht="14">
      <c r="A25" s="13" t="s">
        <v>301</v>
      </c>
      <c r="B25" s="13"/>
      <c r="F25" s="181" t="s">
        <v>415</v>
      </c>
    </row>
    <row r="26" spans="1:6" ht="14">
      <c r="A26" s="13" t="s">
        <v>243</v>
      </c>
      <c r="B26" s="13"/>
      <c r="F26" s="181" t="s">
        <v>416</v>
      </c>
    </row>
    <row r="27" spans="1:6" ht="14">
      <c r="A27" s="13" t="s">
        <v>3</v>
      </c>
      <c r="B27" s="13"/>
      <c r="F27" s="490" t="s">
        <v>422</v>
      </c>
    </row>
    <row r="28" spans="1:6" ht="14">
      <c r="A28" s="13" t="s">
        <v>302</v>
      </c>
      <c r="B28" s="13"/>
      <c r="F28" s="490" t="s">
        <v>423</v>
      </c>
    </row>
    <row r="29" spans="1:6" ht="14">
      <c r="A29" s="13" t="s">
        <v>303</v>
      </c>
      <c r="B29" s="13"/>
      <c r="F29" s="490" t="s">
        <v>429</v>
      </c>
    </row>
    <row r="30" spans="1:6" ht="14">
      <c r="A30" s="13" t="s">
        <v>4</v>
      </c>
      <c r="B30" s="13"/>
      <c r="F30" s="490" t="s">
        <v>430</v>
      </c>
    </row>
    <row r="31" spans="1:6" ht="14">
      <c r="A31" s="13" t="s">
        <v>5</v>
      </c>
      <c r="B31" s="13"/>
      <c r="F31" s="490" t="s">
        <v>431</v>
      </c>
    </row>
    <row r="32" spans="1:6" ht="14">
      <c r="A32" s="13" t="s">
        <v>304</v>
      </c>
      <c r="B32" s="13"/>
      <c r="F32" s="490" t="s">
        <v>432</v>
      </c>
    </row>
    <row r="33" spans="1:6" ht="14">
      <c r="A33" s="13" t="s">
        <v>305</v>
      </c>
      <c r="B33" s="13"/>
      <c r="F33" s="490" t="s">
        <v>433</v>
      </c>
    </row>
    <row r="34" spans="1:6" ht="14">
      <c r="A34" s="13" t="s">
        <v>306</v>
      </c>
      <c r="B34" s="13"/>
      <c r="F34" s="490" t="s">
        <v>434</v>
      </c>
    </row>
    <row r="35" spans="1:6" ht="14">
      <c r="A35" s="13" t="s">
        <v>307</v>
      </c>
      <c r="B35" s="13"/>
      <c r="F35" s="490" t="s">
        <v>435</v>
      </c>
    </row>
    <row r="36" spans="1:6" ht="14">
      <c r="A36" s="13" t="s">
        <v>246</v>
      </c>
      <c r="B36" s="13"/>
      <c r="F36" s="490" t="s">
        <v>436</v>
      </c>
    </row>
    <row r="37" spans="1:6" ht="14">
      <c r="A37" s="13" t="s">
        <v>308</v>
      </c>
      <c r="B37" s="13"/>
      <c r="F37" s="490" t="s">
        <v>437</v>
      </c>
    </row>
    <row r="38" spans="1:6" ht="14">
      <c r="A38" s="13" t="s">
        <v>309</v>
      </c>
      <c r="B38" s="13"/>
      <c r="F38" s="490" t="s">
        <v>438</v>
      </c>
    </row>
    <row r="39" spans="1:6" ht="14">
      <c r="A39" s="13" t="s">
        <v>6</v>
      </c>
      <c r="B39" s="13"/>
      <c r="F39" s="490" t="s">
        <v>439</v>
      </c>
    </row>
    <row r="40" spans="1:6" ht="14">
      <c r="A40" s="13" t="s">
        <v>7</v>
      </c>
      <c r="B40" s="13"/>
      <c r="F40" s="490" t="s">
        <v>440</v>
      </c>
    </row>
    <row r="41" spans="1:6" ht="14">
      <c r="A41" s="13" t="s">
        <v>8</v>
      </c>
      <c r="B41" s="13"/>
      <c r="F41" s="490" t="s">
        <v>441</v>
      </c>
    </row>
    <row r="42" spans="1:6" ht="14">
      <c r="A42" s="13" t="s">
        <v>310</v>
      </c>
      <c r="B42" s="13"/>
      <c r="F42" s="490" t="s">
        <v>442</v>
      </c>
    </row>
    <row r="43" spans="1:6" ht="14">
      <c r="A43" s="13" t="s">
        <v>9</v>
      </c>
      <c r="B43" s="13"/>
      <c r="F43" s="490" t="s">
        <v>443</v>
      </c>
    </row>
    <row r="44" spans="1:6" ht="14">
      <c r="A44" s="13" t="s">
        <v>10</v>
      </c>
      <c r="B44" s="13"/>
      <c r="F44" s="490" t="s">
        <v>444</v>
      </c>
    </row>
    <row r="45" spans="1:6" ht="14">
      <c r="A45" s="13" t="s">
        <v>11</v>
      </c>
      <c r="B45" s="13"/>
      <c r="F45" s="490" t="s">
        <v>445</v>
      </c>
    </row>
    <row r="46" spans="1:6" ht="14">
      <c r="A46" s="13" t="s">
        <v>311</v>
      </c>
      <c r="B46" s="13"/>
      <c r="F46" s="490" t="s">
        <v>446</v>
      </c>
    </row>
    <row r="47" spans="1:6" ht="14">
      <c r="A47" s="13" t="s">
        <v>312</v>
      </c>
      <c r="B47" s="13"/>
      <c r="F47" s="1" t="s">
        <v>447</v>
      </c>
    </row>
    <row r="48" spans="1:6" ht="14">
      <c r="A48" s="13" t="s">
        <v>313</v>
      </c>
      <c r="B48" s="13"/>
      <c r="F48" s="1" t="s">
        <v>448</v>
      </c>
    </row>
    <row r="49" spans="1:6" ht="14">
      <c r="A49" s="13" t="s">
        <v>314</v>
      </c>
      <c r="B49" s="13"/>
      <c r="F49" s="1" t="s">
        <v>449</v>
      </c>
    </row>
    <row r="50" spans="1:6" ht="14">
      <c r="A50" s="13" t="s">
        <v>12</v>
      </c>
      <c r="B50" s="13"/>
      <c r="F50" s="490" t="s">
        <v>450</v>
      </c>
    </row>
    <row r="51" spans="1:6" ht="14">
      <c r="A51" s="13" t="s">
        <v>315</v>
      </c>
      <c r="B51" s="13"/>
      <c r="F51" s="490" t="s">
        <v>451</v>
      </c>
    </row>
    <row r="52" spans="1:6" ht="14">
      <c r="A52" s="13" t="s">
        <v>316</v>
      </c>
      <c r="B52" s="13"/>
      <c r="F52" s="490" t="s">
        <v>452</v>
      </c>
    </row>
    <row r="53" spans="1:6" ht="14">
      <c r="A53" s="13" t="s">
        <v>13</v>
      </c>
      <c r="B53" s="13"/>
      <c r="F53" s="490" t="s">
        <v>453</v>
      </c>
    </row>
    <row r="54" spans="1:6" ht="14">
      <c r="A54" s="13" t="s">
        <v>317</v>
      </c>
      <c r="B54" s="13"/>
      <c r="F54" s="490" t="s">
        <v>454</v>
      </c>
    </row>
    <row r="55" spans="1:6" ht="14">
      <c r="A55" s="13" t="s">
        <v>318</v>
      </c>
      <c r="B55" s="13"/>
      <c r="F55" s="490" t="s">
        <v>455</v>
      </c>
    </row>
    <row r="56" spans="1:6" ht="14">
      <c r="A56" s="13" t="s">
        <v>319</v>
      </c>
      <c r="B56" s="13"/>
      <c r="F56" s="490" t="s">
        <v>456</v>
      </c>
    </row>
    <row r="57" spans="1:6" ht="14">
      <c r="A57" s="13" t="s">
        <v>320</v>
      </c>
      <c r="B57" s="13"/>
      <c r="F57" s="490" t="s">
        <v>457</v>
      </c>
    </row>
    <row r="58" spans="1:6" ht="14">
      <c r="A58" s="13" t="s">
        <v>321</v>
      </c>
      <c r="B58" s="13"/>
      <c r="F58" s="490" t="s">
        <v>458</v>
      </c>
    </row>
    <row r="59" spans="1:6">
      <c r="B59" s="13"/>
      <c r="F59" s="490" t="s">
        <v>459</v>
      </c>
    </row>
    <row r="60" spans="1:6" ht="14">
      <c r="A60" s="13" t="s">
        <v>322</v>
      </c>
      <c r="B60" s="13"/>
      <c r="F60" s="490" t="s">
        <v>460</v>
      </c>
    </row>
    <row r="61" spans="1:6" ht="14">
      <c r="A61" s="13" t="s">
        <v>323</v>
      </c>
      <c r="B61" s="13"/>
      <c r="F61" s="490" t="s">
        <v>461</v>
      </c>
    </row>
    <row r="62" spans="1:6" ht="14">
      <c r="A62" s="13" t="s">
        <v>324</v>
      </c>
      <c r="B62" s="13"/>
      <c r="F62" s="490" t="s">
        <v>466</v>
      </c>
    </row>
    <row r="63" spans="1:6" ht="14">
      <c r="A63" s="13" t="s">
        <v>325</v>
      </c>
      <c r="B63" s="13"/>
      <c r="F63" s="181" t="s">
        <v>467</v>
      </c>
    </row>
    <row r="64" spans="1:6" ht="14">
      <c r="A64" s="13" t="s">
        <v>15</v>
      </c>
      <c r="B64" s="13"/>
      <c r="F64" s="181" t="s">
        <v>468</v>
      </c>
    </row>
    <row r="65" spans="1:6" ht="14">
      <c r="A65" s="13" t="s">
        <v>326</v>
      </c>
      <c r="B65" s="13"/>
      <c r="F65" s="181" t="s">
        <v>469</v>
      </c>
    </row>
    <row r="66" spans="1:6" ht="14">
      <c r="A66" s="13" t="s">
        <v>327</v>
      </c>
      <c r="B66" s="13"/>
      <c r="F66" s="181" t="s">
        <v>470</v>
      </c>
    </row>
    <row r="67" spans="1:6" ht="14">
      <c r="A67" s="13" t="s">
        <v>328</v>
      </c>
      <c r="B67" s="13"/>
      <c r="F67" s="181" t="s">
        <v>471</v>
      </c>
    </row>
    <row r="68" spans="1:6" ht="14">
      <c r="A68" s="13" t="s">
        <v>329</v>
      </c>
      <c r="B68" s="13"/>
      <c r="F68" s="181" t="s">
        <v>472</v>
      </c>
    </row>
    <row r="69" spans="1:6" ht="14">
      <c r="A69" s="13" t="s">
        <v>330</v>
      </c>
      <c r="B69" s="13"/>
      <c r="F69" s="181" t="s">
        <v>473</v>
      </c>
    </row>
    <row r="70" spans="1:6" ht="14">
      <c r="A70" s="13" t="s">
        <v>331</v>
      </c>
      <c r="B70" s="13"/>
      <c r="F70" s="496" t="s">
        <v>474</v>
      </c>
    </row>
    <row r="71" spans="1:6" ht="14">
      <c r="A71" s="13" t="s">
        <v>332</v>
      </c>
      <c r="B71" s="13"/>
      <c r="F71" s="496" t="s">
        <v>475</v>
      </c>
    </row>
    <row r="72" spans="1:6" ht="14">
      <c r="A72" s="13" t="s">
        <v>16</v>
      </c>
      <c r="B72" s="13"/>
      <c r="F72" s="496" t="s">
        <v>476</v>
      </c>
    </row>
    <row r="73" spans="1:6" ht="14">
      <c r="A73" s="13" t="s">
        <v>333</v>
      </c>
      <c r="B73" s="13"/>
      <c r="F73" s="496" t="s">
        <v>477</v>
      </c>
    </row>
    <row r="74" spans="1:6" ht="14">
      <c r="A74" s="13" t="s">
        <v>17</v>
      </c>
      <c r="B74" s="13"/>
      <c r="F74" s="496" t="s">
        <v>478</v>
      </c>
    </row>
    <row r="75" spans="1:6" ht="14">
      <c r="A75" s="13" t="s">
        <v>334</v>
      </c>
      <c r="B75" s="13"/>
      <c r="F75" s="496" t="s">
        <v>479</v>
      </c>
    </row>
    <row r="76" spans="1:6" ht="14">
      <c r="A76" s="13" t="s">
        <v>18</v>
      </c>
      <c r="B76" s="13"/>
      <c r="F76" s="496" t="s">
        <v>480</v>
      </c>
    </row>
    <row r="77" spans="1:6" ht="14">
      <c r="A77" s="13" t="s">
        <v>335</v>
      </c>
      <c r="B77" s="13"/>
      <c r="F77" s="496" t="s">
        <v>481</v>
      </c>
    </row>
    <row r="78" spans="1:6" ht="14">
      <c r="A78" s="13" t="s">
        <v>336</v>
      </c>
      <c r="B78" s="13"/>
      <c r="F78" s="496" t="s">
        <v>482</v>
      </c>
    </row>
    <row r="79" spans="1:6" ht="14">
      <c r="A79" s="13" t="s">
        <v>337</v>
      </c>
      <c r="B79" s="13"/>
      <c r="F79" s="496"/>
    </row>
    <row r="80" spans="1:6" ht="14">
      <c r="A80" s="13" t="s">
        <v>338</v>
      </c>
      <c r="B80" s="13"/>
      <c r="F80" s="496"/>
    </row>
    <row r="81" spans="1:6" ht="14">
      <c r="A81" s="13" t="s">
        <v>339</v>
      </c>
      <c r="B81" s="13"/>
      <c r="F81" s="496"/>
    </row>
    <row r="82" spans="1:6" ht="14">
      <c r="A82" s="13" t="s">
        <v>340</v>
      </c>
      <c r="B82" s="13"/>
      <c r="F82" s="496"/>
    </row>
    <row r="83" spans="1:6" ht="14">
      <c r="A83" s="13" t="s">
        <v>19</v>
      </c>
      <c r="B83" s="13"/>
      <c r="F83" s="237"/>
    </row>
    <row r="84" spans="1:6" ht="14">
      <c r="A84" s="13" t="s">
        <v>341</v>
      </c>
      <c r="B84" s="13"/>
      <c r="F84" s="237"/>
    </row>
    <row r="85" spans="1:6" ht="14">
      <c r="A85" s="13" t="s">
        <v>20</v>
      </c>
      <c r="B85" s="13"/>
      <c r="F85" s="237"/>
    </row>
    <row r="86" spans="1:6" ht="14">
      <c r="A86" s="13" t="s">
        <v>342</v>
      </c>
      <c r="B86" s="13"/>
      <c r="F86" s="237"/>
    </row>
    <row r="87" spans="1:6" ht="14">
      <c r="A87" s="13" t="s">
        <v>21</v>
      </c>
      <c r="B87" s="13"/>
      <c r="F87" s="237"/>
    </row>
    <row r="88" spans="1:6" ht="14">
      <c r="A88" s="13" t="s">
        <v>22</v>
      </c>
      <c r="B88" s="13"/>
      <c r="F88" s="237"/>
    </row>
    <row r="89" spans="1:6" ht="14">
      <c r="A89" s="13" t="s">
        <v>23</v>
      </c>
      <c r="B89" s="13"/>
      <c r="F89" s="237"/>
    </row>
    <row r="90" spans="1:6" ht="14">
      <c r="A90" s="13" t="s">
        <v>343</v>
      </c>
      <c r="B90" s="13"/>
      <c r="F90" s="237"/>
    </row>
    <row r="91" spans="1:6" ht="14">
      <c r="A91" s="13" t="s">
        <v>24</v>
      </c>
      <c r="B91" s="13"/>
      <c r="F91" s="237"/>
    </row>
    <row r="92" spans="1:6" ht="14">
      <c r="A92" s="13" t="s">
        <v>25</v>
      </c>
      <c r="B92" s="13"/>
      <c r="F92" s="237"/>
    </row>
    <row r="93" spans="1:6" ht="14">
      <c r="A93" s="13" t="s">
        <v>26</v>
      </c>
      <c r="B93" s="13"/>
      <c r="F93" s="237"/>
    </row>
    <row r="94" spans="1:6" ht="14">
      <c r="A94" s="13" t="s">
        <v>27</v>
      </c>
      <c r="B94" s="13"/>
      <c r="F94" s="237"/>
    </row>
    <row r="95" spans="1:6" ht="14">
      <c r="A95" s="13" t="s">
        <v>344</v>
      </c>
      <c r="B95" s="13"/>
      <c r="F95" s="237"/>
    </row>
    <row r="96" spans="1:6" ht="14">
      <c r="A96" s="13" t="s">
        <v>345</v>
      </c>
      <c r="B96" s="13"/>
      <c r="F96" s="237"/>
    </row>
    <row r="97" spans="1:6" ht="14">
      <c r="A97" s="13" t="s">
        <v>346</v>
      </c>
      <c r="B97" s="13"/>
      <c r="F97" s="237"/>
    </row>
    <row r="98" spans="1:6" ht="14">
      <c r="A98" s="13" t="s">
        <v>28</v>
      </c>
      <c r="B98" s="13"/>
      <c r="F98" s="237"/>
    </row>
    <row r="99" spans="1:6" ht="14">
      <c r="A99" s="13" t="s">
        <v>347</v>
      </c>
      <c r="B99" s="13"/>
      <c r="F99" s="237"/>
    </row>
    <row r="100" spans="1:6" ht="14">
      <c r="A100" s="13" t="s">
        <v>348</v>
      </c>
      <c r="B100" s="13"/>
      <c r="F100" s="237"/>
    </row>
    <row r="101" spans="1:6" ht="14">
      <c r="A101" s="13" t="s">
        <v>29</v>
      </c>
      <c r="B101" s="13"/>
      <c r="F101" s="237"/>
    </row>
    <row r="102" spans="1:6" ht="14">
      <c r="A102" s="13" t="s">
        <v>349</v>
      </c>
      <c r="B102" s="13"/>
      <c r="F102" s="237"/>
    </row>
    <row r="103" spans="1:6" ht="14">
      <c r="A103" s="13" t="s">
        <v>350</v>
      </c>
      <c r="B103" s="13"/>
      <c r="F103" s="237"/>
    </row>
    <row r="104" spans="1:6" ht="14">
      <c r="A104" s="13" t="s">
        <v>30</v>
      </c>
      <c r="B104" s="13"/>
      <c r="F104" s="237"/>
    </row>
    <row r="105" spans="1:6" ht="14">
      <c r="A105" s="13" t="s">
        <v>351</v>
      </c>
      <c r="B105" s="13"/>
      <c r="F105" s="237"/>
    </row>
    <row r="106" spans="1:6" ht="14">
      <c r="A106" s="13" t="s">
        <v>31</v>
      </c>
      <c r="B106" s="13"/>
      <c r="F106" s="237"/>
    </row>
    <row r="107" spans="1:6" ht="14">
      <c r="A107" s="13" t="s">
        <v>352</v>
      </c>
      <c r="B107" s="13"/>
      <c r="F107" s="237"/>
    </row>
    <row r="108" spans="1:6" ht="14">
      <c r="A108" s="13" t="s">
        <v>353</v>
      </c>
      <c r="B108" s="13"/>
      <c r="F108" s="237"/>
    </row>
    <row r="109" spans="1:6" ht="14">
      <c r="A109" s="13" t="s">
        <v>32</v>
      </c>
      <c r="B109" s="13"/>
      <c r="F109" s="237"/>
    </row>
    <row r="110" spans="1:6" ht="14">
      <c r="A110" s="13" t="s">
        <v>354</v>
      </c>
      <c r="B110" s="13"/>
      <c r="F110" s="237"/>
    </row>
    <row r="111" spans="1:6" ht="14">
      <c r="A111" s="13" t="s">
        <v>355</v>
      </c>
      <c r="B111" s="13"/>
      <c r="F111" s="237"/>
    </row>
    <row r="112" spans="1:6" ht="14">
      <c r="A112" s="13" t="s">
        <v>356</v>
      </c>
      <c r="B112" s="13"/>
      <c r="F112" s="237"/>
    </row>
    <row r="113" spans="1:6" ht="14">
      <c r="A113" s="13" t="s">
        <v>357</v>
      </c>
      <c r="B113" s="13"/>
      <c r="F113" s="237"/>
    </row>
    <row r="114" spans="1:6" ht="14">
      <c r="A114" s="13" t="s">
        <v>358</v>
      </c>
      <c r="B114" s="13"/>
      <c r="F114" s="237"/>
    </row>
    <row r="115" spans="1:6" ht="14">
      <c r="A115" s="13" t="s">
        <v>33</v>
      </c>
      <c r="B115" s="13"/>
      <c r="F115" s="237"/>
    </row>
    <row r="116" spans="1:6" ht="14">
      <c r="A116" s="13" t="s">
        <v>34</v>
      </c>
      <c r="B116" s="13"/>
      <c r="F116" s="237"/>
    </row>
    <row r="117" spans="1:6" ht="14">
      <c r="A117" s="13" t="s">
        <v>359</v>
      </c>
      <c r="B117" s="13"/>
      <c r="F117" s="237"/>
    </row>
    <row r="118" spans="1:6" ht="14">
      <c r="A118" s="13" t="s">
        <v>35</v>
      </c>
      <c r="B118" s="13"/>
      <c r="F118" s="237"/>
    </row>
    <row r="119" spans="1:6" ht="14">
      <c r="A119" s="13" t="s">
        <v>360</v>
      </c>
      <c r="B119" s="13"/>
      <c r="F119" s="237"/>
    </row>
    <row r="120" spans="1:6" ht="14">
      <c r="A120" s="13" t="s">
        <v>361</v>
      </c>
      <c r="B120" s="13"/>
      <c r="F120" s="237"/>
    </row>
    <row r="121" spans="1:6" ht="14">
      <c r="A121" s="13" t="s">
        <v>362</v>
      </c>
      <c r="B121" s="13"/>
      <c r="F121" s="237"/>
    </row>
    <row r="122" spans="1:6" ht="14">
      <c r="A122" s="13" t="s">
        <v>37</v>
      </c>
      <c r="B122" s="13"/>
      <c r="F122" s="237"/>
    </row>
    <row r="123" spans="1:6" ht="14">
      <c r="A123" s="13" t="s">
        <v>38</v>
      </c>
      <c r="B123" s="13"/>
      <c r="F123" s="237"/>
    </row>
    <row r="124" spans="1:6" ht="14">
      <c r="A124" s="13" t="s">
        <v>363</v>
      </c>
      <c r="B124" s="13"/>
      <c r="F124" s="237"/>
    </row>
    <row r="125" spans="1:6" ht="14">
      <c r="A125" s="13" t="s">
        <v>39</v>
      </c>
      <c r="B125" s="13"/>
      <c r="F125" s="237"/>
    </row>
    <row r="126" spans="1:6" ht="14">
      <c r="A126" s="13" t="s">
        <v>40</v>
      </c>
      <c r="B126" s="13"/>
      <c r="F126" s="237"/>
    </row>
    <row r="127" spans="1:6" ht="14">
      <c r="A127" s="13" t="s">
        <v>364</v>
      </c>
      <c r="B127" s="13"/>
      <c r="F127" s="237"/>
    </row>
    <row r="128" spans="1:6" ht="14">
      <c r="A128" s="13" t="s">
        <v>365</v>
      </c>
      <c r="B128" s="13"/>
      <c r="F128" s="237"/>
    </row>
    <row r="129" spans="1:6" ht="14">
      <c r="A129" s="13" t="s">
        <v>41</v>
      </c>
      <c r="B129" s="13"/>
      <c r="F129" s="237"/>
    </row>
    <row r="130" spans="1:6" ht="14">
      <c r="A130" s="13" t="s">
        <v>42</v>
      </c>
      <c r="B130" s="13"/>
      <c r="F130" s="237"/>
    </row>
    <row r="131" spans="1:6" ht="14">
      <c r="A131" s="13" t="s">
        <v>366</v>
      </c>
      <c r="B131" s="13"/>
      <c r="F131" s="237"/>
    </row>
    <row r="132" spans="1:6" ht="14">
      <c r="A132" s="13" t="s">
        <v>43</v>
      </c>
      <c r="B132" s="13"/>
      <c r="F132" s="237"/>
    </row>
    <row r="133" spans="1:6" ht="14">
      <c r="A133" s="13" t="s">
        <v>367</v>
      </c>
      <c r="B133" s="13"/>
      <c r="F133" s="237"/>
    </row>
    <row r="134" spans="1:6" ht="14">
      <c r="A134" s="13" t="s">
        <v>368</v>
      </c>
      <c r="B134" s="13"/>
      <c r="F134" s="237"/>
    </row>
    <row r="135" spans="1:6" ht="14">
      <c r="A135" s="13" t="s">
        <v>369</v>
      </c>
      <c r="B135" s="13"/>
      <c r="F135" s="237"/>
    </row>
    <row r="136" spans="1:6" ht="14">
      <c r="A136" s="13" t="s">
        <v>370</v>
      </c>
      <c r="B136" s="13"/>
      <c r="F136" s="237"/>
    </row>
    <row r="137" spans="1:6" ht="14">
      <c r="A137" s="13" t="s">
        <v>44</v>
      </c>
      <c r="B137" s="13"/>
      <c r="F137" s="237"/>
    </row>
    <row r="138" spans="1:6" ht="14">
      <c r="A138" s="13" t="s">
        <v>45</v>
      </c>
      <c r="B138" s="13"/>
      <c r="F138" s="237"/>
    </row>
    <row r="139" spans="1:6" ht="14">
      <c r="A139" s="13" t="s">
        <v>46</v>
      </c>
      <c r="B139" s="13"/>
      <c r="F139" s="237"/>
    </row>
    <row r="140" spans="1:6" ht="14">
      <c r="A140" s="13" t="s">
        <v>371</v>
      </c>
      <c r="B140" s="13"/>
      <c r="F140" s="237"/>
    </row>
    <row r="141" spans="1:6" ht="14">
      <c r="A141" s="13" t="s">
        <v>47</v>
      </c>
      <c r="B141" s="13"/>
      <c r="F141" s="237"/>
    </row>
    <row r="142" spans="1:6" ht="14">
      <c r="A142" s="13" t="s">
        <v>48</v>
      </c>
      <c r="B142" s="13"/>
      <c r="F142" s="237"/>
    </row>
    <row r="143" spans="1:6" ht="14">
      <c r="A143" s="13" t="s">
        <v>49</v>
      </c>
      <c r="B143" s="13"/>
      <c r="F143" s="237"/>
    </row>
    <row r="144" spans="1:6" ht="14">
      <c r="A144" s="13" t="s">
        <v>372</v>
      </c>
      <c r="B144" s="13"/>
      <c r="F144" s="237"/>
    </row>
    <row r="145" spans="1:6" ht="14">
      <c r="A145" s="13" t="s">
        <v>373</v>
      </c>
      <c r="B145" s="13"/>
      <c r="F145" s="237"/>
    </row>
    <row r="146" spans="1:6" ht="14">
      <c r="A146" s="13" t="s">
        <v>374</v>
      </c>
      <c r="B146" s="13"/>
      <c r="F146" s="237"/>
    </row>
    <row r="147" spans="1:6" ht="14">
      <c r="A147" s="13" t="s">
        <v>50</v>
      </c>
      <c r="B147" s="13"/>
      <c r="F147" s="237"/>
    </row>
    <row r="148" spans="1:6" ht="14">
      <c r="A148" s="13" t="s">
        <v>51</v>
      </c>
      <c r="B148" s="13"/>
      <c r="F148" s="237"/>
    </row>
    <row r="149" spans="1:6" ht="14">
      <c r="A149" s="13" t="s">
        <v>52</v>
      </c>
      <c r="B149" s="13"/>
      <c r="F149" s="237"/>
    </row>
    <row r="150" spans="1:6" ht="14">
      <c r="A150" s="13" t="s">
        <v>375</v>
      </c>
      <c r="B150" s="13"/>
      <c r="F150" s="237"/>
    </row>
    <row r="151" spans="1:6" ht="14">
      <c r="A151" s="13" t="s">
        <v>53</v>
      </c>
      <c r="B151" s="13"/>
      <c r="F151" s="237"/>
    </row>
    <row r="152" spans="1:6" ht="14">
      <c r="A152" s="13" t="s">
        <v>376</v>
      </c>
      <c r="B152" s="13"/>
      <c r="F152" s="237"/>
    </row>
    <row r="153" spans="1:6" ht="14">
      <c r="A153" s="13" t="s">
        <v>54</v>
      </c>
      <c r="B153" s="13"/>
      <c r="F153" s="237"/>
    </row>
    <row r="154" spans="1:6" ht="14">
      <c r="A154" s="13" t="s">
        <v>55</v>
      </c>
      <c r="B154" s="13"/>
      <c r="F154" s="237"/>
    </row>
    <row r="155" spans="1:6" ht="14">
      <c r="A155" s="13" t="s">
        <v>377</v>
      </c>
      <c r="B155" s="13"/>
      <c r="F155" s="237"/>
    </row>
    <row r="156" spans="1:6" ht="14">
      <c r="A156" s="13" t="s">
        <v>57</v>
      </c>
      <c r="B156" s="13"/>
      <c r="F156" s="237"/>
    </row>
    <row r="157" spans="1:6" ht="14">
      <c r="A157" s="13" t="s">
        <v>58</v>
      </c>
      <c r="B157" s="13"/>
      <c r="F157" s="237"/>
    </row>
    <row r="158" spans="1:6" ht="14">
      <c r="A158" s="13" t="s">
        <v>378</v>
      </c>
      <c r="B158" s="13"/>
      <c r="F158" s="237"/>
    </row>
    <row r="159" spans="1:6" ht="14">
      <c r="A159" s="13" t="s">
        <v>379</v>
      </c>
      <c r="B159" s="13"/>
      <c r="F159" s="237"/>
    </row>
    <row r="160" spans="1:6" ht="14">
      <c r="A160" s="13" t="s">
        <v>59</v>
      </c>
      <c r="B160" s="13"/>
      <c r="F160" s="237"/>
    </row>
    <row r="161" spans="1:6" ht="14">
      <c r="A161" s="13" t="s">
        <v>380</v>
      </c>
      <c r="B161" s="13"/>
      <c r="F161" s="237"/>
    </row>
    <row r="162" spans="1:6" ht="14">
      <c r="A162" s="13" t="s">
        <v>60</v>
      </c>
      <c r="B162" s="13"/>
      <c r="F162" s="237"/>
    </row>
    <row r="163" spans="1:6" ht="14">
      <c r="A163" s="13" t="s">
        <v>61</v>
      </c>
      <c r="B163" s="13"/>
      <c r="F163" s="237"/>
    </row>
    <row r="164" spans="1:6" ht="14">
      <c r="A164" s="13" t="s">
        <v>381</v>
      </c>
      <c r="B164" s="13"/>
      <c r="F164" s="237"/>
    </row>
    <row r="165" spans="1:6" ht="14">
      <c r="A165" s="13" t="s">
        <v>382</v>
      </c>
      <c r="B165" s="13"/>
      <c r="F165" s="237"/>
    </row>
    <row r="166" spans="1:6" ht="14">
      <c r="A166" s="13" t="s">
        <v>62</v>
      </c>
      <c r="B166" s="13"/>
      <c r="F166" s="237"/>
    </row>
    <row r="167" spans="1:6" ht="14">
      <c r="A167" s="13" t="s">
        <v>383</v>
      </c>
      <c r="B167" s="13"/>
      <c r="F167" s="237"/>
    </row>
    <row r="168" spans="1:6" ht="14">
      <c r="A168" s="13" t="s">
        <v>63</v>
      </c>
      <c r="B168" s="13"/>
      <c r="F168" s="237"/>
    </row>
    <row r="169" spans="1:6" ht="14">
      <c r="A169" s="13" t="s">
        <v>384</v>
      </c>
      <c r="B169" s="13"/>
      <c r="F169" s="237"/>
    </row>
    <row r="170" spans="1:6" ht="14">
      <c r="A170" s="13" t="s">
        <v>385</v>
      </c>
      <c r="B170" s="13"/>
      <c r="F170" s="237"/>
    </row>
    <row r="171" spans="1:6" ht="14">
      <c r="A171" s="13" t="s">
        <v>64</v>
      </c>
      <c r="B171" s="13"/>
      <c r="F171" s="237"/>
    </row>
    <row r="172" spans="1:6" ht="14">
      <c r="A172" s="13" t="s">
        <v>386</v>
      </c>
      <c r="B172" s="13"/>
      <c r="F172" s="237"/>
    </row>
    <row r="173" spans="1:6" ht="14">
      <c r="A173" s="13" t="s">
        <v>387</v>
      </c>
      <c r="B173" s="13"/>
      <c r="F173" s="237"/>
    </row>
    <row r="174" spans="1:6" ht="14">
      <c r="A174" s="13" t="s">
        <v>388</v>
      </c>
      <c r="B174" s="13"/>
      <c r="F174" s="237"/>
    </row>
    <row r="175" spans="1:6" ht="14">
      <c r="A175" s="13" t="s">
        <v>65</v>
      </c>
      <c r="B175" s="13"/>
      <c r="F175" s="237"/>
    </row>
    <row r="176" spans="1:6" ht="14">
      <c r="A176" s="13" t="s">
        <v>66</v>
      </c>
      <c r="B176" s="13"/>
      <c r="F176" s="237"/>
    </row>
    <row r="177" spans="1:6" ht="14">
      <c r="A177" s="13" t="s">
        <v>389</v>
      </c>
      <c r="B177" s="13"/>
      <c r="F177" s="237"/>
    </row>
    <row r="178" spans="1:6" ht="14">
      <c r="A178" s="13" t="s">
        <v>390</v>
      </c>
      <c r="B178" s="13"/>
      <c r="F178" s="237"/>
    </row>
    <row r="179" spans="1:6" ht="14">
      <c r="A179" s="13" t="s">
        <v>391</v>
      </c>
      <c r="B179" s="13"/>
      <c r="F179" s="237"/>
    </row>
    <row r="180" spans="1:6" ht="14">
      <c r="A180" s="13" t="s">
        <v>392</v>
      </c>
      <c r="B180" s="13"/>
      <c r="F180" s="237"/>
    </row>
    <row r="181" spans="1:6" ht="14">
      <c r="A181" s="13" t="s">
        <v>393</v>
      </c>
      <c r="B181" s="13"/>
      <c r="F181" s="237"/>
    </row>
    <row r="182" spans="1:6" ht="14">
      <c r="A182" s="13" t="s">
        <v>67</v>
      </c>
      <c r="B182" s="13"/>
      <c r="F182" s="237"/>
    </row>
    <row r="183" spans="1:6" ht="14">
      <c r="A183" s="13" t="s">
        <v>394</v>
      </c>
      <c r="B183" s="13"/>
      <c r="F183" s="237"/>
    </row>
    <row r="184" spans="1:6" ht="14">
      <c r="A184" s="13" t="s">
        <v>395</v>
      </c>
      <c r="B184" s="13"/>
      <c r="F184" s="237"/>
    </row>
    <row r="185" spans="1:6" ht="14">
      <c r="A185" s="13" t="s">
        <v>68</v>
      </c>
      <c r="B185" s="13"/>
      <c r="F185" s="237"/>
    </row>
    <row r="186" spans="1:6" ht="14">
      <c r="A186" s="13" t="s">
        <v>396</v>
      </c>
      <c r="B186" s="13"/>
      <c r="F186" s="237"/>
    </row>
    <row r="187" spans="1:6" ht="14">
      <c r="A187" s="13" t="s">
        <v>69</v>
      </c>
      <c r="B187" s="13"/>
      <c r="F187" s="237"/>
    </row>
    <row r="188" spans="1:6" ht="14">
      <c r="A188" s="13" t="s">
        <v>70</v>
      </c>
      <c r="B188" s="13"/>
      <c r="F188" s="237"/>
    </row>
    <row r="189" spans="1:6" ht="14">
      <c r="A189" s="13" t="s">
        <v>397</v>
      </c>
      <c r="B189" s="13"/>
      <c r="F189" s="237"/>
    </row>
    <row r="190" spans="1:6" ht="14">
      <c r="A190" s="13" t="s">
        <v>398</v>
      </c>
      <c r="B190" s="13"/>
      <c r="F190" s="237"/>
    </row>
    <row r="191" spans="1:6" ht="14">
      <c r="A191" s="13" t="s">
        <v>301</v>
      </c>
      <c r="B191" s="13"/>
      <c r="F191" s="237"/>
    </row>
    <row r="192" spans="1:6" ht="14">
      <c r="A192" s="13" t="s">
        <v>71</v>
      </c>
      <c r="B192" s="13"/>
      <c r="F192" s="237"/>
    </row>
    <row r="193" spans="1:6" ht="14">
      <c r="A193" s="13" t="s">
        <v>72</v>
      </c>
      <c r="B193" s="13"/>
      <c r="F193" s="237"/>
    </row>
    <row r="194" spans="1:6" ht="14">
      <c r="A194" s="13" t="s">
        <v>73</v>
      </c>
      <c r="B194" s="13"/>
      <c r="F194" s="237"/>
    </row>
    <row r="195" spans="1:6" ht="14">
      <c r="A195" s="13" t="s">
        <v>74</v>
      </c>
      <c r="B195" s="13"/>
      <c r="F195" s="237"/>
    </row>
    <row r="196" spans="1:6" ht="14">
      <c r="A196" s="13" t="s">
        <v>399</v>
      </c>
      <c r="B196" s="13"/>
      <c r="F196" s="237"/>
    </row>
    <row r="197" spans="1:6" ht="14">
      <c r="A197" s="13" t="s">
        <v>75</v>
      </c>
      <c r="B197" s="13"/>
      <c r="F197" s="237"/>
    </row>
    <row r="198" spans="1:6" ht="14">
      <c r="A198" s="13" t="s">
        <v>400</v>
      </c>
      <c r="B198" s="13"/>
      <c r="F198" s="237"/>
    </row>
    <row r="199" spans="1:6" ht="14">
      <c r="A199" s="13" t="s">
        <v>401</v>
      </c>
      <c r="B199" s="13"/>
      <c r="F199" s="237"/>
    </row>
    <row r="200" spans="1:6" ht="14">
      <c r="A200" s="13" t="s">
        <v>76</v>
      </c>
      <c r="B200" s="13"/>
      <c r="F200" s="237"/>
    </row>
    <row r="201" spans="1:6" ht="14">
      <c r="A201" s="13" t="s">
        <v>402</v>
      </c>
      <c r="B201" s="13"/>
      <c r="F201" s="237"/>
    </row>
    <row r="202" spans="1:6" ht="14">
      <c r="A202" s="13" t="s">
        <v>77</v>
      </c>
      <c r="B202" s="13"/>
      <c r="F202" s="237"/>
    </row>
    <row r="203" spans="1:6" ht="14">
      <c r="A203" s="13" t="s">
        <v>403</v>
      </c>
      <c r="B203" s="13"/>
      <c r="F203" s="237"/>
    </row>
    <row r="204" spans="1:6" ht="14">
      <c r="A204" s="13" t="s">
        <v>404</v>
      </c>
      <c r="B204" s="13"/>
      <c r="F204" s="237"/>
    </row>
    <row r="205" spans="1:6" ht="14">
      <c r="A205" s="13" t="s">
        <v>405</v>
      </c>
      <c r="B205" s="13"/>
      <c r="F205" s="237"/>
    </row>
    <row r="206" spans="1:6" ht="14">
      <c r="A206" s="13" t="s">
        <v>78</v>
      </c>
      <c r="B206" s="13"/>
      <c r="F206" s="237"/>
    </row>
    <row r="207" spans="1:6" ht="14">
      <c r="A207" s="13"/>
      <c r="B207" s="13"/>
      <c r="F207" s="237"/>
    </row>
    <row r="208" spans="1:6" ht="14">
      <c r="A208" s="13"/>
      <c r="B208" s="13"/>
      <c r="F208" s="237"/>
    </row>
    <row r="209" spans="1:6" ht="14">
      <c r="A209" s="13"/>
      <c r="B209" s="13"/>
      <c r="F209" s="237"/>
    </row>
    <row r="210" spans="1:6" ht="14">
      <c r="A210" s="13"/>
      <c r="B210" s="13"/>
      <c r="F210" s="237"/>
    </row>
    <row r="211" spans="1:6" ht="14">
      <c r="A211" s="13"/>
      <c r="B211" s="13"/>
      <c r="F211" s="237"/>
    </row>
    <row r="212" spans="1:6" ht="14">
      <c r="A212" s="13"/>
      <c r="B212" s="13"/>
      <c r="F212" s="237"/>
    </row>
    <row r="213" spans="1:6" ht="14">
      <c r="A213" s="13"/>
      <c r="B213" s="13"/>
      <c r="F213" s="237"/>
    </row>
    <row r="214" spans="1:6" ht="14">
      <c r="A214" s="13"/>
      <c r="B214" s="13"/>
      <c r="F214" s="237"/>
    </row>
    <row r="215" spans="1:6" ht="14">
      <c r="A215" s="13"/>
      <c r="B215" s="13"/>
      <c r="F215" s="237"/>
    </row>
    <row r="216" spans="1:6" ht="14">
      <c r="A216" s="13"/>
      <c r="B216" s="13"/>
      <c r="F216" s="237"/>
    </row>
    <row r="217" spans="1:6" ht="14">
      <c r="A217" s="13"/>
      <c r="B217" s="13"/>
      <c r="F217" s="237"/>
    </row>
    <row r="218" spans="1:6" ht="14">
      <c r="A218" s="13"/>
      <c r="B218" s="13"/>
      <c r="F218" s="237"/>
    </row>
    <row r="219" spans="1:6" ht="14">
      <c r="A219" s="13"/>
      <c r="B219" s="13"/>
      <c r="F219" s="237"/>
    </row>
    <row r="220" spans="1:6" ht="14">
      <c r="A220" s="13"/>
      <c r="B220" s="13"/>
      <c r="F220" s="237"/>
    </row>
    <row r="221" spans="1:6" ht="14">
      <c r="A221" s="13"/>
      <c r="B221" s="13"/>
      <c r="F221" s="237"/>
    </row>
    <row r="222" spans="1:6" ht="14">
      <c r="A222" s="13"/>
      <c r="B222" s="13"/>
      <c r="F222" s="237"/>
    </row>
    <row r="223" spans="1:6" ht="14">
      <c r="A223" s="13"/>
      <c r="B223" s="13"/>
      <c r="F223" s="237"/>
    </row>
    <row r="224" spans="1:6" ht="14">
      <c r="A224" s="13"/>
      <c r="B224" s="13"/>
      <c r="F224" s="237"/>
    </row>
    <row r="225" spans="1:6" ht="14">
      <c r="A225" s="13"/>
      <c r="B225" s="13"/>
      <c r="F225" s="237"/>
    </row>
    <row r="226" spans="1:6" ht="14">
      <c r="A226" s="13"/>
      <c r="B226" s="13"/>
      <c r="F226" s="237"/>
    </row>
    <row r="227" spans="1:6" ht="14">
      <c r="A227" s="13"/>
      <c r="B227" s="13"/>
      <c r="F227" s="237"/>
    </row>
    <row r="228" spans="1:6" ht="14">
      <c r="A228" s="13"/>
      <c r="B228" s="13"/>
      <c r="F228" s="237"/>
    </row>
    <row r="229" spans="1:6" ht="14">
      <c r="A229" s="13"/>
      <c r="B229" s="13"/>
      <c r="F229" s="237"/>
    </row>
    <row r="230" spans="1:6" ht="14">
      <c r="A230" s="13"/>
      <c r="B230" s="13"/>
      <c r="F230" s="237"/>
    </row>
    <row r="231" spans="1:6" ht="14">
      <c r="A231" s="13"/>
      <c r="B231" s="13"/>
      <c r="F231" s="237"/>
    </row>
    <row r="232" spans="1:6" ht="14">
      <c r="A232" s="13"/>
      <c r="B232" s="13"/>
      <c r="F232" s="237"/>
    </row>
    <row r="233" spans="1:6" ht="14">
      <c r="A233" s="13"/>
      <c r="B233" s="13"/>
      <c r="F233" s="237"/>
    </row>
    <row r="234" spans="1:6" ht="14">
      <c r="A234" s="13"/>
      <c r="B234" s="13"/>
      <c r="F234" s="237"/>
    </row>
    <row r="235" spans="1:6" ht="14">
      <c r="A235" s="13"/>
      <c r="B235" s="13"/>
      <c r="F235" s="237"/>
    </row>
    <row r="236" spans="1:6" ht="14">
      <c r="A236" s="13"/>
      <c r="B236" s="13"/>
      <c r="F236" s="237"/>
    </row>
    <row r="237" spans="1:6" ht="14">
      <c r="A237" s="13"/>
      <c r="B237" s="13"/>
      <c r="F237" s="237"/>
    </row>
    <row r="238" spans="1:6" ht="14">
      <c r="A238" s="13"/>
      <c r="B238" s="13"/>
      <c r="F238" s="237"/>
    </row>
    <row r="239" spans="1:6" ht="14">
      <c r="A239" s="13"/>
      <c r="B239" s="13"/>
      <c r="F239" s="237"/>
    </row>
    <row r="240" spans="1:6" ht="14">
      <c r="A240" s="13"/>
      <c r="B240" s="13"/>
      <c r="F240" s="237"/>
    </row>
    <row r="241" spans="1:6" ht="14">
      <c r="A241" s="13"/>
      <c r="B241" s="13"/>
      <c r="F241" s="237"/>
    </row>
    <row r="242" spans="1:6" ht="14">
      <c r="A242" s="13"/>
      <c r="B242" s="13"/>
      <c r="F242" s="237"/>
    </row>
    <row r="243" spans="1:6" ht="14">
      <c r="F243" s="237"/>
    </row>
    <row r="244" spans="1:6" ht="14">
      <c r="F244" s="237"/>
    </row>
    <row r="245" spans="1:6" ht="14">
      <c r="F245" s="237"/>
    </row>
    <row r="246" spans="1:6" ht="14">
      <c r="F246" s="237"/>
    </row>
    <row r="247" spans="1:6" ht="14">
      <c r="F247" s="237"/>
    </row>
    <row r="248" spans="1:6" ht="14">
      <c r="F248" s="237"/>
    </row>
    <row r="249" spans="1:6" ht="14">
      <c r="F249" s="237"/>
    </row>
    <row r="250" spans="1:6" ht="14">
      <c r="F250" s="237"/>
    </row>
    <row r="251" spans="1:6" ht="14">
      <c r="F251" s="237"/>
    </row>
    <row r="252" spans="1:6" ht="14">
      <c r="F252" s="237"/>
    </row>
    <row r="253" spans="1:6" ht="14">
      <c r="F253" s="237"/>
    </row>
    <row r="254" spans="1:6" ht="14">
      <c r="F254" s="237"/>
    </row>
    <row r="255" spans="1:6" ht="14">
      <c r="F255" s="237"/>
    </row>
    <row r="256" spans="1:6" ht="14">
      <c r="F256" s="237"/>
    </row>
    <row r="257" spans="6:6" ht="14">
      <c r="F257" s="237"/>
    </row>
    <row r="258" spans="6:6" ht="14">
      <c r="F258" s="237"/>
    </row>
    <row r="259" spans="6:6" ht="14">
      <c r="F259" s="237"/>
    </row>
    <row r="260" spans="6:6" ht="14">
      <c r="F260" s="237"/>
    </row>
    <row r="261" spans="6:6" ht="14">
      <c r="F261" s="237"/>
    </row>
    <row r="262" spans="6:6" ht="14">
      <c r="F262" s="237"/>
    </row>
  </sheetData>
  <mergeCells count="1">
    <mergeCell ref="A2:B2"/>
  </mergeCells>
  <phoneticPr fontId="76" type="noConversion"/>
  <conditionalFormatting sqref="F6:F64">
    <cfRule type="cellIs" dxfId="3" priority="4" stopIfTrue="1" operator="equal">
      <formula>"???"</formula>
    </cfRule>
  </conditionalFormatting>
  <conditionalFormatting sqref="F63:F64">
    <cfRule type="cellIs" dxfId="2" priority="3" stopIfTrue="1" operator="equal">
      <formula>"???"</formula>
    </cfRule>
  </conditionalFormatting>
  <conditionalFormatting sqref="F65:F69">
    <cfRule type="cellIs" dxfId="1" priority="2" stopIfTrue="1" operator="equal">
      <formula>"???"</formula>
    </cfRule>
  </conditionalFormatting>
  <conditionalFormatting sqref="F65:F69">
    <cfRule type="cellIs" dxfId="0" priority="1" stopIfTrue="1" operator="equal">
      <formula>"???"</formula>
    </cfRule>
  </conditionalFormatting>
  <printOptions horizontalCentered="1"/>
  <pageMargins left="0.70866141732283472" right="0.70866141732283472" top="0.9055118110236221" bottom="0.78740157480314965" header="0.31496062992125984" footer="0.31496062992125984"/>
  <pageSetup paperSize="9" scale="20" orientation="portrait" r:id="rId1"/>
  <headerFooter>
    <oddHeader>&amp;L&amp;"Calibri"&amp;10&amp;K000000 INTERNAL&amp;1#_x000D_&amp;"Arialri"&amp;11&amp;K000000&amp;"Audi Type,Fett"Logistische Lieferantenbewertung&amp;"Audi Type,Standard"
&amp;A&amp;R&amp;G&amp;L&amp;"Audi Type,Fett"Logistische Lieferantenbewertung&amp;"Audi Type,Standard"
&amp;A</oddHeader>
    <oddFooter>&amp;L&amp;"Audi Type,Standard"&amp;8&amp;F_x000D_&amp;1#&amp;"Calibri"&amp;10&amp;K000000 Internal&amp;C&amp;"Audi Type,Standard"&amp;8&amp;P von &amp;N&amp;R&amp;"Audi Type,Standard"&amp;8Audi AG - &amp;D</oddFooter>
  </headerFooter>
  <legacyDrawingHF r:id="rId2"/>
</worksheet>
</file>

<file path=docMetadata/LabelInfo.xml><?xml version="1.0" encoding="utf-8"?>
<clbl:labelList xmlns:clbl="http://schemas.microsoft.com/office/2020/mipLabelMetadata">
  <clbl:label id="{a6b84135-ab90-4b03-a415-784f8f15a7f1}" enabled="1" method="Privileged" siteId="{2882be50-2012-4d88-ac86-544124e120c8}" removed="0"/>
  <clbl:label id="{b0ff92c5-92ff-43fe-a760-6a9303f9073d}" enabled="1" method="Standard" siteId="{1272ef7d-0a4c-4c35-8f4b-416e283c5d59}" contentBits="3" removed="0"/>
</clbl:labelLis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工作表</vt:lpstr>
      </vt:variant>
      <vt:variant>
        <vt:i4>7</vt:i4>
      </vt:variant>
      <vt:variant>
        <vt:lpstr>命名范围</vt:lpstr>
      </vt:variant>
      <vt:variant>
        <vt:i4>13</vt:i4>
      </vt:variant>
    </vt:vector>
  </HeadingPairs>
  <TitlesOfParts>
    <vt:vector size="20" baseType="lpstr">
      <vt:lpstr>Datasheet</vt:lpstr>
      <vt:lpstr>Capacity overview</vt:lpstr>
      <vt:lpstr>Capacity Planning</vt:lpstr>
      <vt:lpstr>Capacity Calculation</vt:lpstr>
      <vt:lpstr>Cycle time monitoring</vt:lpstr>
      <vt:lpstr>LOP</vt:lpstr>
      <vt:lpstr>Datenquelle</vt:lpstr>
      <vt:lpstr>Abnahme</vt:lpstr>
      <vt:lpstr>bedingterfuellt</vt:lpstr>
      <vt:lpstr>erfuellt</vt:lpstr>
      <vt:lpstr>Ergebnis</vt:lpstr>
      <vt:lpstr>nichterfuellt</vt:lpstr>
      <vt:lpstr>'Capacity Calculation'!Print_Area</vt:lpstr>
      <vt:lpstr>'Capacity overview'!Print_Area</vt:lpstr>
      <vt:lpstr>'Capacity Planning'!Print_Area</vt:lpstr>
      <vt:lpstr>Datasheet!Print_Area</vt:lpstr>
      <vt:lpstr>LOP!Print_Area</vt:lpstr>
      <vt:lpstr>'Capacity Calculation'!Print_Titles</vt:lpstr>
      <vt:lpstr>'Capacity Planning'!Print_Titles</vt:lpstr>
      <vt:lpstr>LOP!Print_Titles</vt:lpstr>
    </vt:vector>
  </TitlesOfParts>
  <Company>AUDI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Audit Checkliste</dc:title>
  <dc:creator>Floesser, Philipp (N/PL-72)</dc:creator>
  <cp:lastModifiedBy>Li Jiajun</cp:lastModifiedBy>
  <cp:lastPrinted>2024-02-02T20:32:07Z</cp:lastPrinted>
  <dcterms:created xsi:type="dcterms:W3CDTF">2008-04-16T07:43:33Z</dcterms:created>
  <dcterms:modified xsi:type="dcterms:W3CDTF">2026-09-15T09:24:00Z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6b84135-ab90-4b03-a415-784f8f15a7f1_Enabled">
    <vt:lpwstr>true</vt:lpwstr>
  </property>
  <property fmtid="{D5CDD505-2E9C-101B-9397-08002B2CF9AE}" pid="3" name="MSIP_Label_a6b84135-ab90-4b03-a415-784f8f15a7f1_SetDate">
    <vt:lpwstr>2021-12-13T10:08:37Z</vt:lpwstr>
  </property>
  <property fmtid="{D5CDD505-2E9C-101B-9397-08002B2CF9AE}" pid="4" name="MSIP_Label_a6b84135-ab90-4b03-a415-784f8f15a7f1_Method">
    <vt:lpwstr>Privileged</vt:lpwstr>
  </property>
  <property fmtid="{D5CDD505-2E9C-101B-9397-08002B2CF9AE}" pid="5" name="MSIP_Label_a6b84135-ab90-4b03-a415-784f8f15a7f1_Name">
    <vt:lpwstr>a6b84135-ab90-4b03-a415-784f8f15a7f1</vt:lpwstr>
  </property>
  <property fmtid="{D5CDD505-2E9C-101B-9397-08002B2CF9AE}" pid="6" name="MSIP_Label_a6b84135-ab90-4b03-a415-784f8f15a7f1_SiteId">
    <vt:lpwstr>2882be50-2012-4d88-ac86-544124e120c8</vt:lpwstr>
  </property>
  <property fmtid="{D5CDD505-2E9C-101B-9397-08002B2CF9AE}" pid="7" name="MSIP_Label_a6b84135-ab90-4b03-a415-784f8f15a7f1_ContentBits">
    <vt:lpwstr>0</vt:lpwstr>
  </property>
  <property fmtid="{D5CDD505-2E9C-101B-9397-08002B2CF9AE}" pid="8" name="MSIP_Label_126ea00b-4117-42cd-b507-4f042240423e_Enabled">
    <vt:lpwstr>true</vt:lpwstr>
  </property>
  <property fmtid="{D5CDD505-2E9C-101B-9397-08002B2CF9AE}" pid="9" name="MSIP_Label_126ea00b-4117-42cd-b507-4f042240423e_SetDate">
    <vt:lpwstr>2026-01-20T01:26:35Z</vt:lpwstr>
  </property>
  <property fmtid="{D5CDD505-2E9C-101B-9397-08002B2CF9AE}" pid="10" name="MSIP_Label_126ea00b-4117-42cd-b507-4f042240423e_Method">
    <vt:lpwstr>Standard</vt:lpwstr>
  </property>
  <property fmtid="{D5CDD505-2E9C-101B-9397-08002B2CF9AE}" pid="11" name="MSIP_Label_126ea00b-4117-42cd-b507-4f042240423e_Name">
    <vt:lpwstr>Internal</vt:lpwstr>
  </property>
  <property fmtid="{D5CDD505-2E9C-101B-9397-08002B2CF9AE}" pid="12" name="MSIP_Label_126ea00b-4117-42cd-b507-4f042240423e_SiteId">
    <vt:lpwstr>3d7c7980-9f6d-438d-8e73-5159b3d6b689</vt:lpwstr>
  </property>
  <property fmtid="{D5CDD505-2E9C-101B-9397-08002B2CF9AE}" pid="13" name="MSIP_Label_126ea00b-4117-42cd-b507-4f042240423e_ActionId">
    <vt:lpwstr>d04124b5-5510-489d-8ed4-f0b28334f497</vt:lpwstr>
  </property>
  <property fmtid="{D5CDD505-2E9C-101B-9397-08002B2CF9AE}" pid="14" name="MSIP_Label_126ea00b-4117-42cd-b507-4f042240423e_ContentBits">
    <vt:lpwstr>2</vt:lpwstr>
  </property>
  <property fmtid="{D5CDD505-2E9C-101B-9397-08002B2CF9AE}" pid="15" name="MSIP_Label_126ea00b-4117-42cd-b507-4f042240423e_Tag">
    <vt:lpwstr>10, 3, 0, 1</vt:lpwstr>
  </property>
</Properties>
</file>