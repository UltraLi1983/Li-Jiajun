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lijiajun/Documents/GitHub/python-document/审核系统+运营系统架构/VDA6.8/VDA6.8 assessment sheets/VW group VDA6.8 sheet/"/>
    </mc:Choice>
  </mc:AlternateContent>
  <xr:revisionPtr revIDLastSave="0" documentId="13_ncr:1_{AC03F51D-57E3-5E43-920B-136CE0F4AB50}" xr6:coauthVersionLast="47" xr6:coauthVersionMax="47" xr10:uidLastSave="{00000000-0000-0000-0000-000000000000}"/>
  <bookViews>
    <workbookView xWindow="0" yWindow="660" windowWidth="30240" windowHeight="17400" activeTab="4" xr2:uid="{43559E81-FE22-4AEF-8820-76253075D8AF}"/>
  </bookViews>
  <sheets>
    <sheet name="Link list" sheetId="18" r:id="rId1"/>
    <sheet name="Datasheet" sheetId="6" r:id="rId2"/>
    <sheet name="Evaluationsheet" sheetId="15" r:id="rId3"/>
    <sheet name="Remarks" sheetId="16" r:id="rId4"/>
    <sheet name="Source" sheetId="3" r:id="rId5"/>
    <sheet name="L1 - Project management" sheetId="5" r:id="rId6"/>
    <sheet name="L2 - Planning" sheetId="8" r:id="rId7"/>
    <sheet name="L3 - Suppliermgt." sheetId="10" r:id="rId8"/>
    <sheet name="L4 - Procurement logistics" sheetId="11" r:id="rId9"/>
    <sheet name="L5 - Transport logistics" sheetId="12" r:id="rId10"/>
    <sheet name="L6 -  In-house logistics" sheetId="14" r:id="rId11"/>
    <sheet name="L7 - Customer management" sheetId="13" r:id="rId12"/>
    <sheet name="Radar chart" sheetId="19" r:id="rId13"/>
    <sheet name="LOP" sheetId="17" r:id="rId14"/>
  </sheets>
  <externalReferences>
    <externalReference r:id="rId15"/>
    <externalReference r:id="rId16"/>
    <externalReference r:id="rId17"/>
    <externalReference r:id="rId18"/>
  </externalReferences>
  <definedNames>
    <definedName name="_xlnm._FilterDatabase" localSheetId="0" hidden="1">'Link list'!$B$1:$F$68</definedName>
    <definedName name="_xleta.AND" hidden="1" xlm="1">#NAME?</definedName>
    <definedName name="_xleta.NOT" hidden="1" xlm="1">#NAME?</definedName>
    <definedName name="A_min">0.9</definedName>
    <definedName name="B_min">0.8</definedName>
    <definedName name="BewertungsListe" localSheetId="0">[1]Source!$B$60:$B$65</definedName>
    <definedName name="BewertungsListe" localSheetId="12">[2]Source!$B$60:$B$65</definedName>
    <definedName name="BewertungsListe">Source!$B$60:$B$65</definedName>
    <definedName name="Ergebnis" comment="Audit-Ergebnis in %" localSheetId="12">#REF!</definedName>
    <definedName name="Ergebnis" comment="Audit-Ergebnis in %">[3]Evaluationsheet!$C$17</definedName>
    <definedName name="Max_Nichtantworten" comment="Anzahl maximal nicht beantworteter Fragen pro Modul" localSheetId="12">#REF!</definedName>
    <definedName name="Max_Nichtantworten" comment="Anzahl maximal nicht beantworteter Fragen pro Modul">[3]Datasheet!$L$11</definedName>
    <definedName name="Modul1_Bew" localSheetId="12">[4]Datenquelle!$G$5</definedName>
    <definedName name="Modul1_Bew">[3]Datenquelle!$G$5</definedName>
    <definedName name="Modul2_Bew" localSheetId="12">[4]Datenquelle!$L$5</definedName>
    <definedName name="Modul2_Bew">[3]Datenquelle!$L$5</definedName>
    <definedName name="Modul3_Bew" localSheetId="12">[4]Datenquelle!$Q$5</definedName>
    <definedName name="Modul3_Bew">[3]Datenquelle!$Q$5</definedName>
    <definedName name="Modul4_Bew" localSheetId="12">[4]Datenquelle!$V$5</definedName>
    <definedName name="Modul4_Bew">[3]Datenquelle!$V$5</definedName>
    <definedName name="Modul5_Bew" localSheetId="12">[4]Datenquelle!$AA$5</definedName>
    <definedName name="Modul5_Bew">[3]Datenquelle!$AA$5</definedName>
    <definedName name="Modul6_Bew" localSheetId="12">[4]Datenquelle!$AF$5</definedName>
    <definedName name="Modul6_Bew">[3]Datenquelle!$AF$5</definedName>
    <definedName name="Modul7_Bew" localSheetId="12">[4]Datenquelle!$AK$5</definedName>
    <definedName name="Modul7_Bew">[3]Datenquelle!$AK$5</definedName>
    <definedName name="Modul8_Bew" localSheetId="12">[4]Datenquelle!$AP$5</definedName>
    <definedName name="Modul8_Bew">[3]Datenquelle!$AP$5</definedName>
    <definedName name="_xlnm.Print_Area" localSheetId="1">Datasheet!$A$1:$F$52</definedName>
    <definedName name="_xlnm.Print_Area" localSheetId="2">Evaluationsheet!$A$1:$H$91</definedName>
    <definedName name="_xlnm.Print_Area" localSheetId="5">'L1 - Project management'!$A$1:$G$35</definedName>
    <definedName name="_xlnm.Print_Area" localSheetId="6">'L2 - Planning'!$A$1:$G$22</definedName>
    <definedName name="_xlnm.Print_Area" localSheetId="7">'L3 - Suppliermgt.'!$A$1:$G$28</definedName>
    <definedName name="_xlnm.Print_Area" localSheetId="8">'L4 - Procurement logistics'!$A$1:$G$34</definedName>
    <definedName name="_xlnm.Print_Area" localSheetId="9">'L5 - Transport logistics'!$A$1:$G$22</definedName>
    <definedName name="_xlnm.Print_Area" localSheetId="10">'L6 -  In-house logistics'!$A$1:$G$64</definedName>
    <definedName name="_xlnm.Print_Area" localSheetId="11">'L7 - Customer management'!$A$1:$G$19</definedName>
    <definedName name="_xlnm.Print_Area" localSheetId="0">'Link list'!$A$1:$E$68</definedName>
    <definedName name="_xlnm.Print_Area" localSheetId="13">LOP!$A$1:$J$27</definedName>
    <definedName name="_xlnm.Print_Area" localSheetId="12">'Radar chart'!$A$1:$M$18</definedName>
    <definedName name="_xlnm.Print_Area" localSheetId="3">Remarks!$A$1:$I$72</definedName>
    <definedName name="_xlnm.Print_Titles" localSheetId="0">'Link list'!$1:$1</definedName>
    <definedName name="Schrittweite" comment="Gibt an, um wie viel % sich die Bewertung einer Frage pro Bewertungsschritt verschlechtert" localSheetId="12">#REF!</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 i="3" l="1"/>
  <c r="D29" i="3"/>
  <c r="C2" i="17"/>
  <c r="F33" i="3"/>
  <c r="G74" i="15" l="1"/>
  <c r="F75" i="15"/>
  <c r="D34" i="5" a="1"/>
  <c r="D34" i="5" s="1"/>
  <c r="F34" i="5" s="1"/>
  <c r="D9" i="19" l="1"/>
  <c r="D8" i="19"/>
  <c r="D7" i="19"/>
  <c r="D6" i="19"/>
  <c r="D5" i="19"/>
  <c r="D4" i="19"/>
  <c r="F20" i="8" l="1"/>
  <c r="F26" i="14" l="1"/>
  <c r="F23" i="14"/>
  <c r="D44" i="15" l="1"/>
  <c r="D43" i="15"/>
  <c r="D12" i="15" l="1"/>
  <c r="F29" i="14"/>
  <c r="E55" i="15" s="1"/>
  <c r="E54" i="15"/>
  <c r="E53" i="15"/>
  <c r="F14" i="12"/>
  <c r="E43" i="15" s="1"/>
  <c r="F11" i="12"/>
  <c r="F8" i="12"/>
  <c r="F14" i="8"/>
  <c r="F11" i="8"/>
  <c r="E17" i="15" s="1"/>
  <c r="D33" i="15"/>
  <c r="G13" i="3" l="1"/>
  <c r="F55" i="16"/>
  <c r="G12" i="3"/>
  <c r="F54" i="16"/>
  <c r="G11" i="3"/>
  <c r="F53" i="16"/>
  <c r="E18" i="15"/>
  <c r="F18" i="16" s="1"/>
  <c r="F7" i="3"/>
  <c r="F43" i="16"/>
  <c r="C9" i="3"/>
  <c r="F17" i="16"/>
  <c r="E41" i="15"/>
  <c r="F41" i="16" s="1"/>
  <c r="E42" i="15"/>
  <c r="F42" i="16" s="1"/>
  <c r="C10" i="3" l="1"/>
  <c r="F14" i="13"/>
  <c r="E70" i="15" s="1"/>
  <c r="F11" i="13" l="1"/>
  <c r="D71" i="15" l="1"/>
  <c r="D69" i="15"/>
  <c r="D68" i="15"/>
  <c r="D66" i="15"/>
  <c r="D65" i="15"/>
  <c r="D64" i="15"/>
  <c r="D63" i="15"/>
  <c r="D62" i="15"/>
  <c r="D61" i="15"/>
  <c r="D60" i="15"/>
  <c r="D59" i="15"/>
  <c r="D58" i="15"/>
  <c r="D57" i="15"/>
  <c r="D56" i="15"/>
  <c r="D52" i="15"/>
  <c r="D51" i="15"/>
  <c r="D50" i="15"/>
  <c r="D49" i="15"/>
  <c r="D48" i="15"/>
  <c r="D47" i="15"/>
  <c r="D45" i="15"/>
  <c r="D40" i="15"/>
  <c r="D38" i="15"/>
  <c r="D37" i="15"/>
  <c r="D36" i="15"/>
  <c r="D35" i="15"/>
  <c r="D34" i="15"/>
  <c r="D32" i="15"/>
  <c r="D31" i="15"/>
  <c r="D30" i="15"/>
  <c r="D28" i="15" l="1"/>
  <c r="D27" i="15"/>
  <c r="D26" i="15"/>
  <c r="D25" i="15"/>
  <c r="D24" i="15"/>
  <c r="D23" i="15"/>
  <c r="D19" i="15"/>
  <c r="D20" i="15"/>
  <c r="D22" i="15"/>
  <c r="D16" i="15"/>
  <c r="D15" i="15"/>
  <c r="D13" i="15"/>
  <c r="D11" i="15"/>
  <c r="D10" i="15"/>
  <c r="D9" i="15"/>
  <c r="D8" i="15"/>
  <c r="D7" i="15"/>
  <c r="D6" i="15"/>
  <c r="D5" i="15"/>
  <c r="F62" i="14" l="1"/>
  <c r="F59" i="14"/>
  <c r="E65" i="15" s="1"/>
  <c r="F65" i="16" s="1"/>
  <c r="F56" i="14"/>
  <c r="E64" i="15" s="1"/>
  <c r="F64" i="16" s="1"/>
  <c r="F53" i="14"/>
  <c r="E63" i="15" s="1"/>
  <c r="F63" i="16" s="1"/>
  <c r="F50" i="14"/>
  <c r="E62" i="15" s="1"/>
  <c r="F62" i="16" s="1"/>
  <c r="F47" i="14"/>
  <c r="E61" i="15" s="1"/>
  <c r="F61" i="16" s="1"/>
  <c r="F44" i="14"/>
  <c r="E60" i="15" s="1"/>
  <c r="F60" i="16" s="1"/>
  <c r="F41" i="14"/>
  <c r="E59" i="15" s="1"/>
  <c r="F59" i="16" s="1"/>
  <c r="F38" i="14"/>
  <c r="E58" i="15" s="1"/>
  <c r="F58" i="16" s="1"/>
  <c r="F35" i="14"/>
  <c r="E57" i="15" s="1"/>
  <c r="F57" i="16" s="1"/>
  <c r="F32" i="14"/>
  <c r="E56" i="15" s="1"/>
  <c r="F56" i="16" s="1"/>
  <c r="F20" i="14"/>
  <c r="E51" i="15" s="1"/>
  <c r="F51" i="16" s="1"/>
  <c r="F17" i="14"/>
  <c r="E50" i="15" s="1"/>
  <c r="F50" i="16" s="1"/>
  <c r="F14" i="14"/>
  <c r="E49" i="15" s="1"/>
  <c r="F49" i="16" s="1"/>
  <c r="F11" i="14"/>
  <c r="E48" i="15" s="1"/>
  <c r="F8" i="14"/>
  <c r="F17" i="13"/>
  <c r="F70" i="16"/>
  <c r="E69" i="15"/>
  <c r="F8" i="13"/>
  <c r="F20" i="12"/>
  <c r="D22" i="12" s="1" a="1"/>
  <c r="D22" i="12" s="1"/>
  <c r="F17" i="12"/>
  <c r="F32" i="11"/>
  <c r="E38" i="15" s="1"/>
  <c r="F29" i="11"/>
  <c r="E37" i="15" s="1"/>
  <c r="F26" i="11"/>
  <c r="E36" i="15" s="1"/>
  <c r="F23" i="11"/>
  <c r="E35" i="15" s="1"/>
  <c r="F20" i="11"/>
  <c r="E34" i="15" s="1"/>
  <c r="F34" i="16" s="1"/>
  <c r="F17" i="11"/>
  <c r="E33" i="15" s="1"/>
  <c r="E8" i="3" s="1"/>
  <c r="F14" i="11"/>
  <c r="F11" i="11"/>
  <c r="E31" i="15" s="1"/>
  <c r="E7" i="3" s="1"/>
  <c r="F8" i="11"/>
  <c r="F26" i="10"/>
  <c r="E28" i="15" s="1"/>
  <c r="F23" i="10"/>
  <c r="E27" i="15" s="1"/>
  <c r="F20" i="10"/>
  <c r="E26" i="15" s="1"/>
  <c r="F26" i="16" s="1"/>
  <c r="F17" i="10"/>
  <c r="E25" i="15" s="1"/>
  <c r="F25" i="16" s="1"/>
  <c r="F14" i="10"/>
  <c r="E24" i="15" s="1"/>
  <c r="F24" i="16" s="1"/>
  <c r="F11" i="10"/>
  <c r="E23" i="15" s="1"/>
  <c r="F23" i="16" s="1"/>
  <c r="F8" i="10"/>
  <c r="F17" i="8"/>
  <c r="E19" i="15" s="1"/>
  <c r="F8" i="8"/>
  <c r="E15" i="15" s="1"/>
  <c r="D34" i="11" l="1" a="1"/>
  <c r="D34" i="11" s="1"/>
  <c r="F34" i="11" s="1"/>
  <c r="D64" i="14" a="1"/>
  <c r="D64" i="14" s="1"/>
  <c r="F64" i="14" s="1"/>
  <c r="E66" i="15"/>
  <c r="E71" i="15"/>
  <c r="H9" i="3" s="1"/>
  <c r="D19" i="13" a="1"/>
  <c r="D19" i="13" s="1"/>
  <c r="E45" i="15"/>
  <c r="F45" i="16" s="1"/>
  <c r="F22" i="12"/>
  <c r="F35" i="16"/>
  <c r="E9" i="3"/>
  <c r="G14" i="3"/>
  <c r="F38" i="16"/>
  <c r="E13" i="3"/>
  <c r="G15" i="3"/>
  <c r="E44" i="15"/>
  <c r="F48" i="16"/>
  <c r="D22" i="8" a="1"/>
  <c r="D22" i="8" s="1"/>
  <c r="F22" i="8" s="1"/>
  <c r="E22" i="15"/>
  <c r="F22" i="16" s="1"/>
  <c r="D28" i="10" a="1"/>
  <c r="D28" i="10" s="1"/>
  <c r="F28" i="10" s="1"/>
  <c r="E68" i="15"/>
  <c r="E47" i="15"/>
  <c r="G16" i="3"/>
  <c r="G8" i="3"/>
  <c r="G17" i="3"/>
  <c r="D8" i="3"/>
  <c r="D11" i="3"/>
  <c r="F27" i="16"/>
  <c r="G9" i="3"/>
  <c r="E12" i="3"/>
  <c r="F36" i="16"/>
  <c r="F37" i="16"/>
  <c r="D12" i="3"/>
  <c r="F28" i="16"/>
  <c r="F31" i="16"/>
  <c r="G10" i="3"/>
  <c r="G18" i="3"/>
  <c r="F33" i="16"/>
  <c r="C11" i="3"/>
  <c r="F19" i="16"/>
  <c r="C8" i="3"/>
  <c r="F15" i="16"/>
  <c r="H8" i="3"/>
  <c r="F69" i="16"/>
  <c r="E30" i="15"/>
  <c r="E32" i="15"/>
  <c r="F32" i="16" s="1"/>
  <c r="E20" i="15"/>
  <c r="F8" i="3" l="1"/>
  <c r="F44" i="16"/>
  <c r="G19" i="3"/>
  <c r="F66" i="16"/>
  <c r="F71" i="16"/>
  <c r="F67" i="15"/>
  <c r="F19" i="13"/>
  <c r="G67" i="15" s="1"/>
  <c r="F9" i="3"/>
  <c r="G31" i="3"/>
  <c r="G29" i="15"/>
  <c r="F21" i="15"/>
  <c r="G21" i="15"/>
  <c r="G29" i="3"/>
  <c r="G14" i="15"/>
  <c r="F80" i="3"/>
  <c r="F84" i="3" s="1"/>
  <c r="F39" i="15"/>
  <c r="F68" i="16"/>
  <c r="H80" i="3"/>
  <c r="E80" i="3"/>
  <c r="E84" i="3" s="1"/>
  <c r="D7" i="3"/>
  <c r="C80" i="3"/>
  <c r="C84" i="3" s="1"/>
  <c r="H7" i="3"/>
  <c r="G7" i="3"/>
  <c r="G80" i="3"/>
  <c r="G84" i="3" s="1"/>
  <c r="F47" i="16"/>
  <c r="D80" i="3"/>
  <c r="D84" i="3" s="1"/>
  <c r="F46" i="15"/>
  <c r="G46" i="15"/>
  <c r="G39" i="15"/>
  <c r="F14" i="15"/>
  <c r="F29" i="15"/>
  <c r="G34" i="3"/>
  <c r="G33" i="3"/>
  <c r="F30" i="16"/>
  <c r="G30" i="3"/>
  <c r="G32" i="3"/>
  <c r="C13" i="3"/>
  <c r="C24" i="3" s="1"/>
  <c r="F20" i="16"/>
  <c r="E46" i="15"/>
  <c r="E67" i="15"/>
  <c r="E39" i="15"/>
  <c r="E29" i="15"/>
  <c r="H31" i="3" s="1"/>
  <c r="E21" i="15"/>
  <c r="H30" i="3" s="1"/>
  <c r="E14" i="15"/>
  <c r="E17" i="6"/>
  <c r="F8" i="5"/>
  <c r="F32" i="5"/>
  <c r="F29" i="5"/>
  <c r="E12" i="15" s="1"/>
  <c r="F12" i="16" s="1"/>
  <c r="F26" i="5"/>
  <c r="E11" i="15" s="1"/>
  <c r="F23" i="5"/>
  <c r="F20" i="5"/>
  <c r="E9" i="15" s="1"/>
  <c r="F9" i="16" s="1"/>
  <c r="H84" i="3" l="1"/>
  <c r="H24" i="3"/>
  <c r="D24" i="3"/>
  <c r="H33" i="3"/>
  <c r="F24" i="3"/>
  <c r="E24" i="3"/>
  <c r="G24" i="3"/>
  <c r="E5" i="15"/>
  <c r="H32" i="3"/>
  <c r="H5" i="3"/>
  <c r="G5" i="3"/>
  <c r="F5" i="3"/>
  <c r="C5" i="3"/>
  <c r="E5" i="3"/>
  <c r="D5" i="3"/>
  <c r="E10" i="15"/>
  <c r="B11" i="3" s="1"/>
  <c r="H34" i="3"/>
  <c r="H29" i="3"/>
  <c r="B12" i="3"/>
  <c r="F11" i="16"/>
  <c r="E13" i="15"/>
  <c r="F11" i="5"/>
  <c r="E6" i="15" s="1"/>
  <c r="B7" i="3" l="1"/>
  <c r="F5" i="16"/>
  <c r="F10" i="16"/>
  <c r="F13" i="16"/>
  <c r="B8" i="3"/>
  <c r="F6" i="16"/>
  <c r="B13" i="3"/>
  <c r="F14" i="5"/>
  <c r="F17" i="5"/>
  <c r="E7" i="15" l="1"/>
  <c r="E8" i="15"/>
  <c r="F8" i="16" s="1"/>
  <c r="F4" i="15" l="1"/>
  <c r="G4" i="15"/>
  <c r="D3" i="19" s="1"/>
  <c r="B2" i="19" s="1"/>
  <c r="B80" i="3"/>
  <c r="B84" i="3" s="1"/>
  <c r="F7" i="16"/>
  <c r="G28" i="3"/>
  <c r="B9" i="3"/>
  <c r="B35" i="3" s="1"/>
  <c r="E4" i="15"/>
  <c r="F39" i="3" l="1"/>
  <c r="C39" i="3" s="1"/>
  <c r="B24" i="3"/>
  <c r="C35" i="3"/>
  <c r="B32" i="3"/>
  <c r="C32" i="3" s="1"/>
  <c r="E35" i="6" s="1"/>
  <c r="B5" i="3"/>
  <c r="H28" i="3"/>
  <c r="B39" i="3" s="1" a="1"/>
  <c r="B39" i="3" s="1"/>
  <c r="E29" i="3"/>
  <c r="B45" i="3" s="1"/>
  <c r="B47" i="3" l="1"/>
  <c r="B46" i="3"/>
  <c r="C46" i="3"/>
  <c r="B29" i="3"/>
  <c r="C29" i="3" s="1"/>
  <c r="C48" i="3" l="1"/>
  <c r="B48" i="3"/>
  <c r="F35" i="3" l="1"/>
  <c r="F77" i="15" s="1"/>
  <c r="C44" i="3"/>
  <c r="B44" i="3"/>
  <c r="F79" i="15" l="1"/>
  <c r="E32" i="6"/>
  <c r="E34" i="6" s="1"/>
  <c r="D48" i="3"/>
  <c r="D47" i="3"/>
  <c r="D46" i="3"/>
  <c r="D45" i="3"/>
  <c r="F45" i="3" s="1"/>
  <c r="F80" i="15" s="1"/>
  <c r="E48" i="3"/>
  <c r="E47" i="3"/>
  <c r="E46" i="3"/>
  <c r="F46" i="3" l="1"/>
  <c r="F81" i="15" s="1"/>
  <c r="F47" i="3"/>
  <c r="F82" i="15" s="1"/>
  <c r="F48" i="3"/>
  <c r="F8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<sst xmlns="http://schemas.openxmlformats.org/spreadsheetml/2006/main" count="1710" uniqueCount="1163">
  <si>
    <t>Datasheet - Logistics Audit</t>
  </si>
  <si>
    <t>Datasheet</t>
  </si>
  <si>
    <t>(1) Project management</t>
  </si>
  <si>
    <t>(2) Planning and realization</t>
  </si>
  <si>
    <t>(3) Supplier 
and service provider management</t>
  </si>
  <si>
    <t>(4) Procurement logistics</t>
  </si>
  <si>
    <t>(5) Transport logistics</t>
  </si>
  <si>
    <t>(6) In-house logistics</t>
  </si>
  <si>
    <t>(7) Customer management</t>
  </si>
  <si>
    <t>Country</t>
  </si>
  <si>
    <t>Country code</t>
  </si>
  <si>
    <t>Please select…</t>
  </si>
  <si>
    <t xml:space="preserve"> </t>
  </si>
  <si>
    <t>Overall result L1</t>
  </si>
  <si>
    <t>Overall result L2</t>
  </si>
  <si>
    <t>Overall result L3</t>
  </si>
  <si>
    <t>Overall result L4</t>
  </si>
  <si>
    <t>Overall result L5</t>
  </si>
  <si>
    <t>Overall result L6</t>
  </si>
  <si>
    <t>Overall result L7</t>
  </si>
  <si>
    <t>BE</t>
  </si>
  <si>
    <t>DE</t>
  </si>
  <si>
    <t>FR</t>
  </si>
  <si>
    <t>Count 3</t>
  </si>
  <si>
    <t>UK</t>
  </si>
  <si>
    <t>IT</t>
  </si>
  <si>
    <t>NL</t>
  </si>
  <si>
    <t>AT</t>
  </si>
  <si>
    <t>Count 6</t>
  </si>
  <si>
    <t>PL</t>
  </si>
  <si>
    <t>RO</t>
  </si>
  <si>
    <t>SK</t>
  </si>
  <si>
    <t>ES</t>
  </si>
  <si>
    <t>CZ</t>
  </si>
  <si>
    <t>HU</t>
  </si>
  <si>
    <t>Afghanistan</t>
  </si>
  <si>
    <t>AF</t>
  </si>
  <si>
    <t>EG</t>
  </si>
  <si>
    <t>Not evaluated questions 
per module</t>
  </si>
  <si>
    <t>AL</t>
  </si>
  <si>
    <t>DZ</t>
  </si>
  <si>
    <t>Andorra</t>
  </si>
  <si>
    <t>AD</t>
  </si>
  <si>
    <t>Angola</t>
  </si>
  <si>
    <t>AO</t>
  </si>
  <si>
    <t>All answered questions</t>
  </si>
  <si>
    <t>Evaluation of all answered questions</t>
  </si>
  <si>
    <t>Anguilla</t>
  </si>
  <si>
    <t>AI</t>
  </si>
  <si>
    <t>Lowest rating/module</t>
  </si>
  <si>
    <t>at least one question with 0</t>
  </si>
  <si>
    <t>AQ</t>
  </si>
  <si>
    <t>AG</t>
  </si>
  <si>
    <t>GQ</t>
  </si>
  <si>
    <t>Lowest value *question</t>
  </si>
  <si>
    <t>AR</t>
  </si>
  <si>
    <t>Overall result after downgrading rules:</t>
  </si>
  <si>
    <t>AM</t>
  </si>
  <si>
    <t>Aruba</t>
  </si>
  <si>
    <t>AW</t>
  </si>
  <si>
    <t>Average *questions</t>
  </si>
  <si>
    <t>AZ</t>
  </si>
  <si>
    <t>Overall result after checking 2/3 questions</t>
  </si>
  <si>
    <t>ET</t>
  </si>
  <si>
    <t>AU</t>
  </si>
  <si>
    <t>Bahrain</t>
  </si>
  <si>
    <t>BH</t>
  </si>
  <si>
    <t>Overall result star questions</t>
  </si>
  <si>
    <t>All star questions that were not evaluated:</t>
  </si>
  <si>
    <t>Bangladesh</t>
  </si>
  <si>
    <t>BD</t>
  </si>
  <si>
    <t>Barbados</t>
  </si>
  <si>
    <t>BB</t>
  </si>
  <si>
    <t>Belize</t>
  </si>
  <si>
    <t>BZ</t>
  </si>
  <si>
    <t>Benin</t>
  </si>
  <si>
    <t>BJ</t>
  </si>
  <si>
    <t>BM</t>
  </si>
  <si>
    <t>Bhutan</t>
  </si>
  <si>
    <t>BT</t>
  </si>
  <si>
    <t>Evaluation steps</t>
  </si>
  <si>
    <t>VW Group subsidiaries:</t>
  </si>
  <si>
    <t>BUR</t>
  </si>
  <si>
    <t>Selection</t>
  </si>
  <si>
    <t>Points</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</si>
  <si>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</si>
  <si>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</si>
  <si>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</si>
  <si>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</si>
  <si>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</si>
  <si>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</si>
  <si>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</si>
  <si>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</si>
  <si>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</si>
  <si>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</si>
  <si>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</si>
  <si>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</si>
  <si>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</si>
  <si>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</si>
  <si>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</si>
  <si>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</si>
  <si>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</si>
  <si>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</si>
  <si>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</si>
  <si>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</si>
  <si>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</si>
  <si>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</si>
  <si>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</si>
  <si>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</si>
  <si>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</si>
  <si>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</si>
  <si>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</si>
  <si>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</si>
  <si>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</si>
  <si>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</si>
  <si>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</si>
  <si>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</si>
  <si>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</si>
  <si>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</si>
  <si>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</si>
  <si>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</si>
  <si>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</si>
  <si>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</si>
  <si>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</si>
  <si>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</si>
  <si>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</si>
  <si>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</si>
  <si>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</si>
  <si>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</si>
  <si>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</si>
  <si>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</si>
  <si>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</si>
  <si>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</si>
  <si>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</si>
  <si>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</si>
  <si>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</si>
  <si>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</si>
  <si>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</si>
  <si>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</si>
  <si>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</si>
  <si>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</si>
  <si>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</si>
  <si>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</si>
  <si>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</si>
  <si>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</si>
  <si>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</si>
  <si>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</si>
  <si>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</si>
  <si>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</si>
  <si>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</si>
  <si>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</si>
  <si>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</si>
  <si>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</si>
  <si>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</si>
  <si>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</si>
  <si>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</si>
  <si>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</si>
  <si>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</si>
  <si>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</si>
  <si>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</si>
  <si>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</si>
  <si>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</si>
  <si>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</si>
  <si>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</si>
  <si>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</si>
  <si>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</si>
  <si>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</si>
  <si>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</si>
  <si>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</si>
  <si>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</si>
  <si>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</si>
  <si>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</si>
  <si>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</si>
  <si>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</si>
  <si>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</si>
  <si>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</si>
  <si>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</si>
  <si>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</si>
  <si>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</si>
  <si>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</si>
  <si>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</si>
  <si>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</si>
  <si>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</si>
  <si>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</si>
  <si>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</si>
  <si>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</si>
  <si>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</si>
  <si>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</si>
  <si>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</si>
  <si>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</si>
  <si>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</si>
  <si>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</si>
  <si>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</si>
  <si>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</si>
  <si>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</si>
  <si>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</si>
  <si>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</si>
  <si>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</si>
  <si>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</si>
  <si>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</si>
  <si>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</si>
  <si>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</si>
  <si>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</si>
  <si>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</si>
  <si>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</si>
  <si>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</si>
  <si>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</si>
  <si>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</si>
  <si>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</si>
  <si>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</si>
  <si>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</si>
  <si>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</si>
  <si>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</si>
  <si>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</si>
  <si>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</si>
  <si>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</si>
  <si>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</si>
  <si>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</si>
  <si>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</si>
  <si>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</si>
  <si>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</si>
  <si>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</si>
  <si>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</si>
  <si>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</si>
  <si>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</si>
  <si>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</si>
  <si>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</si>
  <si>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</si>
  <si>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</si>
  <si>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</si>
  <si>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</si>
  <si>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</si>
  <si>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</si>
  <si>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</si>
  <si>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</si>
  <si>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</si>
  <si>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</si>
  <si>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</si>
  <si>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</si>
  <si>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</si>
  <si>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</si>
  <si>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</si>
  <si>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</si>
  <si>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</si>
  <si>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</si>
  <si>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</si>
  <si>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</si>
  <si>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</si>
  <si>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</si>
  <si>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</si>
  <si>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</si>
  <si>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</si>
  <si>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</si>
  <si>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</si>
  <si>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</si>
  <si>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</si>
  <si>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</si>
  <si>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</si>
  <si>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</si>
  <si>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</si>
  <si>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</si>
  <si>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</si>
  <si>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</si>
  <si>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</si>
  <si>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</si>
  <si>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</si>
  <si>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</si>
  <si>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</si>
  <si>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</si>
  <si>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</si>
  <si>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</si>
  <si>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</si>
  <si>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</si>
  <si>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</si>
  <si>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</si>
  <si>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</si>
  <si>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</si>
  <si>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</si>
  <si>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</si>
  <si>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</si>
  <si>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</si>
  <si>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</si>
  <si>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</si>
  <si>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</si>
  <si>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</si>
  <si>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</si>
  <si>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</si>
  <si>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</si>
  <si>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</si>
  <si>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</si>
  <si>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</si>
  <si>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</si>
  <si>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</si>
  <si>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</si>
  <si>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</si>
  <si>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</si>
  <si>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</si>
  <si>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</si>
  <si>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</si>
  <si>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</si>
  <si>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</si>
  <si>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</si>
  <si>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</si>
  <si>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</si>
  <si>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</si>
  <si>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</si>
  <si>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</si>
  <si>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</si>
  <si>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</si>
  <si>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</si>
  <si>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</si>
  <si>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</si>
  <si>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</si>
  <si>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</si>
  <si>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</si>
  <si>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</si>
  <si>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</si>
  <si>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</si>
  <si>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</si>
  <si>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</si>
  <si>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</si>
  <si>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</si>
  <si>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</si>
  <si>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</si>
  <si>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</si>
  <si>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</si>
  <si>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</si>
  <si>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</si>
  <si>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</si>
  <si>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</si>
  <si>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</si>
  <si>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</si>
  <si>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</si>
  <si>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</si>
  <si>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</si>
  <si>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</si>
  <si>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</si>
  <si>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</si>
  <si>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</si>
  <si>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</si>
  <si>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</si>
  <si>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</si>
  <si>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</si>
  <si>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</si>
  <si>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</si>
  <si>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</si>
  <si>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</si>
  <si>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</si>
  <si>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</si>
  <si>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</si>
  <si>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</si>
  <si>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</si>
  <si>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</si>
  <si>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</si>
  <si>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</si>
  <si>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</si>
  <si>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</si>
  <si>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</si>
  <si>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</si>
  <si>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</si>
  <si>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</si>
  <si>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</si>
  <si>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</si>
  <si>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</si>
  <si>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</si>
  <si>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</si>
  <si>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</si>
  <si>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</si>
  <si>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</si>
  <si>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</si>
  <si>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</si>
  <si>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</si>
  <si>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</si>
  <si>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</si>
  <si>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</si>
  <si>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</si>
  <si>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</si>
  <si>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</si>
  <si>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</si>
  <si>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</si>
  <si>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</si>
  <si>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</si>
  <si>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</si>
  <si>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</si>
  <si>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</si>
  <si>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</si>
  <si>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</si>
  <si>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</si>
  <si>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</si>
  <si>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</si>
  <si>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</si>
  <si>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</si>
  <si>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</si>
  <si>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</si>
  <si>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</si>
  <si>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</si>
  <si>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</si>
  <si>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</si>
  <si>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</si>
  <si>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</si>
  <si>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</si>
  <si>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</si>
  <si>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</si>
  <si>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</si>
  <si>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</si>
  <si>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</si>
  <si>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</si>
  <si>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</si>
  <si>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</si>
  <si>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</si>
  <si>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</si>
  <si>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</si>
  <si>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</si>
  <si>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</si>
  <si>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</si>
  <si>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</si>
  <si>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</si>
  <si>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</si>
  <si>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</si>
  <si>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</si>
  <si>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</si>
  <si>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</si>
  <si>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</si>
  <si>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</si>
  <si>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</si>
  <si>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</si>
  <si>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</si>
  <si>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</si>
  <si>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1.6</t>
  </si>
  <si>
    <t>1.7</t>
  </si>
  <si>
    <t>1.8</t>
  </si>
  <si>
    <t>1.9</t>
  </si>
  <si>
    <t>Process element 2: Planning of logistical processes</t>
  </si>
  <si>
    <t>2.1</t>
  </si>
  <si>
    <t>2.2</t>
  </si>
  <si>
    <t>2.3</t>
  </si>
  <si>
    <t>2.4</t>
  </si>
  <si>
    <t xml:space="preserve">Process element 3: Supplier and service provider management </t>
  </si>
  <si>
    <t>3.1</t>
  </si>
  <si>
    <t>3.2</t>
  </si>
  <si>
    <t>3.3</t>
  </si>
  <si>
    <t>3.4</t>
  </si>
  <si>
    <t>3.5</t>
  </si>
  <si>
    <t>3.6</t>
  </si>
  <si>
    <t>3.7</t>
  </si>
  <si>
    <t>Process element 4: Procurement logistics</t>
  </si>
  <si>
    <t>4.1</t>
  </si>
  <si>
    <t>4.2</t>
  </si>
  <si>
    <t>4.3</t>
  </si>
  <si>
    <t>4.4</t>
  </si>
  <si>
    <t>4.5</t>
  </si>
  <si>
    <t>4.6</t>
  </si>
  <si>
    <t>4.7</t>
  </si>
  <si>
    <t>4.8</t>
  </si>
  <si>
    <t>4.9</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</si>
  <si>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</si>
  <si>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</si>
  <si>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</si>
  <si>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</si>
  <si>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</si>
  <si>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</si>
  <si>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</si>
  <si>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</si>
  <si>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</si>
  <si>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</si>
  <si>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</si>
  <si>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</si>
  <si>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</si>
  <si>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</si>
  <si>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</si>
  <si>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</si>
  <si>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</si>
  <si>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</si>
  <si>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</si>
  <si>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</si>
  <si>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</si>
  <si>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6.17</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</si>
  <si>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</si>
  <si>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</si>
  <si>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</si>
  <si>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</si>
  <si>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</si>
  <si>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</si>
  <si>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</si>
  <si>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</si>
  <si>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</si>
  <si>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</si>
  <si>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</si>
  <si>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</si>
  <si>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</si>
  <si>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</si>
  <si>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</si>
  <si>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</si>
  <si>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</si>
  <si>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</si>
  <si>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</si>
  <si>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</si>
  <si>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</si>
  <si>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</si>
  <si>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Is there a suitable IT emergency solution strategy, incl. regular data backup? (1.4.1)</t>
  </si>
  <si>
    <t>Is there a suitable pervasive IT infrastructure? (1.4.2)</t>
  </si>
  <si>
    <t>Have suitable KPIs been defined for project management, including target values, and are they applied? (1.5.1)</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</si>
  <si>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</si>
  <si>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</si>
  <si>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Has a handover to the downstream process taken place? (1.6.3)</t>
  </si>
  <si>
    <t xml:space="preserve">1. Documented acceptance and handover procedures have been completed.  </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</si>
  <si>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</si>
  <si>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</si>
  <si>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</si>
  <si>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</si>
  <si>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</si>
  <si>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</si>
  <si>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</si>
  <si>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Has a process been defined which ensures that only approved and quality-capable suppliers and service providers are used? (3.2.1)</t>
  </si>
  <si>
    <t>max. Punkte: 10</t>
  </si>
  <si>
    <t>Is there a supplier and/or service contract, and are all binding obligations analyzed, taken into account and observed? (3.2.2)</t>
  </si>
  <si>
    <t>Has an emergency management plan been agreed with the supplier and/or the logistical service providers, and is it effectively implemented? (3.2.3)</t>
  </si>
  <si>
    <t>Is there a complaint process which has been coordinated with the supplier and/or the logistical service provider? (3.2.4)</t>
  </si>
  <si>
    <t>Has standardized communication been established between the organization and the supplier and/or service provider? (3.2.6)</t>
  </si>
  <si>
    <t>Is there a suitable pervasive IT infrastructure? (3.4.2)</t>
  </si>
  <si>
    <t>Are suitable KPIs available in the supplier and service provider management, incl. realistic target values? (3.5.1)</t>
  </si>
  <si>
    <t>Result process element 3:</t>
  </si>
  <si>
    <t>Is the planned production volume integrated into material requirements planning?(4.1.4)</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</si>
  <si>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</si>
  <si>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</si>
  <si>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</si>
  <si>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</si>
  <si>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</si>
  <si>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1. The production planning and control system must automatically factor in customer requirements in the generation of production plans. 
2. The time horizon for planning and production orders is defined and observed.
3. Sequential production stages are interlinked and coordinated.
4. Production order feedback is provided at reasonable intervals in relation to the total turnaround
5. The production status is signaled over the course of production.
6. Production planning is informed early on in case of pre-material bottlenecks.
7. Batch sizes and tooling times are taken into account and are defined in the individual production sections based on set criteria.
8. The order sequence is based on set criteria.</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</si>
  <si>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</si>
  <si>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</si>
  <si>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</si>
  <si>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</si>
  <si>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</si>
  <si>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</si>
  <si>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</si>
  <si>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</si>
  <si>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</si>
  <si>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</si>
  <si>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</si>
  <si>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</si>
  <si>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</si>
  <si>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</si>
  <si>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</si>
  <si>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</si>
  <si>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</si>
  <si>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</si>
  <si>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</si>
  <si>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1. The production program is known and can be updated according to the customer requirements in case of changes.
2. The capacities and their influencing factors are known and taken into account.
3. The capacities are compared with the customer needs and communicated.
4. Capacity expansion measures are considered and planned as needed.</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</si>
  <si>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</si>
  <si>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</si>
  <si>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</si>
  <si>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</si>
  <si>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</si>
  <si>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</si>
  <si>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</si>
  <si>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</si>
  <si>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</si>
  <si>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</si>
  <si>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</si>
  <si>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</si>
  <si>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</si>
  <si>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</si>
  <si>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</si>
  <si>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</si>
  <si>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</si>
  <si>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</si>
  <si>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</si>
  <si>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</si>
  <si>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</si>
  <si>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</si>
  <si>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</si>
  <si>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1.4.1</t>
  </si>
  <si>
    <t>1.4.2</t>
  </si>
  <si>
    <t>1.5.1</t>
  </si>
  <si>
    <t>1.5.4</t>
  </si>
  <si>
    <t>1.6.3</t>
  </si>
  <si>
    <t>Process element 2 - Planning of logistical processes</t>
  </si>
  <si>
    <t>2.2.3</t>
  </si>
  <si>
    <t>2.2.5</t>
  </si>
  <si>
    <t>2.3.4</t>
  </si>
  <si>
    <t>2.6.1</t>
  </si>
  <si>
    <t>Process element 3 - Supplier and service provider management</t>
  </si>
  <si>
    <t>3.2.1</t>
  </si>
  <si>
    <t>3.2.2</t>
  </si>
  <si>
    <t>3.2.3</t>
  </si>
  <si>
    <t>3.2.4</t>
  </si>
  <si>
    <t>3.2.6</t>
  </si>
  <si>
    <t>3.4.2</t>
  </si>
  <si>
    <t>3.5.1</t>
  </si>
  <si>
    <t>Process element 4 - Procurement logistics</t>
  </si>
  <si>
    <t>4.1.4</t>
  </si>
  <si>
    <t>4.2.1</t>
  </si>
  <si>
    <t>4.2.2</t>
  </si>
  <si>
    <t>4.2.4</t>
  </si>
  <si>
    <t>4.2.5</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</si>
  <si>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</si>
  <si>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</si>
  <si>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</si>
  <si>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</si>
  <si>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</si>
  <si>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</si>
  <si>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</si>
  <si>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</si>
  <si>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</si>
  <si>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</si>
  <si>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</si>
  <si>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</si>
  <si>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</si>
  <si>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</si>
  <si>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</si>
  <si>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</si>
  <si>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</si>
  <si>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6.2.10</t>
  </si>
  <si>
    <t>6.4.1</t>
  </si>
  <si>
    <t>6.4.2</t>
  </si>
  <si>
    <t>6.4.3</t>
  </si>
  <si>
    <t>6.4.4</t>
  </si>
  <si>
    <t>6.4.5</t>
  </si>
  <si>
    <t>6.4.6</t>
  </si>
  <si>
    <t>6.5.1</t>
  </si>
  <si>
    <t>Process element 7 - Customer management</t>
  </si>
  <si>
    <t>7.2.1</t>
  </si>
  <si>
    <t>7.2.2</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</si>
  <si>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</si>
  <si>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</si>
  <si>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</si>
  <si>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</si>
  <si>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</si>
  <si>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</si>
  <si>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</si>
  <si>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</si>
  <si>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</si>
  <si>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</si>
  <si>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</si>
  <si>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</si>
  <si>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</si>
  <si>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</si>
  <si>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</si>
  <si>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</si>
  <si>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IT emergency solution strategy, incl. regular data backup? </t>
  </si>
  <si>
    <t xml:space="preserve">Is there a suitable pervasive IT infrastructure? </t>
  </si>
  <si>
    <t>Have suitable KPIs been defined for project management, including target values, and are they applied?</t>
  </si>
  <si>
    <t xml:space="preserve">Are methods of continuous process improvement implemented? </t>
  </si>
  <si>
    <t xml:space="preserve">Has a handover to the downstream process taken place?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</si>
  <si>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</si>
  <si>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</si>
  <si>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</si>
  <si>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Has a process been defined which ensures that only approved and quality-capable suppliers and service providers are used? </t>
  </si>
  <si>
    <t xml:space="preserve">Is there a supplier and/or service contract, and are all binding obligations analyzed, taken into account and observed? </t>
  </si>
  <si>
    <t>Is there a complaint process which has been coordinated with the supplier and/or the logistical service provider?</t>
  </si>
  <si>
    <t xml:space="preserve">Has an emergency management plan been agreed with the supplier and/or the logistical service providers, and is it effectively implemented? </t>
  </si>
  <si>
    <t>Has standardized communication been established between the organization and the supplier and/or service provider?</t>
  </si>
  <si>
    <t xml:space="preserve">Are suitable KPIs available in the supplier and service provider management, incl. realistic target values? </t>
  </si>
  <si>
    <t>Are the logistical plans implemented in procurement logistics?</t>
  </si>
  <si>
    <t xml:space="preserve">Have processes been established for ensuring that materials are supplied in accordance with demand? </t>
  </si>
  <si>
    <t>Has a container management system been established in accordance with demand and capacity?</t>
  </si>
  <si>
    <t xml:space="preserve">Does production planning and control take place? </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</si>
  <si>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</si>
  <si>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</si>
  <si>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</si>
  <si>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Are all relevant specifications for carrying out transports fully documented and included in instructions? </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</si>
  <si>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</si>
  <si>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</si>
  <si>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</si>
  <si>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</si>
  <si>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</si>
  <si>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</si>
  <si>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</si>
  <si>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</si>
  <si>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</si>
  <si>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</si>
  <si>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</si>
  <si>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capacities and flexibilities planned and defined in accordance with customer requirements? </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</si>
  <si>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</si>
  <si>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</si>
  <si>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</si>
  <si>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</si>
  <si>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</si>
  <si>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</si>
  <si>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</si>
  <si>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t>Proof of effectiveness (e.g. trainings certificate, working order,…)</t>
  </si>
  <si>
    <t>1. A documented emergency management plan, including responsibilities and escalation levels, is agreed with suppliers and/or logistical service providers.
2. The emergency concept is based on defined risks.</t>
  </si>
  <si>
    <t>1. Specifications are defined for the tracking and documentation of logistical complaints.
2. A process is defined for processing complaints, including relevant customer specifications.
3. A fault correction process is defined, including suitable methods.
4. Supply is ensured by means of immediate actions.</t>
  </si>
  <si>
    <t xml:space="preserve">1. Changes pertaining to logistical services are communicated in a timely and complete manner.
2. Interfaces and contact persons are defined for the organization and the supplier and/or service provider.
3. There is a regular exchange on process performance and target achievement. In case of target deviations, corrective measures are defined and implemented.
4. The use and application of an Electronic Data Interchange (EDI) are defined.
5. Access to the relevant customer platforms is provided. </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</si>
  <si>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</si>
  <si>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</si>
  <si>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Display of downgrading rules datasheet</t>
  </si>
  <si>
    <t>Downgrade to B</t>
  </si>
  <si>
    <t>Downgrade to C</t>
  </si>
  <si>
    <t>Helper column B</t>
  </si>
  <si>
    <t>Helper column C</t>
  </si>
  <si>
    <t>Display</t>
  </si>
  <si>
    <t>Overall audit result (rounded)</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</si>
  <si>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</si>
  <si>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</si>
  <si>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</si>
  <si>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</si>
  <si>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</si>
  <si>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</si>
  <si>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</si>
  <si>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</si>
  <si>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</si>
  <si>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</si>
  <si>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</si>
  <si>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</si>
  <si>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</si>
  <si>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</si>
  <si>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1. For the performance of logistical processes by suppliers and/or service providers, the scope of services is contractually agreed and monitored. 
2. Logistical quality targets are part of this agreement.
3. Consequences are defined for non-compliance with agreements.
4. Requirement and capacity management is ensured.
5. Nomination of supplier/service provider according to project volumes (incl. flexibility).
6. Transfers of risk are contractually regulated.</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</si>
  <si>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In case of process and target deviations, causes are analyzed and corrective measures are checked for effectiveness.</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</si>
  <si>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</si>
  <si>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</si>
  <si>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</si>
  <si>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</si>
  <si>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</si>
  <si>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</si>
  <si>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</si>
  <si>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</si>
  <si>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</si>
  <si>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</si>
  <si>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</si>
  <si>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</si>
  <si>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</si>
  <si>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</si>
  <si>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</si>
  <si>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</si>
  <si>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</si>
  <si>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</si>
  <si>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</si>
  <si>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Count 5</t>
  </si>
  <si>
    <t>Count 4</t>
  </si>
  <si>
    <t>Count 13</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</si>
  <si>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</si>
  <si>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</si>
  <si>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</si>
  <si>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</si>
  <si>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</si>
  <si>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</si>
  <si>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</si>
  <si>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</si>
  <si>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</si>
  <si>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</si>
  <si>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</si>
  <si>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</si>
  <si>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</si>
  <si>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</si>
  <si>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</si>
  <si>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</si>
  <si>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Emergency strategy
• Backup plan, incl. escalation levels
• Archiving requirements
• Backup concept
• Emergency information plan
• Function test according to VDA 1
• TISAX ®</t>
  </si>
  <si>
    <t>• Network structure plan
• Hardware and software
• Overview of access permissions
• Interface matrix
• Data protection policies</t>
  </si>
  <si>
    <t>• Project progress
• Milestones
• Action plan
• Risk estimation
• Resource utilization</t>
  </si>
  <si>
    <t>• Audit
• Lean management
• Kaizen
• 5S
• FMEA
• Idea management
• PDCA cycle</t>
  </si>
  <si>
    <t>• Handover report
• Maturity level
• Handover project to series production</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</si>
  <si>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</si>
  <si>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</si>
  <si>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</si>
  <si>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</si>
  <si>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</si>
  <si>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t>• Contracts
• Agreed KPIs
• Proofs of performance
• Certificates (QM systems) 
• Feasibility analysis 
• Requirement and capacity planning
• Incoterms</t>
  </si>
  <si>
    <t>• Emergency concepts 
• Supply bottleneck
• Force majeure
• Shortage of material resources
• Shortage of human resources</t>
  </si>
  <si>
    <t>• Escalation process 
• Complaint guidelines 
• Work instructions
• List of contact persons</t>
  </si>
  <si>
    <t>• Shopfloor management, incl. service provider 
• Regular communication
• List of contact persons, incl. emergency contact
• IT requirements 
• Access permissions</t>
  </si>
  <si>
    <t>• Supplier database
• System to evaluate supplier performance
• Supplier portal
• Network structure plan
• Hardware and software
• Overview of access permissions
• Interface matrix
• Data protection policies</t>
  </si>
  <si>
    <t>1. Process-specific KPIs are defined, monitored according to risk and communicated.
2. Targets are agreed, specific, measurable, attainable, realistic and scheduled.
3. A risk-based target/actual comparison is conducted.
4. The timeliness of the targets are ensured.
5. Targets are communicated to all relevant positions in the company.
6. In case of process and target deviations, causes are analyzed and corrective measures are checked for effectiveness.</t>
  </si>
  <si>
    <t>• Delivery reliability
• Rate of error in delivery
• Supplier controlling
• Early indicators of target compliance
• Supplier assessment 
• Delivery quality</t>
  </si>
  <si>
    <t>1. Production volume / Customer requirements influences material requirements planning.
2. Variations in the production volume are considered in time.</t>
  </si>
  <si>
    <t>• Production plan
• Analysis of production demand
• Bills of material and work plans
• Inventory monitoring
• Continuous monitoring</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</si>
  <si>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</si>
  <si>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</si>
  <si>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</si>
  <si>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</si>
  <si>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</si>
  <si>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</si>
  <si>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</si>
  <si>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Material requirements planning
• Delivery call-offs
• Material availability/approval
• Bottlenecks are known
• Variant creation (JIS/JIT)
• Reject rates are known
• WIP inventories
• Transparent production schedules and overdue item tracking
• Forecasts
• MES/ERP systems</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</si>
  <si>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</si>
  <si>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</si>
  <si>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</si>
  <si>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</si>
  <si>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</si>
  <si>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</si>
  <si>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</si>
  <si>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</si>
  <si>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</si>
  <si>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</si>
  <si>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</si>
  <si>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</si>
  <si>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</si>
  <si>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</si>
  <si>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</si>
  <si>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</si>
  <si>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</si>
  <si>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</si>
  <si>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Reduction of throughput times
• Prioritization of production orders
• Legal requirements, e.g. special shifts
• External production options
• Capacity distribution
• Possibility of site expansion
• Contracts
• Performance capability</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</si>
  <si>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</si>
  <si>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</si>
  <si>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</si>
  <si>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</si>
  <si>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</si>
  <si>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</si>
  <si>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</si>
  <si>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</si>
  <si>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</si>
  <si>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</si>
  <si>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</si>
  <si>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</si>
  <si>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</si>
  <si>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</si>
  <si>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</si>
  <si>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</si>
  <si>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</si>
  <si>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</si>
  <si>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</si>
  <si>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</si>
  <si>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</si>
  <si>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</si>
  <si>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</si>
  <si>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</si>
  <si>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</si>
  <si>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</si>
  <si>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</si>
  <si>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</si>
  <si>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</si>
  <si>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</si>
  <si>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</si>
  <si>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</si>
  <si>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</si>
  <si>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</si>
  <si>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</si>
  <si>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</si>
  <si>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</si>
  <si>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</si>
  <si>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</si>
  <si>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</si>
  <si>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</si>
  <si>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</si>
  <si>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</si>
  <si>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</si>
  <si>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</si>
  <si>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</si>
  <si>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</si>
  <si>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</si>
  <si>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</si>
  <si>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</si>
  <si>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</si>
  <si>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</si>
  <si>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</si>
  <si>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</si>
  <si>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</si>
  <si>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</si>
  <si>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</si>
  <si>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</si>
  <si>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</si>
  <si>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</si>
  <si>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</si>
  <si>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</si>
  <si>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</si>
  <si>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</si>
  <si>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</si>
  <si>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</si>
  <si>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</si>
  <si>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</si>
  <si>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</si>
  <si>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</si>
  <si>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</si>
  <si>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</si>
  <si>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</si>
  <si>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</si>
  <si>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</si>
  <si>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</si>
  <si>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</si>
  <si>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</si>
  <si>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</si>
  <si>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</si>
  <si>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</si>
  <si>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</si>
  <si>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</si>
  <si>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</si>
  <si>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</si>
  <si>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</si>
  <si>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</si>
  <si>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</si>
  <si>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</si>
  <si>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</si>
  <si>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</si>
  <si>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</si>
  <si>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</si>
  <si>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</si>
  <si>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</si>
  <si>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</si>
  <si>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</si>
  <si>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</si>
  <si>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</si>
  <si>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</si>
  <si>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</si>
  <si>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</si>
  <si>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</si>
  <si>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</si>
  <si>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</si>
  <si>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</si>
  <si>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</si>
  <si>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</si>
  <si>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</si>
  <si>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</si>
  <si>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</si>
  <si>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</si>
  <si>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</si>
  <si>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</si>
  <si>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</si>
  <si>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</si>
  <si>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</si>
  <si>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</si>
  <si>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</si>
  <si>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</si>
  <si>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</si>
  <si>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</si>
  <si>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</si>
  <si>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</si>
  <si>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</si>
  <si>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</si>
  <si>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</si>
  <si>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</si>
  <si>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</si>
  <si>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</si>
  <si>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</si>
  <si>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</si>
  <si>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</si>
  <si>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</si>
  <si>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</si>
  <si>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</si>
  <si>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</si>
  <si>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</si>
  <si>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</si>
  <si>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</si>
  <si>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</si>
  <si>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</si>
  <si>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</si>
  <si>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</si>
  <si>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</si>
  <si>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</si>
  <si>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</si>
  <si>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</si>
  <si>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</si>
  <si>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</si>
  <si>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</si>
  <si>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</si>
  <si>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</si>
  <si>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</si>
  <si>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</si>
  <si>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</si>
  <si>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</si>
  <si>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xml:space="preserve">1. The process descriptions, work instructions and other relevant documents are clearly described with an adequate degree of detail.
2. Only quality-capable logistical suppliers and service providers are selected, in accordance with established criteria (e.g. Q-capability, Q-performance).
3. During introducing new products or reviewing performance, formal evaluation instruments are used.
4. Risks in the supply chain (internal/external) are identified, evaluated and mitigated using suitable measures.
5. In supplier development, defined measures are monitored. </t>
  </si>
  <si>
    <t>• Process plans
• Audit results (e.g. VDA 6.8, Global MMOG/LE)
• List of approved/alternative suppliers and service providers
• Certificates (QM systems)  
• Quality performance overview of suppliers
• Defined criteria for the selection of suppliers 
• Quality capability evaluation based on KPIs
• Escalation level
• Audit results of the suppliers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</si>
  <si>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</si>
  <si>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</si>
  <si>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</si>
  <si>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</si>
  <si>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</si>
  <si>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</si>
  <si>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</si>
  <si>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</si>
  <si>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</si>
  <si>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</si>
  <si>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</si>
  <si>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</si>
  <si>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</si>
  <si>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</si>
  <si>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</si>
  <si>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</si>
  <si>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</si>
  <si>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</si>
  <si>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</si>
  <si>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</si>
  <si>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Items</t>
    <phoneticPr fontId="0" type="noConversion"/>
  </si>
  <si>
    <t>Relevant Question in VDA6.8 version</t>
    <phoneticPr fontId="0" type="noConversion"/>
  </si>
  <si>
    <t>Remarks</t>
    <phoneticPr fontId="0" type="noConversion"/>
  </si>
  <si>
    <t>Checked or Not</t>
    <phoneticPr fontId="36" type="noConversion"/>
  </si>
  <si>
    <t>Organization &amp; IT facilities</t>
    <phoneticPr fontId="36" type="noConversion"/>
  </si>
  <si>
    <t>Organisation and competence of Supply chain relevant functions
Employee qualification levels</t>
    <phoneticPr fontId="36" type="noConversion"/>
  </si>
  <si>
    <t xml:space="preserve">IT infrastructure </t>
    <phoneticPr fontId="0" type="noConversion"/>
  </si>
  <si>
    <r>
      <rPr>
        <b/>
        <sz val="10"/>
        <color theme="1"/>
        <rFont val="Audi Type"/>
        <family val="2"/>
      </rPr>
      <t>P3. Sub-contractor system (e.g.: Sub-supplier rating/KPI system)</t>
    </r>
    <r>
      <rPr>
        <sz val="10"/>
        <color theme="1"/>
        <rFont val="Audi Type"/>
        <family val="2"/>
      </rPr>
      <t xml:space="preserve">
Cover scope; Stability, interface matrix, Support functions</t>
    </r>
  </si>
  <si>
    <r>
      <rPr>
        <b/>
        <sz val="10"/>
        <color theme="1"/>
        <rFont val="Audi Type"/>
        <family val="2"/>
      </rPr>
      <t>P6. In-house logistics system (WM &amp; EDI)</t>
    </r>
    <r>
      <rPr>
        <sz val="10"/>
        <color theme="1"/>
        <rFont val="Audi Type"/>
        <family val="2"/>
      </rPr>
      <t xml:space="preserve">
- Inhouse IT facilities (e.g.: WMS, PPS, RFID, etc)
- EDI functions
</t>
    </r>
  </si>
  <si>
    <r>
      <t xml:space="preserve">EDI (Electronic Data Interchange) and delivery schedules </t>
    </r>
    <r>
      <rPr>
        <b/>
        <sz val="10"/>
        <color theme="1"/>
        <rFont val="Audi Type"/>
        <family val="2"/>
      </rPr>
      <t>(for Sub-contractors)</t>
    </r>
    <r>
      <rPr>
        <sz val="10"/>
        <color theme="1"/>
        <rFont val="Audi Type"/>
        <family val="2"/>
      </rPr>
      <t xml:space="preserve">
</t>
    </r>
    <r>
      <rPr>
        <b/>
        <sz val="10"/>
        <color theme="1"/>
        <rFont val="Audi Type"/>
        <family val="2"/>
      </rPr>
      <t xml:space="preserve">
SRM system</t>
    </r>
  </si>
  <si>
    <t>Information-flow</t>
    <phoneticPr fontId="36" type="noConversion"/>
  </si>
  <si>
    <t>Delivery status and backlogs</t>
    <phoneticPr fontId="0" type="noConversion"/>
  </si>
  <si>
    <t>7.3</t>
    <phoneticPr fontId="36" type="noConversion"/>
  </si>
  <si>
    <t xml:space="preserve">Production programme planning </t>
    <phoneticPr fontId="0" type="noConversion"/>
  </si>
  <si>
    <t>1. MRP&lt;-&gt;Inventory&lt;-&gt;PP, BOM, Monitoring process of PP</t>
    <phoneticPr fontId="0" type="noConversion"/>
  </si>
  <si>
    <t>2. Customer demand&lt;-&gt; PP, Material basis PP, ERP/MES system involvement
3. Output implementation &amp; reporting</t>
    <phoneticPr fontId="0" type="noConversion"/>
  </si>
  <si>
    <t>3. Maintenance involvement, Planned &amp; Unplanned maintenance, &amp; Improvement, Arrangement of maintenance</t>
    <phoneticPr fontId="0" type="noConversion"/>
  </si>
  <si>
    <t xml:space="preserve">3. different orders setup, unprocessed &amp; unusual order treatment, system paramenters (MRP) setup, communication between different functional teams of containers &amp; batch size </t>
    <phoneticPr fontId="0" type="noConversion"/>
  </si>
  <si>
    <t>Material-flow</t>
    <phoneticPr fontId="36" type="noConversion"/>
  </si>
  <si>
    <t>3. Requirement verification, mesures of deviations</t>
    <phoneticPr fontId="0" type="noConversion"/>
  </si>
  <si>
    <t>4. un/loading activities, package concept (e.g.: JIS/JIT, stackability, damage protection, etc.)</t>
    <phoneticPr fontId="0" type="noConversion"/>
  </si>
  <si>
    <t>Incoming goods inspection</t>
    <phoneticPr fontId="0" type="noConversion"/>
  </si>
  <si>
    <t>Warehouse infrastructure
Stock levels and inventory management*</t>
    <phoneticPr fontId="0" type="noConversion"/>
  </si>
  <si>
    <t>FIFO principle  ("first in, first out")*</t>
    <phoneticPr fontId="0" type="noConversion"/>
  </si>
  <si>
    <t xml:space="preserve">Capacity situation at the warehouse </t>
    <phoneticPr fontId="0" type="noConversion"/>
  </si>
  <si>
    <t>Handling of non-conforming production goods</t>
    <phoneticPr fontId="0" type="noConversion"/>
  </si>
  <si>
    <t>To Customer
2. un/loading activities, package concept (e.g.: JIS/JIT, stackability, damage protection, etc.)</t>
    <phoneticPr fontId="0" type="noConversion"/>
  </si>
  <si>
    <t>Occupational safety and ergonomics</t>
    <phoneticPr fontId="0" type="noConversion"/>
  </si>
  <si>
    <t>Management oif Container / packaging 
Internal &amp; customers' labelling</t>
    <phoneticPr fontId="0" type="noConversion"/>
  </si>
  <si>
    <r>
      <rPr>
        <b/>
        <sz val="10"/>
        <color theme="1"/>
        <rFont val="Audi Type"/>
        <family val="2"/>
      </rPr>
      <t>-Qtys &amp; Circulation of Containers &lt;-&gt; Production &amp; Customers requirement</t>
    </r>
    <r>
      <rPr>
        <sz val="10"/>
        <color theme="1"/>
        <rFont val="Audi Type"/>
        <family val="2"/>
      </rPr>
      <t xml:space="preserve">
-Alternative package
-Procedure of containers' tracking &amp; audit
-re-invest package</t>
    </r>
  </si>
  <si>
    <t>Project management</t>
    <phoneticPr fontId="36" type="noConversion"/>
  </si>
  <si>
    <t>project escalation process</t>
    <phoneticPr fontId="0" type="noConversion"/>
  </si>
  <si>
    <t>References in launch and serial production phases</t>
    <phoneticPr fontId="0" type="noConversion"/>
  </si>
  <si>
    <t>Sub-suppliers management</t>
    <phoneticPr fontId="36" type="noConversion"/>
  </si>
  <si>
    <r>
      <t>1. trigger critical parts management via backlog, delivery delays, inventory monitoring, ect.</t>
    </r>
    <r>
      <rPr>
        <b/>
        <sz val="10"/>
        <color theme="1"/>
        <rFont val="Audi Type"/>
        <family val="2"/>
      </rPr>
      <t xml:space="preserve"> (4.2-&gt;4.5)</t>
    </r>
    <r>
      <rPr>
        <sz val="10"/>
        <color theme="1"/>
        <rFont val="Audi Type"/>
        <family val="2"/>
      </rPr>
      <t xml:space="preserve">
2. Escalation process &amp; matrix
3. Specific communication channel &amp; person in escalation matrix, backlog delivery trakcing process, definition criteria.</t>
    </r>
  </si>
  <si>
    <t>Supplier nomination procedure</t>
    <phoneticPr fontId="0" type="noConversion"/>
  </si>
  <si>
    <t xml:space="preserve">Supplier assessment systems </t>
    <phoneticPr fontId="0" type="noConversion"/>
  </si>
  <si>
    <t>Complaint process of sub-service (sub-supplier or logistical service supplier)</t>
    <phoneticPr fontId="36" type="noConversion"/>
  </si>
  <si>
    <t>1. Logistics complaint requirement (including in Guidelines &amp; WI)
2. Supply relevant complaince
3. Responsible person list</t>
    <phoneticPr fontId="36" type="noConversion"/>
  </si>
  <si>
    <t>Risk management / emergency planning in case of operational disruption</t>
    <phoneticPr fontId="0" type="noConversion"/>
  </si>
  <si>
    <t>Kaizen - activities (Continuous Improvement Process (CIP))</t>
    <phoneticPr fontId="0" type="noConversion"/>
  </si>
  <si>
    <t>VDA1.2.4</t>
  </si>
  <si>
    <t>*VDA1.2.5</t>
  </si>
  <si>
    <t>VDA1.4.1</t>
  </si>
  <si>
    <t>*VDA1.4.2</t>
  </si>
  <si>
    <t>*VDA1.5.1</t>
  </si>
  <si>
    <t>VDA1.5.4</t>
  </si>
  <si>
    <t>*VDA1.6.3</t>
  </si>
  <si>
    <t>*VDA2.2.3</t>
  </si>
  <si>
    <t>*VDA1.2.3</t>
  </si>
  <si>
    <t>*VDA2.2.5</t>
  </si>
  <si>
    <t>*VDA2.3.4</t>
  </si>
  <si>
    <t>*VDA2.6.1</t>
  </si>
  <si>
    <t>*VDA3.2.1</t>
  </si>
  <si>
    <t>*VDA3.2.2</t>
  </si>
  <si>
    <t>VDA3.2.3</t>
  </si>
  <si>
    <t>VDA3.2.4</t>
  </si>
  <si>
    <t>VDA3.2.6</t>
  </si>
  <si>
    <t>*VDA3.4.2</t>
  </si>
  <si>
    <t>*VDA3.5.1</t>
  </si>
  <si>
    <t>*VDA4.1.4</t>
  </si>
  <si>
    <t>*VDA4.2.1</t>
  </si>
  <si>
    <t>VDA4.2.2</t>
  </si>
  <si>
    <t>*VDA4.2.3</t>
  </si>
  <si>
    <t>VDA4.2.4</t>
  </si>
  <si>
    <t>VDA4.2.5</t>
  </si>
  <si>
    <t>*VDA4.4.2</t>
  </si>
  <si>
    <t>*VDA4.4.4</t>
  </si>
  <si>
    <t>VDA4.5.1</t>
  </si>
  <si>
    <t>*VDA5.2.1</t>
  </si>
  <si>
    <t>*VDA5.2.4</t>
  </si>
  <si>
    <t>*VDA5.4.1</t>
  </si>
  <si>
    <t>*VDA6.1.3</t>
  </si>
  <si>
    <t>*VDA6.2.1</t>
  </si>
  <si>
    <t>*VDA6.2.3</t>
  </si>
  <si>
    <t>*VDA6.2.4</t>
  </si>
  <si>
    <t>VDA6.2.5</t>
  </si>
  <si>
    <t>*VDA6.2.6</t>
  </si>
  <si>
    <t>VDA6.2.7</t>
  </si>
  <si>
    <t>VDA6.2.8</t>
  </si>
  <si>
    <t>*VDA6.2.9</t>
  </si>
  <si>
    <t>*VDA6.2.10</t>
  </si>
  <si>
    <t>*VDA6.4.1</t>
  </si>
  <si>
    <t>*VDA6.4.2</t>
  </si>
  <si>
    <t>VDA6.4.3</t>
  </si>
  <si>
    <t>*VDA6.4.4</t>
  </si>
  <si>
    <t>VDA6.4.5</t>
  </si>
  <si>
    <t>VDA6.4.6</t>
  </si>
  <si>
    <t>*VDA6.5.1</t>
  </si>
  <si>
    <t>*VDA7.2.1</t>
  </si>
  <si>
    <t>*VDA7.2.2</t>
  </si>
  <si>
    <t>Certification of supplier</t>
  </si>
  <si>
    <t>VDA5.1.1</t>
  </si>
  <si>
    <t>nomination of new sub-contractor:
1. Sub-capacity observation &amp; ensuring
2. KPIs and necessary parameter tracking process
3. KPIs definition (with Contract)
4. riks info transferring should be defined.</t>
  </si>
  <si>
    <t>EDI function contain below:
2. Call-off, delivery schedules</t>
  </si>
  <si>
    <t>1. KPIs (of sub-delivery &amp; defect rate) tracking &amp; monitoring
2. further actions of deviations</t>
  </si>
  <si>
    <r>
      <rPr>
        <b/>
        <sz val="10"/>
        <color theme="1"/>
        <rFont val="Audi Type"/>
        <family val="2"/>
      </rPr>
      <t>1. Package development process &lt;-&gt; Customer's specific &amp; ESG requirement</t>
    </r>
    <r>
      <rPr>
        <sz val="10"/>
        <color theme="1"/>
        <rFont val="Audi Type"/>
        <family val="2"/>
      </rPr>
      <t xml:space="preserve"> (e.g.: Recyclable materials)
</t>
    </r>
    <r>
      <rPr>
        <b/>
        <sz val="10"/>
        <color theme="1"/>
        <rFont val="Audi Type"/>
        <family val="2"/>
      </rPr>
      <t xml:space="preserve">2. </t>
    </r>
    <r>
      <rPr>
        <b/>
        <u/>
        <sz val="10"/>
        <color theme="1"/>
        <rFont val="Audi Type"/>
        <family val="2"/>
      </rPr>
      <t>Customers' labelling design</t>
    </r>
  </si>
  <si>
    <t>2. Relevant items should be included.
3. WI of new project</t>
  </si>
  <si>
    <t>1. Project handover process</t>
  </si>
  <si>
    <t>KPI systems</t>
  </si>
  <si>
    <r>
      <rPr>
        <b/>
        <sz val="10"/>
        <color theme="1"/>
        <rFont val="Audi Type"/>
        <family val="2"/>
      </rPr>
      <t xml:space="preserve">1. Certification to IATF 16949
2. Certification to DIN EN 14001
</t>
    </r>
    <r>
      <rPr>
        <sz val="10"/>
        <color theme="1"/>
        <rFont val="Audi Type"/>
        <family val="2"/>
      </rPr>
      <t>3. Special definition of material-flow
e.g.: ESG criteria (Environmental, Social, Governance)
4. Customer speical requirements of ESG (if have)</t>
    </r>
  </si>
  <si>
    <t>*VDA1.1.1</t>
  </si>
  <si>
    <r>
      <t>1. Enviromental risks analysis "</t>
    </r>
    <r>
      <rPr>
        <b/>
        <sz val="10"/>
        <color theme="1"/>
        <rFont val="Audi Type"/>
        <family val="2"/>
      </rPr>
      <t>From Experience to New projects</t>
    </r>
    <r>
      <rPr>
        <sz val="10"/>
        <color theme="1"/>
        <rFont val="Audi Type"/>
        <family val="2"/>
      </rPr>
      <t xml:space="preserve">"(e.g., via SWOT/PESTEL analysis)?
</t>
    </r>
    <r>
      <rPr>
        <i/>
        <sz val="8"/>
        <color theme="1"/>
        <rFont val="Audi Type"/>
        <family val="2"/>
      </rPr>
      <t>SWOT = Strengh, weakness, Oppotunities, Threat
PESTEL = Political, Economic, Social, Environmental, Legal</t>
    </r>
  </si>
  <si>
    <t>Experience collection of project risks via past project</t>
  </si>
  <si>
    <t>1. Supply Chain relevant items were involved
-&gt; ERP master-data creating in Project milestone
2. Logistics planning launching must link to Project management</t>
  </si>
  <si>
    <t>nomination of new sub-contractor:
0. Critical definition of suppliers or components
1. All needed elements were contained in nomination
2. capacity definition in nomination phase</t>
  </si>
  <si>
    <t>Part handling respecting quality and part protection</t>
  </si>
  <si>
    <t>4.2.3</t>
  </si>
  <si>
    <r>
      <rPr>
        <b/>
        <sz val="10"/>
        <color theme="1"/>
        <rFont val="Audi Type"/>
        <family val="2"/>
      </rPr>
      <t xml:space="preserve">Incoming goods: </t>
    </r>
    <r>
      <rPr>
        <sz val="10"/>
        <color theme="1"/>
        <rFont val="Audi Type"/>
        <family val="2"/>
      </rPr>
      <t>Transport concept (modes &amp; routes), prioritized, time winodws</t>
    </r>
  </si>
  <si>
    <r>
      <t xml:space="preserve">Material-flow monitoring &amp; controlling
</t>
    </r>
    <r>
      <rPr>
        <b/>
        <sz val="10"/>
        <color theme="1"/>
        <rFont val="Audi Type"/>
        <family val="2"/>
      </rPr>
      <t>(Focusing on Batch, FIFO, Sequence)</t>
    </r>
  </si>
  <si>
    <t>7.5.1</t>
  </si>
  <si>
    <t>*VDA7.5.1</t>
  </si>
  <si>
    <t>1. Project tracking process
2. Project KPIs definition, setup &amp; using in project team
3. when the deviation happened, what's the further actions</t>
  </si>
  <si>
    <r>
      <rPr>
        <b/>
        <sz val="10"/>
        <color theme="1"/>
        <rFont val="Audi Type"/>
        <family val="2"/>
      </rPr>
      <t>P4. ERP system  (SD, PP, MM)</t>
    </r>
    <r>
      <rPr>
        <sz val="10"/>
        <color theme="1"/>
        <rFont val="Audi Type"/>
        <family val="2"/>
      </rPr>
      <t xml:space="preserve">
- Reliability, Stability, KPI of ERP setup, Data protection</t>
    </r>
  </si>
  <si>
    <r>
      <rPr>
        <b/>
        <sz val="10"/>
        <color theme="1"/>
        <rFont val="Audi Type"/>
        <family val="2"/>
      </rPr>
      <t>All IT infrastructure</t>
    </r>
    <r>
      <rPr>
        <sz val="10"/>
        <color theme="1"/>
        <rFont val="Audi Type"/>
        <family val="2"/>
      </rPr>
      <t xml:space="preserve">
1. maximum tolerable downtimes for IT elements?
2. further actions after downtimes for IT
3. Emergency &amp; Backup plan (e.g.: TISAX)</t>
    </r>
  </si>
  <si>
    <t>1. proactive communication with customer (e.g.: CRM)
2. escalation levels of communication process
3. Communication of Changes between Supplier &lt;-&gt; Customers (including "Change management")</t>
  </si>
  <si>
    <t>Percent (max.)</t>
  </si>
  <si>
    <t>Percent (real)</t>
  </si>
  <si>
    <t>Chart
(critera.)</t>
    <phoneticPr fontId="35" type="noConversion"/>
  </si>
  <si>
    <t>Chart
(standard)</t>
  </si>
  <si>
    <t xml:space="preserve"> Process element 1: 
Project management/strategy</t>
    <phoneticPr fontId="35" type="noConversion"/>
  </si>
  <si>
    <t>Process element 2: 
Planning of logistical processes</t>
    <phoneticPr fontId="35" type="noConversion"/>
  </si>
  <si>
    <t xml:space="preserve">Process element 3: 
Supplier and service provider management </t>
    <phoneticPr fontId="35" type="noConversion"/>
  </si>
  <si>
    <t>Process element 4: 
Procurement logistics</t>
    <phoneticPr fontId="35" type="noConversion"/>
  </si>
  <si>
    <t>Process element 5: 
Transport logistics</t>
    <phoneticPr fontId="35" type="noConversion"/>
  </si>
  <si>
    <t>Process element 6: 
In-house-logistics</t>
    <phoneticPr fontId="35" type="noConversion"/>
  </si>
  <si>
    <t>Process element 7: 
Customer management</t>
    <phoneticPr fontId="35" type="noConversion"/>
  </si>
  <si>
    <r>
      <rPr>
        <b/>
        <sz val="12"/>
        <color theme="1"/>
        <rFont val="Audi Type"/>
        <family val="2"/>
      </rPr>
      <t xml:space="preserve">Reasons for downgrading from A to B despite compliance level E_G or E_G(Ln) ≥90 %
</t>
    </r>
    <r>
      <rPr>
        <sz val="12"/>
        <color theme="1"/>
        <rFont val="Audi Type"/>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Audi Type"/>
        <family val="2"/>
      </rPr>
      <t xml:space="preserve">
Reasons for downgrading to C despite compliance level E_G or E_G(Ln) ≥80 %
</t>
    </r>
    <r>
      <rPr>
        <sz val="12"/>
        <color theme="1"/>
        <rFont val="Audi Type"/>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Audi Type"/>
        <family val="2"/>
      </rPr>
      <t xml:space="preserve">"No result!" =  less than 2/3 of questions per process element have been answered!
</t>
    </r>
  </si>
  <si>
    <t>Li, Jiajun (C/OP-5)</t>
  </si>
  <si>
    <t>Audi China Supply Chain Great Asia</t>
  </si>
  <si>
    <t xml:space="preserve">Audit was not passed successfully, Short summary of main open tasks and findings:
Cost for re-audit have to be covered by supplier due to shared Audit Guideline.
</t>
  </si>
  <si>
    <r>
      <rPr>
        <b/>
        <sz val="10"/>
        <color theme="1"/>
        <rFont val="Audi Type"/>
        <family val="2"/>
      </rPr>
      <t>PE6. In-house logistics:</t>
    </r>
    <r>
      <rPr>
        <sz val="10"/>
        <color theme="1"/>
        <rFont val="Audi Type"/>
        <family val="2"/>
      </rPr>
      <t xml:space="preserve">
-Definition of KPI
-KPI tracking
-immediate actions for deviation of KPI
-Root cause analysis when deviation of KPI 
</t>
    </r>
  </si>
  <si>
    <r>
      <t xml:space="preserve">P7. Customer management
</t>
    </r>
    <r>
      <rPr>
        <b/>
        <sz val="10"/>
        <color theme="1"/>
        <rFont val="Audi Type"/>
        <family val="2"/>
      </rPr>
      <t>-Customers' KPI result and optimization tracking</t>
    </r>
  </si>
  <si>
    <r>
      <rPr>
        <b/>
        <sz val="10"/>
        <color theme="1"/>
        <rFont val="Audi Type"/>
        <family val="2"/>
      </rPr>
      <t>Warning process of inventory monitoring</t>
    </r>
    <r>
      <rPr>
        <sz val="10"/>
        <color theme="1"/>
        <rFont val="Audi Type"/>
        <family val="2"/>
      </rPr>
      <t>; Verifications of Inventory; Obsolete stock management</t>
    </r>
  </si>
  <si>
    <r>
      <t xml:space="preserve">- </t>
    </r>
    <r>
      <rPr>
        <b/>
        <sz val="10"/>
        <color theme="1"/>
        <rFont val="Audi Type"/>
        <family val="2"/>
      </rPr>
      <t>Obsolete/Sluggish parts</t>
    </r>
    <r>
      <rPr>
        <sz val="10"/>
        <color theme="1"/>
        <rFont val="Audi Type"/>
        <family val="2"/>
      </rPr>
      <t xml:space="preserve"> identified &amp; management</t>
    </r>
  </si>
  <si>
    <r>
      <rPr>
        <b/>
        <sz val="10"/>
        <color theme="1"/>
        <rFont val="Audi Type"/>
        <family val="2"/>
      </rPr>
      <t>WIs</t>
    </r>
    <r>
      <rPr>
        <sz val="10"/>
        <color theme="1"/>
        <rFont val="Audi Type"/>
        <family val="2"/>
      </rPr>
      <t xml:space="preserve"> are available or not ( &amp; Specification's WI)</t>
    </r>
  </si>
  <si>
    <r>
      <t xml:space="preserve">Plant &amp; </t>
    </r>
    <r>
      <rPr>
        <b/>
        <sz val="10"/>
        <color theme="1"/>
        <rFont val="Audi Type"/>
        <family val="2"/>
      </rPr>
      <t>warehouse infrastructure</t>
    </r>
    <r>
      <rPr>
        <sz val="10"/>
        <color theme="1"/>
        <rFont val="Audi Type"/>
        <family val="2"/>
      </rPr>
      <t xml:space="preserve"> definition</t>
    </r>
  </si>
  <si>
    <r>
      <t xml:space="preserve">WI &amp; Process of </t>
    </r>
    <r>
      <rPr>
        <b/>
        <sz val="10"/>
        <color theme="1"/>
        <rFont val="Audi Type"/>
        <family val="2"/>
      </rPr>
      <t>IQC</t>
    </r>
  </si>
  <si>
    <r>
      <t xml:space="preserve">1. WI of inhouse material-flow
2. </t>
    </r>
    <r>
      <rPr>
        <b/>
        <sz val="10"/>
        <color theme="1"/>
        <rFont val="Audi Type"/>
        <family val="2"/>
      </rPr>
      <t>Planning of FIFO</t>
    </r>
  </si>
  <si>
    <r>
      <t xml:space="preserve">Material-flow tracking &amp; monitoring
(Focusing on </t>
    </r>
    <r>
      <rPr>
        <b/>
        <sz val="10"/>
        <color theme="1"/>
        <rFont val="Audi Type"/>
        <family val="2"/>
      </rPr>
      <t>Parts</t>
    </r>
    <r>
      <rPr>
        <sz val="10"/>
        <color theme="1"/>
        <rFont val="Audi Type"/>
        <family val="2"/>
      </rPr>
      <t xml:space="preserve"> </t>
    </r>
    <r>
      <rPr>
        <b/>
        <sz val="10"/>
        <color theme="1"/>
        <rFont val="Audi Type"/>
        <family val="2"/>
      </rPr>
      <t>* Correct Position/Bin</t>
    </r>
    <r>
      <rPr>
        <sz val="10"/>
        <color theme="1"/>
        <rFont val="Audi Type"/>
        <family val="2"/>
      </rPr>
      <t>)</t>
    </r>
  </si>
  <si>
    <r>
      <t xml:space="preserve">Material-flow tracking &amp; monitoring
(Focusing on </t>
    </r>
    <r>
      <rPr>
        <b/>
        <sz val="10"/>
        <color theme="1"/>
        <rFont val="Audi Type"/>
        <family val="2"/>
      </rPr>
      <t>Qtys</t>
    </r>
    <r>
      <rPr>
        <sz val="10"/>
        <color theme="1"/>
        <rFont val="Audi Type"/>
        <family val="2"/>
      </rPr>
      <t>)</t>
    </r>
  </si>
  <si>
    <r>
      <rPr>
        <b/>
        <sz val="10"/>
        <color theme="1"/>
        <rFont val="Audi Type"/>
        <family val="2"/>
      </rPr>
      <t>Part handling respecting quality and part protection</t>
    </r>
    <r>
      <rPr>
        <sz val="10"/>
        <color theme="1"/>
        <rFont val="Audi Type"/>
        <family val="2"/>
      </rPr>
      <t xml:space="preserve">
-&gt; space, infrastructure (roofed un/loading is necessary or not) , software</t>
    </r>
  </si>
  <si>
    <r>
      <t xml:space="preserve">1. </t>
    </r>
    <r>
      <rPr>
        <b/>
        <u/>
        <sz val="10"/>
        <color theme="1"/>
        <rFont val="Audi Type"/>
        <family val="2"/>
      </rPr>
      <t>faulty/non-conforming goods</t>
    </r>
    <r>
      <rPr>
        <sz val="10"/>
        <color theme="1"/>
        <rFont val="Audi Type"/>
        <family val="2"/>
      </rPr>
      <t xml:space="preserve"> definition &amp; measures (&amp; WI of this kind of goods)</t>
    </r>
  </si>
  <si>
    <r>
      <t xml:space="preserve">1. labelling during inhouse material-flow, display different situations (non-conforming, faulty containers, etc.)
2. </t>
    </r>
    <r>
      <rPr>
        <b/>
        <sz val="10"/>
        <color theme="1"/>
        <rFont val="Audi Type"/>
        <family val="2"/>
      </rPr>
      <t>Physical container/package management</t>
    </r>
    <r>
      <rPr>
        <sz val="10"/>
        <color theme="1"/>
        <rFont val="Audi Type"/>
        <family val="2"/>
      </rPr>
      <t>:
1). Tracking; 2). Identify of non-conforming package, 3). Special container, 4). Cleaning and labelling</t>
    </r>
  </si>
  <si>
    <r>
      <t xml:space="preserve">- </t>
    </r>
    <r>
      <rPr>
        <b/>
        <sz val="10"/>
        <color theme="1"/>
        <rFont val="Audi Type"/>
        <family val="2"/>
      </rPr>
      <t>Logistics planning</t>
    </r>
    <r>
      <rPr>
        <sz val="10"/>
        <color theme="1"/>
        <rFont val="Audi Type"/>
        <family val="2"/>
      </rPr>
      <t xml:space="preserve"> (Packaging planning, Material-flow planning, Warehouse space planning, etc.)
</t>
    </r>
    <r>
      <rPr>
        <b/>
        <sz val="10"/>
        <color theme="1"/>
        <rFont val="Audi Type"/>
        <family val="2"/>
      </rPr>
      <t>- Information-flow operation (SD, PP &amp; MRP)
- Inbound &amp; inhouse &amp; logistics operation
- Sub-suppliers management team</t>
    </r>
  </si>
  <si>
    <t>NO.</t>
  </si>
  <si>
    <t xml:space="preserve">Dependency on basic material supply </t>
  </si>
  <si>
    <t>Goods receipt</t>
  </si>
  <si>
    <t>Incoming goods: Qtys &amp; delivery time vs. MRP</t>
  </si>
  <si>
    <r>
      <t xml:space="preserve">definition of </t>
    </r>
    <r>
      <rPr>
        <b/>
        <sz val="10"/>
        <color theme="1"/>
        <rFont val="Audi Type"/>
        <family val="2"/>
      </rPr>
      <t>warehouse capacity</t>
    </r>
    <r>
      <rPr>
        <sz val="10"/>
        <color theme="1"/>
        <rFont val="Audi Type"/>
        <family val="2"/>
      </rPr>
      <t>. (Project &amp; LO planning phase)</t>
    </r>
  </si>
  <si>
    <t>Warehouse capacity analyais (Series phase)</t>
  </si>
  <si>
    <t>ESG in Warehouse &amp; Workfloor area</t>
  </si>
  <si>
    <r>
      <rPr>
        <b/>
        <u/>
        <sz val="10"/>
        <color theme="1"/>
        <rFont val="Audi Type"/>
        <family val="2"/>
      </rPr>
      <t>Warehouse equipment</t>
    </r>
    <r>
      <rPr>
        <b/>
        <sz val="10"/>
        <color theme="1"/>
        <rFont val="Audi Type"/>
        <family val="2"/>
      </rPr>
      <t xml:space="preserve"> (E.g.: Folklift, etc)</t>
    </r>
    <r>
      <rPr>
        <b/>
        <u/>
        <sz val="10"/>
        <color theme="1"/>
        <rFont val="Audi Type"/>
        <family val="2"/>
      </rPr>
      <t xml:space="preserve">
</t>
    </r>
    <r>
      <rPr>
        <sz val="10"/>
        <color theme="1"/>
        <rFont val="Audi Type"/>
        <family val="2"/>
      </rPr>
      <t>Combined dimensions of "</t>
    </r>
    <r>
      <rPr>
        <b/>
        <sz val="10"/>
        <color theme="1"/>
        <rFont val="Audi Type"/>
        <family val="2"/>
      </rPr>
      <t>location* time * qty * quality</t>
    </r>
    <r>
      <rPr>
        <sz val="10"/>
        <color theme="1"/>
        <rFont val="Audi Type"/>
        <family val="2"/>
      </rPr>
      <t>"</t>
    </r>
  </si>
  <si>
    <r>
      <t xml:space="preserve">Connection between Customer&lt;-&gt; Supplier of shipment
</t>
    </r>
    <r>
      <rPr>
        <b/>
        <sz val="10"/>
        <color theme="1"/>
        <rFont val="Audi Type"/>
        <family val="2"/>
      </rPr>
      <t>Outgoing goods:</t>
    </r>
    <r>
      <rPr>
        <sz val="10"/>
        <color theme="1"/>
        <rFont val="Audi Type"/>
        <family val="2"/>
      </rPr>
      <t xml:space="preserve"> Transport concept (modes &amp; routes), prioritized, time winodws</t>
    </r>
  </si>
  <si>
    <r>
      <t xml:space="preserve">Measures definition and implementation  (e.g., </t>
    </r>
    <r>
      <rPr>
        <b/>
        <sz val="10"/>
        <color theme="1"/>
        <rFont val="Audi Type"/>
        <family val="2"/>
      </rPr>
      <t>Needed info; Supporting: Poka-Yoke, FIFO/FEFO; Avoidng: Mixing/Wrong operation)</t>
    </r>
  </si>
  <si>
    <t>TPM of warehouse equipments &amp; Production infrastructure</t>
  </si>
  <si>
    <t>CIP of project management</t>
  </si>
  <si>
    <t>Verification of logistics planning results</t>
  </si>
  <si>
    <t>B2B &amp; Customer's connection</t>
  </si>
  <si>
    <r>
      <rPr>
        <b/>
        <sz val="10"/>
        <color theme="1"/>
        <rFont val="Audi Type"/>
        <family val="2"/>
      </rPr>
      <t>B2B platform management</t>
    </r>
    <r>
      <rPr>
        <sz val="10"/>
        <color theme="1"/>
        <rFont val="Audi Type"/>
        <family val="2"/>
      </rPr>
      <t xml:space="preserve">
Receving route Customer -&gt; Supplier</t>
    </r>
  </si>
  <si>
    <t>KPI &amp; CIP</t>
  </si>
  <si>
    <t>Warehouse infrastructure
Stock levels and inventory management*</t>
  </si>
  <si>
    <t>To Customer
1. Requirement verification, mesures of deviations
2. FG labelling operation (Internal label -&gt; Customer label)</t>
  </si>
  <si>
    <t>Incoming goods in Truck</t>
  </si>
  <si>
    <t>Warehouse infrastructure</t>
  </si>
  <si>
    <t>Coordination of shipments &amp; Shipping out</t>
  </si>
  <si>
    <t>TPM Plan</t>
  </si>
  <si>
    <t xml:space="preserve">Production programme planning </t>
  </si>
  <si>
    <r>
      <rPr>
        <b/>
        <sz val="10"/>
        <color theme="1"/>
        <rFont val="Audi Type"/>
        <family val="2"/>
      </rPr>
      <t>Short-term &amp; middle-term capacity analysis</t>
    </r>
  </si>
  <si>
    <t>Capacity analysis</t>
  </si>
  <si>
    <r>
      <rPr>
        <b/>
        <sz val="10"/>
        <color theme="1"/>
        <rFont val="Audi Type"/>
        <family val="2"/>
      </rPr>
      <t>New project capacity analysis (Long-term)</t>
    </r>
  </si>
  <si>
    <t>Customers' backlog tracking</t>
  </si>
  <si>
    <t>Operation software system</t>
  </si>
  <si>
    <t>Exchange with customer</t>
  </si>
  <si>
    <t>Project KPIs tracking</t>
  </si>
  <si>
    <t>Escalation management in projects</t>
  </si>
  <si>
    <t>Risk management of Sub-supplier or sub-service provider</t>
  </si>
  <si>
    <t>Interfaces definition (of change, standard &amp; escalation, performance exchange, EDI or not)</t>
  </si>
  <si>
    <t>Exchange with sub-supplier</t>
  </si>
  <si>
    <r>
      <rPr>
        <b/>
        <sz val="10"/>
        <color theme="1"/>
        <rFont val="Audi Type"/>
        <family val="2"/>
      </rPr>
      <t>In-house logistics</t>
    </r>
    <r>
      <rPr>
        <sz val="10"/>
        <color theme="1"/>
        <rFont val="Audi Type"/>
        <family val="2"/>
      </rPr>
      <t xml:space="preserve">
-Emergency plan development
-Ensuring of backup solutions
-Escalation process
- targeted location must build &amp; operating based on enviromental situation of the location</t>
    </r>
  </si>
  <si>
    <r>
      <rPr>
        <b/>
        <sz val="10"/>
        <color theme="1"/>
        <rFont val="Audi Type"/>
        <family val="2"/>
      </rPr>
      <t>KPIs of Information-flow</t>
    </r>
    <r>
      <rPr>
        <sz val="10"/>
        <color theme="1"/>
        <rFont val="Audi Type"/>
        <family val="2"/>
      </rPr>
      <t xml:space="preserve">
-further actions and root cause analysis if KPIs do not match target</t>
    </r>
  </si>
  <si>
    <r>
      <t xml:space="preserve">Resource planning in the project
</t>
    </r>
    <r>
      <rPr>
        <b/>
        <sz val="10"/>
        <color theme="1"/>
        <rFont val="Audi Type"/>
        <family val="2"/>
      </rPr>
      <t>SOP &amp; EOP trigger</t>
    </r>
  </si>
  <si>
    <r>
      <t xml:space="preserve">Supply Chain relevant issues
</t>
    </r>
    <r>
      <rPr>
        <b/>
        <sz val="10"/>
        <color theme="1"/>
        <rFont val="Audi Type"/>
        <family val="2"/>
      </rPr>
      <t>EOP goods management strategy</t>
    </r>
  </si>
  <si>
    <r>
      <rPr>
        <b/>
        <sz val="10"/>
        <color theme="1"/>
        <rFont val="Audi Type"/>
        <family val="2"/>
      </rPr>
      <t>1. Project organization and responsibilities</t>
    </r>
    <r>
      <rPr>
        <sz val="10"/>
        <color theme="1"/>
        <rFont val="Audi Type"/>
        <family val="2"/>
      </rPr>
      <t xml:space="preserve">
2. Project resource collection &amp; arrangement
3. Project parts can implement Change management
4. Qualifid employees were chose to project team
5. Deputy structure of key roles
6. link between internal &amp; external team
</t>
    </r>
    <r>
      <rPr>
        <b/>
        <sz val="10"/>
        <color theme="1"/>
        <rFont val="Audi Type"/>
        <family val="2"/>
      </rPr>
      <t>* SOP &amp; EOP definition</t>
    </r>
  </si>
  <si>
    <t>Emergency plan</t>
  </si>
  <si>
    <r>
      <rPr>
        <b/>
        <sz val="10"/>
        <color theme="1"/>
        <rFont val="Audi Type"/>
        <family val="2"/>
      </rPr>
      <t>Transport logistics</t>
    </r>
    <r>
      <rPr>
        <sz val="10"/>
        <color theme="1"/>
        <rFont val="Audi Type"/>
        <family val="2"/>
      </rPr>
      <t xml:space="preserve"> (especially: S.C. interruption; IT)
include the environmental conditions of locations</t>
    </r>
  </si>
  <si>
    <t>TPM operation</t>
  </si>
  <si>
    <r>
      <rPr>
        <b/>
        <sz val="10"/>
        <color theme="1"/>
        <rFont val="Audi Type"/>
        <family val="2"/>
      </rPr>
      <t>Project system</t>
    </r>
    <r>
      <rPr>
        <sz val="10"/>
        <color theme="1"/>
        <rFont val="Audi Type"/>
        <family val="2"/>
      </rPr>
      <t xml:space="preserve">
1. IT installation based on project milestone
2. evaluate current IT facilities and whether it's suitable or not</t>
    </r>
  </si>
  <si>
    <t>1. Project Management must, by means of a disaster recovery strategy, define the maximum tolerable downtime for necessary production related IT elements (e.g. hardware, applications, hosting).
2. In case of a failure of IT elements, Project Management have to ensure a recovery time without affecting the customer’s required arrival dates.
3. An archive is available and protected.
4. Data have to be backed up on redundant and reliable storage media.
5. Regular function tests have to be conducted for data backup.</t>
  </si>
  <si>
    <r>
      <rPr>
        <b/>
        <sz val="10"/>
        <color theme="1"/>
        <rFont val="Audi Type"/>
        <family val="2"/>
      </rPr>
      <t>1. Create complete master-data into system</t>
    </r>
    <r>
      <rPr>
        <sz val="10"/>
        <color theme="1"/>
        <rFont val="Audi Type"/>
        <family val="2"/>
      </rPr>
      <t xml:space="preserve">, Jobs &amp; JDs of Master-date creation process, Usage scope of master-date, master-data correct ensuring.
</t>
    </r>
    <r>
      <rPr>
        <b/>
        <sz val="10"/>
        <color theme="1"/>
        <rFont val="Audi Type"/>
        <family val="2"/>
      </rPr>
      <t xml:space="preserve">2. EOP management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</si>
</sst>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 &quot; - &quot;"/>
    <numFmt numFmtId="178" formatCode="&quot; ≥ &quot;\ 0%\ "/>
    <numFmt numFmtId="179" formatCode="0%\ &quot; ≥ &quot;"/>
    <numFmt numFmtId="180" formatCode="&quot; &lt; &quot;\ 0%\ "/>
  </numFmts>
  <fonts count="78">
    <font>
      <sz val="12"/>
      <color theme="1"/>
      <name val="Porsche Next TT"/>
      <family val="2"/>
    </font>
    <font>
      <sz val="11"/>
      <color theme="1"/>
      <name val="等线"/>
      <family val="2"/>
      <scheme val="minor"/>
    </font>
    <font>
      <sz val="11"/>
      <color theme="1"/>
      <name val="等线"/>
      <family val="2"/>
      <scheme val="minor"/>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sz val="13"/>
      <color theme="1"/>
      <name val="Audi Type"/>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i/>
      <sz val="9"/>
      <color theme="1"/>
      <name val="Audi Type"/>
      <family val="2"/>
    </font>
    <font>
      <b/>
      <i/>
      <sz val="11"/>
      <color rgb="FF000000"/>
      <name val="Porsche Next TT"/>
      <family val="2"/>
    </font>
    <font>
      <b/>
      <sz val="12"/>
      <color theme="1"/>
      <name val="Audi Type"/>
      <family val="2"/>
    </font>
    <font>
      <b/>
      <sz val="16"/>
      <color theme="1"/>
      <name val="Audi Type"/>
      <family val="2"/>
    </font>
    <font>
      <u/>
      <sz val="10"/>
      <color theme="10"/>
      <name val="Audi Type"/>
      <family val="2"/>
    </font>
    <font>
      <b/>
      <u/>
      <sz val="10"/>
      <color theme="1"/>
      <name val="Audi Type"/>
      <family val="2"/>
    </font>
    <font>
      <i/>
      <sz val="8"/>
      <color theme="1"/>
      <name val="Audi Type"/>
      <family val="2"/>
    </font>
    <font>
      <u/>
      <sz val="12"/>
      <color theme="10"/>
      <name val="Audi Type"/>
      <family val="2"/>
    </font>
    <font>
      <b/>
      <sz val="16"/>
      <name val="Audi Type"/>
      <family val="2"/>
    </font>
    <font>
      <sz val="12"/>
      <color theme="1"/>
      <name val="Audi Type"/>
      <family val="2"/>
    </font>
    <font>
      <sz val="12"/>
      <name val="Audi Type"/>
      <family val="2"/>
    </font>
    <font>
      <sz val="12"/>
      <color theme="10"/>
      <name val="Audi Type"/>
      <family val="2"/>
    </font>
    <font>
      <sz val="12"/>
      <color theme="0"/>
      <name val="Audi Type"/>
      <family val="2"/>
    </font>
    <font>
      <b/>
      <sz val="10"/>
      <color rgb="FFFF0000"/>
      <name val="Audi Type"/>
      <family val="2"/>
    </font>
    <font>
      <b/>
      <sz val="22"/>
      <color theme="1"/>
      <name val="Audi Type"/>
      <family val="2"/>
    </font>
    <font>
      <sz val="10"/>
      <color rgb="FF000000"/>
      <name val="Audi Type"/>
      <family val="2"/>
    </font>
    <font>
      <b/>
      <sz val="14"/>
      <color rgb="FF000000"/>
      <name val="Audi Type"/>
      <family val="2"/>
    </font>
    <font>
      <sz val="20"/>
      <color rgb="FF000000"/>
      <name val="Audi Type"/>
      <family val="2"/>
    </font>
    <font>
      <b/>
      <sz val="10"/>
      <color rgb="FF000000"/>
      <name val="Audi Type"/>
      <family val="2"/>
    </font>
    <font>
      <sz val="11"/>
      <color rgb="FF000000"/>
      <name val="Audi Type"/>
      <family val="2"/>
    </font>
    <font>
      <sz val="12"/>
      <color rgb="FFFF0000"/>
      <name val="Audi Type"/>
      <family val="2"/>
    </font>
    <font>
      <i/>
      <sz val="10"/>
      <color theme="1"/>
      <name val="Audi Type"/>
      <family val="2"/>
    </font>
    <font>
      <b/>
      <sz val="14"/>
      <name val="Audi Type"/>
      <family val="2"/>
    </font>
    <font>
      <b/>
      <sz val="18"/>
      <name val="Audi Type"/>
      <family val="2"/>
    </font>
    <font>
      <b/>
      <sz val="8"/>
      <color rgb="FFFF0000"/>
      <name val="Audi Type"/>
      <family val="2"/>
    </font>
    <font>
      <sz val="11"/>
      <color rgb="FFFF0000"/>
      <name val="Audi Type"/>
      <family val="2"/>
    </font>
    <font>
      <b/>
      <sz val="11"/>
      <color rgb="FFFF0000"/>
      <name val="Audi Type"/>
      <family val="2"/>
    </font>
    <font>
      <sz val="20"/>
      <color theme="1"/>
      <name val="Audi Type"/>
      <family val="2"/>
    </font>
    <font>
      <sz val="11"/>
      <color theme="1"/>
      <name val="Audi Type"/>
      <family val="2"/>
    </font>
    <font>
      <sz val="8"/>
      <color rgb="FFFF0000"/>
      <name val="Audi Type"/>
      <family val="2"/>
    </font>
    <font>
      <b/>
      <sz val="22"/>
      <name val="Audi Type"/>
      <family val="2"/>
    </font>
    <font>
      <b/>
      <u/>
      <sz val="12"/>
      <color theme="1"/>
      <name val="Audi Type"/>
      <family val="2"/>
    </font>
    <font>
      <b/>
      <sz val="9"/>
      <color theme="1"/>
      <name val="Audi Type"/>
      <family val="2"/>
    </font>
    <font>
      <u/>
      <sz val="10"/>
      <color rgb="FFFF0000"/>
      <name val="Audi Type"/>
      <family val="2"/>
    </font>
    <font>
      <sz val="12"/>
      <color rgb="FF000000"/>
      <name val="Porsche Next TT"/>
      <charset val="1"/>
    </font>
    <font>
      <sz val="9"/>
      <name val="FangSong"/>
      <family val="3"/>
      <charset val="134"/>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s>
  <borders count="99">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style="thin">
        <color theme="0" tint="-0.24994659260841701"/>
      </left>
      <right style="thin">
        <color theme="0" tint="-0.249977111117893"/>
      </right>
      <top style="thin">
        <color theme="0" tint="-0.24994659260841701"/>
      </top>
      <bottom/>
      <diagonal/>
    </border>
    <border>
      <left/>
      <right/>
      <top style="thin">
        <color theme="0" tint="-0.249977111117893"/>
      </top>
      <bottom style="thin">
        <color indexed="64"/>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7">
    <xf numFmtId="0" fontId="0" fillId="0" borderId="0"/>
    <xf numFmtId="0" fontId="8" fillId="0" borderId="0"/>
    <xf numFmtId="9" fontId="25" fillId="0" borderId="0" applyFont="0" applyFill="0" applyBorder="0" applyAlignment="0" applyProtection="0"/>
    <xf numFmtId="0" fontId="29" fillId="0" borderId="0" applyNumberFormat="0" applyFill="0" applyBorder="0" applyAlignment="0" applyProtection="0"/>
    <xf numFmtId="0" fontId="2" fillId="0" borderId="0"/>
    <xf numFmtId="0" fontId="1" fillId="0" borderId="0"/>
    <xf numFmtId="9" fontId="1" fillId="0" borderId="0" applyFont="0" applyFill="0" applyBorder="0" applyAlignment="0" applyProtection="0"/>
  </cellStyleXfs>
  <cellXfs count="635">
    <xf numFmtId="0" fontId="0" fillId="0" borderId="0" xfId="0"/>
    <xf numFmtId="49" fontId="0" fillId="0" borderId="0" xfId="0" applyNumberFormat="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7" fillId="0" borderId="0" xfId="0" applyFont="1"/>
    <xf numFmtId="0" fontId="12" fillId="3" borderId="0" xfId="0" applyFont="1" applyFill="1"/>
    <xf numFmtId="0" fontId="12" fillId="3" borderId="0" xfId="0" applyFont="1" applyFill="1" applyAlignment="1">
      <alignment vertical="center" wrapText="1"/>
    </xf>
    <xf numFmtId="0" fontId="9" fillId="0" borderId="0" xfId="0" applyFont="1"/>
    <xf numFmtId="0" fontId="0" fillId="0" borderId="8" xfId="0" applyBorder="1"/>
    <xf numFmtId="0" fontId="0" fillId="0" borderId="9" xfId="0" applyBorder="1"/>
    <xf numFmtId="0" fontId="4" fillId="0" borderId="8" xfId="0" applyFont="1" applyBorder="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7" fillId="0" borderId="8" xfId="0" applyFont="1" applyBorder="1" applyAlignment="1">
      <alignment horizontal="left"/>
    </xf>
    <xf numFmtId="0" fontId="7" fillId="0" borderId="0" xfId="0" applyFont="1" applyAlignment="1">
      <alignment horizontal="right"/>
    </xf>
    <xf numFmtId="0" fontId="7" fillId="0" borderId="10" xfId="0" applyFont="1" applyBorder="1" applyAlignment="1">
      <alignment horizontal="left"/>
    </xf>
    <xf numFmtId="0" fontId="7" fillId="0" borderId="11" xfId="0" applyFont="1" applyBorder="1" applyAlignment="1">
      <alignment horizontal="right"/>
    </xf>
    <xf numFmtId="0" fontId="0" fillId="0" borderId="12" xfId="0" applyBorder="1" applyAlignment="1">
      <alignment horizontal="center" vertical="center" wrapText="1"/>
    </xf>
    <xf numFmtId="49" fontId="12" fillId="3" borderId="0" xfId="0" applyNumberFormat="1" applyFont="1" applyFill="1"/>
    <xf numFmtId="0" fontId="0" fillId="3" borderId="0" xfId="0" applyFill="1"/>
    <xf numFmtId="0" fontId="6" fillId="0" borderId="9" xfId="0" applyFont="1" applyBorder="1"/>
    <xf numFmtId="0" fontId="7" fillId="0" borderId="9" xfId="0" quotePrefix="1" applyFont="1" applyBorder="1"/>
    <xf numFmtId="0" fontId="7" fillId="0" borderId="9" xfId="0" applyFont="1" applyBorder="1" applyAlignment="1">
      <alignment horizontal="left"/>
    </xf>
    <xf numFmtId="0" fontId="7"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6" fillId="0" borderId="0" xfId="0" applyFont="1" applyAlignment="1">
      <alignment vertical="center"/>
    </xf>
    <xf numFmtId="49" fontId="21" fillId="0" borderId="0" xfId="1" applyNumberFormat="1" applyFont="1" applyProtection="1">
      <protection hidden="1"/>
    </xf>
    <xf numFmtId="49" fontId="22" fillId="0" borderId="0" xfId="1" applyNumberFormat="1" applyFont="1" applyProtection="1">
      <protection hidden="1"/>
    </xf>
    <xf numFmtId="49" fontId="22"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3" fillId="3" borderId="0" xfId="0" applyFont="1" applyFill="1"/>
    <xf numFmtId="0" fontId="24"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horizontal="right" vertical="center"/>
    </xf>
    <xf numFmtId="49" fontId="0" fillId="3" borderId="0" xfId="0" applyNumberFormat="1" applyFill="1"/>
    <xf numFmtId="0" fontId="24"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0" fontId="31" fillId="3" borderId="5" xfId="0" applyFont="1" applyFill="1" applyBorder="1"/>
    <xf numFmtId="14" fontId="32" fillId="3" borderId="1" xfId="0" applyNumberFormat="1" applyFont="1" applyFill="1" applyBorder="1" applyAlignment="1">
      <alignment horizontal="left" vertical="center"/>
    </xf>
    <xf numFmtId="0" fontId="33" fillId="3" borderId="7" xfId="0" applyFont="1" applyFill="1" applyBorder="1"/>
    <xf numFmtId="0" fontId="34" fillId="3" borderId="5" xfId="0" applyFont="1" applyFill="1" applyBorder="1"/>
    <xf numFmtId="14" fontId="34" fillId="3" borderId="6" xfId="0" applyNumberFormat="1" applyFont="1" applyFill="1" applyBorder="1"/>
    <xf numFmtId="0" fontId="34" fillId="3" borderId="6" xfId="0" applyFont="1" applyFill="1" applyBorder="1"/>
    <xf numFmtId="14" fontId="34" fillId="3" borderId="6" xfId="0" applyNumberFormat="1" applyFont="1" applyFill="1" applyBorder="1" applyAlignment="1">
      <alignment horizontal="left"/>
    </xf>
    <xf numFmtId="0" fontId="34" fillId="3" borderId="7" xfId="0" applyFont="1" applyFill="1" applyBorder="1"/>
    <xf numFmtId="0" fontId="31" fillId="3" borderId="8" xfId="0" applyFont="1" applyFill="1" applyBorder="1"/>
    <xf numFmtId="0" fontId="35" fillId="3" borderId="0" xfId="0" applyFont="1" applyFill="1" applyAlignment="1">
      <alignment vertical="top"/>
    </xf>
    <xf numFmtId="0" fontId="31" fillId="3" borderId="9" xfId="0" applyFont="1" applyFill="1" applyBorder="1"/>
    <xf numFmtId="0" fontId="36" fillId="3" borderId="8" xfId="0" applyFont="1" applyFill="1" applyBorder="1" applyAlignment="1">
      <alignment wrapText="1"/>
    </xf>
    <xf numFmtId="0" fontId="36" fillId="3" borderId="0" xfId="0" applyFont="1" applyFill="1" applyAlignment="1">
      <alignment vertical="top" wrapText="1"/>
    </xf>
    <xf numFmtId="0" fontId="36" fillId="3" borderId="9" xfId="0" applyFont="1" applyFill="1" applyBorder="1" applyAlignment="1">
      <alignment wrapText="1"/>
    </xf>
    <xf numFmtId="0" fontId="34" fillId="3" borderId="10" xfId="0" applyFont="1" applyFill="1" applyBorder="1"/>
    <xf numFmtId="0" fontId="34" fillId="3" borderId="11" xfId="0" applyFont="1" applyFill="1" applyBorder="1"/>
    <xf numFmtId="0" fontId="34" fillId="3" borderId="11" xfId="0" applyFont="1" applyFill="1" applyBorder="1" applyAlignment="1">
      <alignment wrapText="1"/>
    </xf>
    <xf numFmtId="0" fontId="34" fillId="3" borderId="12" xfId="0" applyFont="1" applyFill="1" applyBorder="1"/>
    <xf numFmtId="0" fontId="31" fillId="3" borderId="18" xfId="0" applyFont="1" applyFill="1" applyBorder="1" applyAlignment="1">
      <alignment vertical="top"/>
    </xf>
    <xf numFmtId="0" fontId="31" fillId="3" borderId="18" xfId="0" applyFont="1" applyFill="1" applyBorder="1" applyAlignment="1">
      <alignment vertical="top" wrapText="1"/>
    </xf>
    <xf numFmtId="49" fontId="31" fillId="3" borderId="18" xfId="0" applyNumberFormat="1" applyFont="1" applyFill="1" applyBorder="1" applyAlignment="1">
      <alignment vertical="top" wrapText="1"/>
    </xf>
    <xf numFmtId="49" fontId="31" fillId="3" borderId="18" xfId="0" applyNumberFormat="1" applyFont="1" applyFill="1" applyBorder="1" applyAlignment="1">
      <alignment vertical="top"/>
    </xf>
    <xf numFmtId="14" fontId="31" fillId="3" borderId="18" xfId="0" applyNumberFormat="1" applyFont="1" applyFill="1" applyBorder="1" applyAlignment="1">
      <alignment vertical="top"/>
    </xf>
    <xf numFmtId="0" fontId="31" fillId="3" borderId="16" xfId="0" applyFont="1" applyFill="1" applyBorder="1" applyAlignment="1">
      <alignment vertical="top"/>
    </xf>
    <xf numFmtId="0" fontId="31" fillId="3" borderId="16" xfId="0" quotePrefix="1" applyFont="1" applyFill="1" applyBorder="1" applyAlignment="1">
      <alignment vertical="top" wrapText="1"/>
    </xf>
    <xf numFmtId="0" fontId="31" fillId="3" borderId="16" xfId="0" applyFont="1" applyFill="1" applyBorder="1" applyAlignment="1">
      <alignment vertical="top" wrapText="1"/>
    </xf>
    <xf numFmtId="49" fontId="31" fillId="3" borderId="16" xfId="0" applyNumberFormat="1" applyFont="1" applyFill="1" applyBorder="1" applyAlignment="1">
      <alignment vertical="top" wrapText="1"/>
    </xf>
    <xf numFmtId="49" fontId="31" fillId="3" borderId="16" xfId="0" applyNumberFormat="1" applyFont="1" applyFill="1" applyBorder="1" applyAlignment="1">
      <alignment vertical="top"/>
    </xf>
    <xf numFmtId="14" fontId="31" fillId="3" borderId="16" xfId="0" applyNumberFormat="1" applyFont="1" applyFill="1" applyBorder="1" applyAlignment="1">
      <alignment vertical="top"/>
    </xf>
    <xf numFmtId="0" fontId="34" fillId="3" borderId="0" xfId="0" applyFont="1" applyFill="1"/>
    <xf numFmtId="0" fontId="34" fillId="3" borderId="9" xfId="0" applyFont="1" applyFill="1" applyBorder="1"/>
    <xf numFmtId="0" fontId="31" fillId="3" borderId="13" xfId="0" applyFont="1" applyFill="1" applyBorder="1"/>
    <xf numFmtId="0" fontId="38" fillId="3" borderId="14" xfId="0" applyFont="1" applyFill="1" applyBorder="1"/>
    <xf numFmtId="0" fontId="12" fillId="3" borderId="0" xfId="0" applyFont="1" applyFill="1" applyAlignment="1">
      <alignment vertical="top" wrapText="1"/>
    </xf>
    <xf numFmtId="0" fontId="23" fillId="3" borderId="28" xfId="0" applyFont="1" applyFill="1" applyBorder="1"/>
    <xf numFmtId="0" fontId="19" fillId="3" borderId="17" xfId="0" applyFont="1" applyFill="1" applyBorder="1"/>
    <xf numFmtId="0" fontId="19" fillId="3" borderId="29" xfId="0" applyFont="1" applyFill="1" applyBorder="1"/>
    <xf numFmtId="0" fontId="26" fillId="3" borderId="0" xfId="0" applyFont="1" applyFill="1" applyAlignment="1">
      <alignment vertical="center"/>
    </xf>
    <xf numFmtId="0" fontId="27" fillId="3" borderId="0" xfId="0" applyFont="1" applyFill="1" applyAlignment="1">
      <alignment vertical="center"/>
    </xf>
    <xf numFmtId="0" fontId="20" fillId="3" borderId="24" xfId="0" applyFont="1" applyFill="1" applyBorder="1"/>
    <xf numFmtId="0" fontId="19" fillId="3" borderId="24" xfId="0" applyFont="1" applyFill="1" applyBorder="1"/>
    <xf numFmtId="0" fontId="20" fillId="3" borderId="27" xfId="0" applyFont="1" applyFill="1" applyBorder="1"/>
    <xf numFmtId="0" fontId="20" fillId="3" borderId="23" xfId="0" applyFont="1" applyFill="1" applyBorder="1"/>
    <xf numFmtId="0" fontId="28" fillId="3" borderId="27" xfId="0" applyFont="1" applyFill="1" applyBorder="1"/>
    <xf numFmtId="0" fontId="14" fillId="3" borderId="0" xfId="0" applyFont="1" applyFill="1" applyAlignment="1">
      <alignment horizontal="center" vertical="center" textRotation="90"/>
    </xf>
    <xf numFmtId="0" fontId="12" fillId="3" borderId="27" xfId="0" applyFont="1" applyFill="1" applyBorder="1"/>
    <xf numFmtId="0" fontId="30" fillId="3" borderId="24" xfId="3" applyFont="1" applyFill="1" applyBorder="1" applyAlignment="1">
      <alignment horizontal="center" vertical="center"/>
    </xf>
    <xf numFmtId="0" fontId="12" fillId="3" borderId="28" xfId="0" applyFont="1" applyFill="1" applyBorder="1"/>
    <xf numFmtId="49" fontId="12" fillId="3" borderId="28" xfId="0" applyNumberFormat="1" applyFont="1" applyFill="1" applyBorder="1"/>
    <xf numFmtId="0" fontId="12" fillId="3" borderId="26" xfId="0" applyFont="1" applyFill="1" applyBorder="1"/>
    <xf numFmtId="0" fontId="20" fillId="3" borderId="26" xfId="0" applyFont="1" applyFill="1" applyBorder="1"/>
    <xf numFmtId="0" fontId="19" fillId="3" borderId="28" xfId="0" applyFont="1" applyFill="1" applyBorder="1"/>
    <xf numFmtId="0" fontId="20" fillId="3" borderId="28" xfId="0" applyFont="1" applyFill="1" applyBorder="1"/>
    <xf numFmtId="0" fontId="17" fillId="3" borderId="24" xfId="0" applyFont="1" applyFill="1" applyBorder="1" applyAlignment="1">
      <alignment horizontal="left" vertical="center"/>
    </xf>
    <xf numFmtId="0" fontId="12" fillId="3" borderId="24" xfId="0" applyFont="1" applyFill="1" applyBorder="1"/>
    <xf numFmtId="0" fontId="12" fillId="3" borderId="29" xfId="0" applyFont="1" applyFill="1" applyBorder="1"/>
    <xf numFmtId="0" fontId="12" fillId="3" borderId="22" xfId="0" applyFont="1" applyFill="1" applyBorder="1"/>
    <xf numFmtId="0" fontId="12" fillId="3" borderId="17" xfId="0" applyFont="1" applyFill="1" applyBorder="1"/>
    <xf numFmtId="0" fontId="28" fillId="3" borderId="17" xfId="0" applyFont="1" applyFill="1" applyBorder="1"/>
    <xf numFmtId="0" fontId="12" fillId="3" borderId="28" xfId="0" applyFont="1" applyFill="1" applyBorder="1" applyAlignment="1">
      <alignment horizontal="center"/>
    </xf>
    <xf numFmtId="49" fontId="12" fillId="3" borderId="26" xfId="0" applyNumberFormat="1" applyFont="1" applyFill="1" applyBorder="1"/>
    <xf numFmtId="0" fontId="17" fillId="3" borderId="29" xfId="0" applyFont="1" applyFill="1" applyBorder="1" applyAlignment="1">
      <alignment horizontal="left" vertical="center"/>
    </xf>
    <xf numFmtId="0" fontId="0" fillId="0" borderId="0" xfId="0" applyAlignment="1">
      <alignment horizontal="left" vertical="center" wrapText="1"/>
    </xf>
    <xf numFmtId="0" fontId="4" fillId="0" borderId="0" xfId="0" applyFont="1"/>
    <xf numFmtId="49" fontId="17" fillId="3" borderId="17" xfId="0" applyNumberFormat="1" applyFont="1" applyFill="1" applyBorder="1" applyAlignment="1">
      <alignment horizontal="right" vertical="center"/>
    </xf>
    <xf numFmtId="10" fontId="17" fillId="3" borderId="17" xfId="0" applyNumberFormat="1" applyFont="1" applyFill="1" applyBorder="1" applyAlignment="1">
      <alignment horizontal="center" vertical="center"/>
    </xf>
    <xf numFmtId="0" fontId="19" fillId="3" borderId="0" xfId="0" applyFont="1" applyFill="1"/>
    <xf numFmtId="0" fontId="19" fillId="3" borderId="0" xfId="0" applyFont="1" applyFill="1" applyAlignment="1">
      <alignment horizontal="left" vertical="center"/>
    </xf>
    <xf numFmtId="0" fontId="20" fillId="3" borderId="0" xfId="0" applyFont="1" applyFill="1"/>
    <xf numFmtId="0" fontId="0" fillId="0" borderId="9" xfId="0" applyBorder="1" applyAlignment="1">
      <alignment horizontal="center"/>
    </xf>
    <xf numFmtId="10" fontId="4" fillId="0" borderId="0" xfId="0" applyNumberFormat="1" applyFont="1" applyAlignment="1">
      <alignment horizontal="center" vertical="center"/>
    </xf>
    <xf numFmtId="0" fontId="0" fillId="2" borderId="0" xfId="0" applyFill="1"/>
    <xf numFmtId="10" fontId="12"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2"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26" fillId="3" borderId="28" xfId="0" applyFont="1" applyFill="1" applyBorder="1" applyAlignment="1">
      <alignment vertical="center"/>
    </xf>
    <xf numFmtId="0" fontId="23" fillId="3" borderId="8" xfId="0" applyFont="1" applyFill="1" applyBorder="1"/>
    <xf numFmtId="49" fontId="42" fillId="3" borderId="0" xfId="0" applyNumberFormat="1" applyFont="1" applyFill="1" applyAlignment="1">
      <alignment vertical="center" wrapText="1"/>
    </xf>
    <xf numFmtId="49" fontId="42" fillId="3" borderId="16" xfId="0" applyNumberFormat="1" applyFont="1" applyFill="1" applyBorder="1" applyAlignment="1">
      <alignment vertical="center" wrapText="1"/>
    </xf>
    <xf numFmtId="49" fontId="42" fillId="3" borderId="15" xfId="0" applyNumberFormat="1" applyFont="1" applyFill="1" applyBorder="1" applyAlignment="1">
      <alignment vertical="center" wrapText="1"/>
    </xf>
    <xf numFmtId="0" fontId="11" fillId="3" borderId="0" xfId="0" applyFont="1" applyFill="1" applyAlignment="1">
      <alignment horizontal="center" vertical="center"/>
    </xf>
    <xf numFmtId="0" fontId="11" fillId="3" borderId="0" xfId="0" applyFont="1" applyFill="1" applyAlignment="1">
      <alignment vertical="center"/>
    </xf>
    <xf numFmtId="49" fontId="11" fillId="4" borderId="39" xfId="0" applyNumberFormat="1" applyFont="1" applyFill="1" applyBorder="1" applyAlignment="1">
      <alignment vertical="center"/>
    </xf>
    <xf numFmtId="49" fontId="11" fillId="4" borderId="41" xfId="0" applyNumberFormat="1" applyFont="1" applyFill="1" applyBorder="1" applyAlignment="1">
      <alignment vertical="center"/>
    </xf>
    <xf numFmtId="0" fontId="11" fillId="4" borderId="0" xfId="0" applyFont="1" applyFill="1" applyAlignment="1">
      <alignment horizontal="center" vertical="center"/>
    </xf>
    <xf numFmtId="49" fontId="13" fillId="3" borderId="0" xfId="0" applyNumberFormat="1" applyFont="1" applyFill="1" applyAlignment="1">
      <alignment vertical="center"/>
    </xf>
    <xf numFmtId="0" fontId="14" fillId="3" borderId="49" xfId="0" applyFont="1" applyFill="1" applyBorder="1" applyAlignment="1">
      <alignment horizontal="center" vertical="center" textRotation="90"/>
    </xf>
    <xf numFmtId="0" fontId="11" fillId="3" borderId="44" xfId="0" applyFont="1" applyFill="1" applyBorder="1" applyAlignment="1">
      <alignment vertical="center"/>
    </xf>
    <xf numFmtId="49" fontId="13" fillId="3" borderId="49" xfId="0" applyNumberFormat="1" applyFont="1" applyFill="1" applyBorder="1" applyAlignment="1">
      <alignment vertical="center"/>
    </xf>
    <xf numFmtId="0" fontId="11" fillId="3" borderId="50" xfId="0" applyFont="1" applyFill="1" applyBorder="1" applyAlignment="1">
      <alignment vertical="center"/>
    </xf>
    <xf numFmtId="0" fontId="11" fillId="3" borderId="49" xfId="0" applyFont="1" applyFill="1" applyBorder="1" applyAlignment="1">
      <alignment vertical="center"/>
    </xf>
    <xf numFmtId="0" fontId="13" fillId="3" borderId="50" xfId="0" applyFont="1" applyFill="1" applyBorder="1" applyAlignment="1">
      <alignment vertical="center"/>
    </xf>
    <xf numFmtId="0" fontId="13" fillId="3" borderId="49" xfId="0" applyFont="1" applyFill="1" applyBorder="1" applyAlignment="1">
      <alignment vertical="center"/>
    </xf>
    <xf numFmtId="0" fontId="11" fillId="4" borderId="51" xfId="0" applyFont="1" applyFill="1" applyBorder="1" applyAlignment="1">
      <alignment horizontal="center" vertical="center"/>
    </xf>
    <xf numFmtId="0" fontId="11" fillId="4" borderId="56" xfId="0" applyFont="1" applyFill="1" applyBorder="1" applyAlignment="1">
      <alignment horizontal="center" vertical="center"/>
    </xf>
    <xf numFmtId="49" fontId="13" fillId="3" borderId="58" xfId="0" applyNumberFormat="1" applyFont="1" applyFill="1" applyBorder="1" applyAlignment="1">
      <alignment vertical="center"/>
    </xf>
    <xf numFmtId="0" fontId="11" fillId="4" borderId="58" xfId="0" applyFont="1" applyFill="1" applyBorder="1" applyAlignment="1">
      <alignment horizontal="center" vertical="center"/>
    </xf>
    <xf numFmtId="49" fontId="11" fillId="4" borderId="61" xfId="0" applyNumberFormat="1" applyFont="1" applyFill="1" applyBorder="1" applyAlignment="1">
      <alignment vertical="center"/>
    </xf>
    <xf numFmtId="0" fontId="12" fillId="3" borderId="56" xfId="0" applyFont="1" applyFill="1" applyBorder="1"/>
    <xf numFmtId="0" fontId="11" fillId="3" borderId="54" xfId="0" applyFont="1" applyFill="1" applyBorder="1" applyAlignment="1">
      <alignment horizontal="center" vertical="center"/>
    </xf>
    <xf numFmtId="0" fontId="11" fillId="4" borderId="54" xfId="0" applyFont="1" applyFill="1" applyBorder="1" applyAlignment="1">
      <alignment horizontal="center" vertical="center"/>
    </xf>
    <xf numFmtId="0" fontId="29" fillId="3" borderId="24" xfId="3" applyFill="1" applyBorder="1" applyAlignment="1">
      <alignment horizontal="center" vertical="center"/>
    </xf>
    <xf numFmtId="0" fontId="30" fillId="3" borderId="24" xfId="3" applyFont="1" applyFill="1" applyBorder="1" applyAlignment="1">
      <alignment vertical="center"/>
    </xf>
    <xf numFmtId="0" fontId="12" fillId="4" borderId="62" xfId="0" applyFont="1" applyFill="1" applyBorder="1" applyAlignment="1">
      <alignment horizontal="center" vertical="center"/>
    </xf>
    <xf numFmtId="0" fontId="28" fillId="3" borderId="56" xfId="0" applyFont="1" applyFill="1" applyBorder="1"/>
    <xf numFmtId="0" fontId="14" fillId="3" borderId="57" xfId="0" applyFont="1" applyFill="1" applyBorder="1" applyAlignment="1">
      <alignment horizontal="center" vertical="center" textRotation="90"/>
    </xf>
    <xf numFmtId="0" fontId="12" fillId="4" borderId="59" xfId="0" applyFont="1" applyFill="1" applyBorder="1" applyAlignment="1">
      <alignment horizontal="center" vertical="center"/>
    </xf>
    <xf numFmtId="0" fontId="12" fillId="4" borderId="52" xfId="0" applyFont="1" applyFill="1" applyBorder="1" applyAlignment="1">
      <alignment horizontal="center" vertical="center"/>
    </xf>
    <xf numFmtId="0" fontId="11" fillId="3" borderId="57" xfId="0" applyFont="1" applyFill="1" applyBorder="1" applyAlignment="1">
      <alignment horizontal="center" vertical="center"/>
    </xf>
    <xf numFmtId="0" fontId="11" fillId="3" borderId="58"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0" xfId="0" applyFont="1" applyFill="1" applyAlignment="1">
      <alignment horizontal="center" vertical="center"/>
    </xf>
    <xf numFmtId="0" fontId="11" fillId="4" borderId="57" xfId="0" applyFont="1" applyFill="1" applyBorder="1" applyAlignment="1">
      <alignment horizontal="center" vertical="center"/>
    </xf>
    <xf numFmtId="0" fontId="12" fillId="3" borderId="76" xfId="0" applyFont="1" applyFill="1" applyBorder="1"/>
    <xf numFmtId="0" fontId="12" fillId="3" borderId="65" xfId="0" applyFont="1" applyFill="1" applyBorder="1"/>
    <xf numFmtId="49" fontId="17" fillId="3" borderId="65" xfId="0" applyNumberFormat="1" applyFont="1" applyFill="1" applyBorder="1" applyAlignment="1">
      <alignment horizontal="right" vertical="center"/>
    </xf>
    <xf numFmtId="10" fontId="17" fillId="3" borderId="65" xfId="0" applyNumberFormat="1" applyFont="1" applyFill="1" applyBorder="1" applyAlignment="1">
      <alignment horizontal="center" vertical="center"/>
    </xf>
    <xf numFmtId="0" fontId="14" fillId="3" borderId="56" xfId="0" applyFont="1" applyFill="1" applyBorder="1" applyAlignment="1">
      <alignment horizontal="center" vertical="center" textRotation="90"/>
    </xf>
    <xf numFmtId="0" fontId="12" fillId="4" borderId="54" xfId="0" applyFont="1" applyFill="1" applyBorder="1" applyAlignment="1">
      <alignment horizontal="center" vertical="center"/>
    </xf>
    <xf numFmtId="0" fontId="11" fillId="3" borderId="49" xfId="0" applyFont="1" applyFill="1" applyBorder="1" applyAlignment="1">
      <alignment horizontal="center" vertical="center"/>
    </xf>
    <xf numFmtId="0" fontId="12" fillId="4" borderId="44" xfId="0" applyFont="1" applyFill="1" applyBorder="1" applyAlignment="1">
      <alignment horizontal="center" vertical="center"/>
    </xf>
    <xf numFmtId="0" fontId="28" fillId="3" borderId="65" xfId="0" applyFont="1" applyFill="1" applyBorder="1"/>
    <xf numFmtId="0" fontId="11" fillId="3" borderId="56" xfId="0" applyFont="1" applyFill="1" applyBorder="1" applyAlignment="1">
      <alignment horizontal="center" vertical="center"/>
    </xf>
    <xf numFmtId="0" fontId="11" fillId="4" borderId="71"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56" xfId="0" applyFont="1" applyFill="1" applyBorder="1" applyAlignment="1">
      <alignment horizontal="center" vertical="center"/>
    </xf>
    <xf numFmtId="0" fontId="14" fillId="3" borderId="58" xfId="0" applyFont="1" applyFill="1" applyBorder="1" applyAlignment="1">
      <alignment horizontal="center" vertical="center" textRotation="90"/>
    </xf>
    <xf numFmtId="0" fontId="11" fillId="3" borderId="57" xfId="0" applyFont="1" applyFill="1" applyBorder="1" applyAlignment="1">
      <alignment vertical="center"/>
    </xf>
    <xf numFmtId="0" fontId="11" fillId="3" borderId="58" xfId="0" applyFont="1" applyFill="1" applyBorder="1" applyAlignment="1">
      <alignment vertical="center"/>
    </xf>
    <xf numFmtId="0" fontId="14" fillId="3" borderId="54" xfId="0" applyFont="1" applyFill="1" applyBorder="1" applyAlignment="1">
      <alignment horizontal="center" vertical="center" textRotation="90"/>
    </xf>
    <xf numFmtId="0" fontId="29" fillId="5" borderId="24" xfId="3" applyFill="1" applyBorder="1" applyAlignment="1">
      <alignment vertical="center"/>
    </xf>
    <xf numFmtId="0" fontId="29" fillId="3" borderId="24" xfId="3" applyFill="1" applyBorder="1" applyAlignment="1">
      <alignment vertical="center"/>
    </xf>
    <xf numFmtId="49" fontId="11" fillId="3" borderId="0" xfId="0" applyNumberFormat="1" applyFont="1" applyFill="1" applyAlignment="1">
      <alignment vertical="center"/>
    </xf>
    <xf numFmtId="49" fontId="11" fillId="3" borderId="44" xfId="0" applyNumberFormat="1" applyFont="1" applyFill="1" applyBorder="1" applyAlignment="1">
      <alignment vertical="center"/>
    </xf>
    <xf numFmtId="0" fontId="12" fillId="4" borderId="78" xfId="0" applyFont="1" applyFill="1" applyBorder="1" applyAlignment="1">
      <alignment horizontal="center" vertical="center"/>
    </xf>
    <xf numFmtId="49" fontId="11" fillId="3" borderId="55" xfId="0" applyNumberFormat="1" applyFont="1" applyFill="1" applyBorder="1" applyAlignment="1">
      <alignment vertical="center"/>
    </xf>
    <xf numFmtId="0" fontId="40" fillId="3" borderId="57" xfId="0" applyFont="1" applyFill="1" applyBorder="1" applyAlignment="1">
      <alignment horizontal="center" vertical="center"/>
    </xf>
    <xf numFmtId="0" fontId="0" fillId="0" borderId="0" xfId="0" applyAlignment="1">
      <alignment wrapText="1"/>
    </xf>
    <xf numFmtId="0" fontId="29" fillId="5" borderId="24" xfId="3" applyFill="1" applyBorder="1" applyAlignment="1">
      <alignment horizontal="center" vertical="center"/>
    </xf>
    <xf numFmtId="0" fontId="43" fillId="3" borderId="18" xfId="0" applyFont="1" applyFill="1" applyBorder="1" applyAlignment="1">
      <alignment vertical="top" wrapText="1"/>
    </xf>
    <xf numFmtId="0" fontId="43" fillId="3" borderId="16" xfId="0" applyFont="1" applyFill="1" applyBorder="1" applyAlignment="1">
      <alignment vertical="top" wrapText="1"/>
    </xf>
    <xf numFmtId="0" fontId="6" fillId="0" borderId="19" xfId="4" applyFont="1" applyBorder="1" applyAlignment="1" applyProtection="1">
      <alignment horizontal="center" vertical="center" wrapText="1"/>
      <protection locked="0"/>
    </xf>
    <xf numFmtId="0" fontId="6" fillId="0" borderId="0" xfId="4" applyFont="1" applyAlignment="1" applyProtection="1">
      <alignment horizontal="center" vertical="center" wrapText="1"/>
      <protection locked="0"/>
    </xf>
    <xf numFmtId="0" fontId="51" fillId="3" borderId="0" xfId="0" applyFont="1" applyFill="1"/>
    <xf numFmtId="0" fontId="51" fillId="3" borderId="28" xfId="0" applyFont="1" applyFill="1" applyBorder="1"/>
    <xf numFmtId="0" fontId="44" fillId="3" borderId="0" xfId="0" applyFont="1" applyFill="1" applyAlignment="1">
      <alignment horizontal="left" vertical="center"/>
    </xf>
    <xf numFmtId="49" fontId="44" fillId="3" borderId="0" xfId="0" applyNumberFormat="1" applyFont="1" applyFill="1" applyAlignment="1">
      <alignment horizontal="left" vertical="center"/>
    </xf>
    <xf numFmtId="49" fontId="44" fillId="3" borderId="0" xfId="0" applyNumberFormat="1" applyFont="1" applyFill="1" applyAlignment="1">
      <alignment horizontal="center" vertical="center" textRotation="90"/>
    </xf>
    <xf numFmtId="49" fontId="44" fillId="3" borderId="0" xfId="0" applyNumberFormat="1" applyFont="1" applyFill="1" applyAlignment="1">
      <alignment horizontal="center" vertical="center"/>
    </xf>
    <xf numFmtId="0" fontId="44" fillId="3" borderId="24" xfId="0" applyFont="1" applyFill="1" applyBorder="1" applyAlignment="1">
      <alignment horizontal="center" vertical="center"/>
    </xf>
    <xf numFmtId="0" fontId="44" fillId="3" borderId="24" xfId="0" applyFont="1" applyFill="1" applyBorder="1" applyAlignment="1">
      <alignment horizontal="left"/>
    </xf>
    <xf numFmtId="0" fontId="51" fillId="3" borderId="15" xfId="0" applyFont="1" applyFill="1" applyBorder="1" applyAlignment="1">
      <alignment horizontal="left" vertical="center"/>
    </xf>
    <xf numFmtId="49" fontId="51" fillId="3" borderId="15" xfId="0" applyNumberFormat="1" applyFont="1" applyFill="1" applyBorder="1" applyAlignment="1">
      <alignment horizontal="left" vertical="center"/>
    </xf>
    <xf numFmtId="0" fontId="51" fillId="3" borderId="15" xfId="0" applyFont="1" applyFill="1" applyBorder="1" applyAlignment="1">
      <alignment horizontal="center" vertical="center"/>
    </xf>
    <xf numFmtId="0" fontId="51" fillId="3" borderId="15" xfId="0" applyFont="1" applyFill="1" applyBorder="1" applyAlignment="1">
      <alignment horizontal="left" vertical="center" wrapText="1"/>
    </xf>
    <xf numFmtId="0" fontId="52" fillId="3" borderId="15" xfId="0" applyFont="1" applyFill="1" applyBorder="1" applyAlignment="1">
      <alignment horizontal="center" vertical="center"/>
    </xf>
    <xf numFmtId="0" fontId="51" fillId="3" borderId="15" xfId="0" applyFont="1" applyFill="1" applyBorder="1" applyAlignment="1">
      <alignment wrapText="1"/>
    </xf>
    <xf numFmtId="0" fontId="49" fillId="3" borderId="15" xfId="3" applyFont="1" applyFill="1" applyBorder="1" applyAlignment="1">
      <alignment horizontal="center" vertical="center"/>
    </xf>
    <xf numFmtId="0" fontId="53" fillId="3" borderId="24" xfId="3" applyFont="1" applyFill="1" applyBorder="1" applyAlignment="1">
      <alignment horizontal="center" vertical="center"/>
    </xf>
    <xf numFmtId="0" fontId="51" fillId="3" borderId="16" xfId="0" applyFont="1" applyFill="1" applyBorder="1" applyAlignment="1">
      <alignment horizontal="left" vertical="center"/>
    </xf>
    <xf numFmtId="49" fontId="51" fillId="3" borderId="16" xfId="0" applyNumberFormat="1" applyFont="1" applyFill="1" applyBorder="1" applyAlignment="1">
      <alignment horizontal="left" vertical="center"/>
    </xf>
    <xf numFmtId="0" fontId="51" fillId="3" borderId="16" xfId="0" applyFont="1" applyFill="1" applyBorder="1" applyAlignment="1">
      <alignment horizontal="center" vertical="center"/>
    </xf>
    <xf numFmtId="0" fontId="51" fillId="3" borderId="16" xfId="0" applyFont="1" applyFill="1" applyBorder="1" applyAlignment="1">
      <alignment horizontal="left" vertical="center" wrapText="1"/>
    </xf>
    <xf numFmtId="0" fontId="52" fillId="3" borderId="16" xfId="0" applyFont="1" applyFill="1" applyBorder="1" applyAlignment="1">
      <alignment horizontal="center" vertical="center"/>
    </xf>
    <xf numFmtId="0" fontId="51" fillId="3" borderId="16" xfId="0" applyFont="1" applyFill="1" applyBorder="1" applyAlignment="1">
      <alignment wrapText="1"/>
    </xf>
    <xf numFmtId="0" fontId="49" fillId="3" borderId="16" xfId="3" applyFont="1" applyFill="1" applyBorder="1" applyAlignment="1">
      <alignment horizontal="center" vertical="center"/>
    </xf>
    <xf numFmtId="49" fontId="51" fillId="3" borderId="0" xfId="0" applyNumberFormat="1" applyFont="1" applyFill="1" applyAlignment="1">
      <alignment horizontal="left" vertical="center"/>
    </xf>
    <xf numFmtId="0" fontId="51" fillId="3" borderId="0" xfId="0" applyFont="1" applyFill="1" applyAlignment="1">
      <alignment horizontal="center" vertical="center"/>
    </xf>
    <xf numFmtId="0" fontId="51" fillId="3" borderId="25" xfId="0" applyFont="1" applyFill="1" applyBorder="1" applyAlignment="1">
      <alignment horizontal="left" vertical="center" wrapText="1"/>
    </xf>
    <xf numFmtId="0" fontId="52" fillId="3" borderId="0" xfId="0" applyFont="1" applyFill="1" applyAlignment="1">
      <alignment horizontal="center" vertical="center"/>
    </xf>
    <xf numFmtId="0" fontId="51" fillId="3" borderId="0" xfId="0" applyFont="1" applyFill="1" applyAlignment="1">
      <alignment wrapText="1"/>
    </xf>
    <xf numFmtId="0" fontId="49" fillId="3" borderId="0" xfId="3" applyFont="1" applyFill="1" applyBorder="1" applyAlignment="1">
      <alignment horizontal="center" vertical="center"/>
    </xf>
    <xf numFmtId="49" fontId="51" fillId="3" borderId="24" xfId="0" applyNumberFormat="1" applyFont="1" applyFill="1" applyBorder="1" applyAlignment="1">
      <alignment horizontal="center"/>
    </xf>
    <xf numFmtId="49" fontId="51" fillId="3" borderId="16" xfId="0" quotePrefix="1" applyNumberFormat="1" applyFont="1" applyFill="1" applyBorder="1" applyAlignment="1">
      <alignment horizontal="left" vertical="center"/>
    </xf>
    <xf numFmtId="49" fontId="51" fillId="3" borderId="25" xfId="0" quotePrefix="1" applyNumberFormat="1" applyFont="1" applyFill="1" applyBorder="1" applyAlignment="1">
      <alignment vertical="center"/>
    </xf>
    <xf numFmtId="49" fontId="51" fillId="3" borderId="25" xfId="0" applyNumberFormat="1" applyFont="1" applyFill="1" applyBorder="1" applyAlignment="1">
      <alignment vertical="center"/>
    </xf>
    <xf numFmtId="0" fontId="51" fillId="7" borderId="16" xfId="0" applyFont="1" applyFill="1" applyBorder="1" applyAlignment="1">
      <alignment horizontal="left" vertical="center" wrapText="1"/>
    </xf>
    <xf numFmtId="0" fontId="52" fillId="7" borderId="16" xfId="0" applyFont="1" applyFill="1" applyBorder="1" applyAlignment="1">
      <alignment horizontal="center" vertical="center"/>
    </xf>
    <xf numFmtId="0" fontId="51" fillId="7" borderId="16" xfId="0" applyFont="1" applyFill="1" applyBorder="1" applyAlignment="1">
      <alignment wrapText="1"/>
    </xf>
    <xf numFmtId="0" fontId="51" fillId="7" borderId="0" xfId="0" applyFont="1" applyFill="1"/>
    <xf numFmtId="49" fontId="54" fillId="3" borderId="0" xfId="0" quotePrefix="1" applyNumberFormat="1" applyFont="1" applyFill="1" applyAlignment="1">
      <alignment vertical="center"/>
    </xf>
    <xf numFmtId="49" fontId="54" fillId="3" borderId="0" xfId="0" applyNumberFormat="1" applyFont="1" applyFill="1" applyAlignment="1">
      <alignment vertical="center"/>
    </xf>
    <xf numFmtId="49" fontId="54" fillId="3" borderId="15" xfId="0" quotePrefix="1" applyNumberFormat="1" applyFont="1" applyFill="1" applyBorder="1" applyAlignment="1">
      <alignment vertical="center"/>
    </xf>
    <xf numFmtId="49" fontId="54" fillId="3" borderId="15" xfId="0" applyNumberFormat="1" applyFont="1" applyFill="1" applyBorder="1" applyAlignment="1">
      <alignment vertical="center"/>
    </xf>
    <xf numFmtId="49" fontId="51" fillId="3" borderId="15" xfId="0" quotePrefix="1" applyNumberFormat="1" applyFont="1" applyFill="1" applyBorder="1" applyAlignment="1">
      <alignment horizontal="left" vertical="center"/>
    </xf>
    <xf numFmtId="49" fontId="51" fillId="3" borderId="0" xfId="0" quotePrefix="1" applyNumberFormat="1" applyFont="1" applyFill="1" applyAlignment="1">
      <alignment horizontal="left" vertical="center"/>
    </xf>
    <xf numFmtId="0" fontId="51" fillId="3" borderId="0" xfId="0" applyFont="1" applyFill="1" applyAlignment="1">
      <alignment horizontal="left" vertical="center" wrapText="1"/>
    </xf>
    <xf numFmtId="0" fontId="51" fillId="3" borderId="0" xfId="0" applyFont="1" applyFill="1" applyAlignment="1">
      <alignment vertical="center"/>
    </xf>
    <xf numFmtId="49" fontId="51" fillId="3" borderId="0" xfId="0" applyNumberFormat="1" applyFont="1" applyFill="1" applyAlignment="1">
      <alignment vertical="center"/>
    </xf>
    <xf numFmtId="0" fontId="51" fillId="7" borderId="15" xfId="0" applyFont="1" applyFill="1" applyBorder="1" applyAlignment="1">
      <alignment horizontal="left" vertical="center" wrapText="1"/>
    </xf>
    <xf numFmtId="0" fontId="52" fillId="7" borderId="15" xfId="0" applyFont="1" applyFill="1" applyBorder="1" applyAlignment="1">
      <alignment horizontal="center" vertical="center"/>
    </xf>
    <xf numFmtId="0" fontId="51" fillId="7" borderId="15" xfId="0" applyFont="1" applyFill="1" applyBorder="1" applyAlignment="1">
      <alignment wrapText="1"/>
    </xf>
    <xf numFmtId="0" fontId="49" fillId="7" borderId="15" xfId="3" applyFont="1" applyFill="1" applyBorder="1" applyAlignment="1">
      <alignment horizontal="center" vertical="center"/>
    </xf>
    <xf numFmtId="49" fontId="54" fillId="3" borderId="0" xfId="0" applyNumberFormat="1" applyFont="1" applyFill="1" applyAlignment="1">
      <alignment horizontal="left" vertical="center"/>
    </xf>
    <xf numFmtId="49" fontId="54" fillId="3" borderId="15" xfId="0" applyNumberFormat="1" applyFont="1" applyFill="1" applyBorder="1" applyAlignment="1">
      <alignment horizontal="left" vertical="center"/>
    </xf>
    <xf numFmtId="0" fontId="51" fillId="3" borderId="25" xfId="0" applyFont="1" applyFill="1" applyBorder="1" applyAlignment="1">
      <alignment vertical="center"/>
    </xf>
    <xf numFmtId="0" fontId="49" fillId="7" borderId="16" xfId="3" applyFont="1" applyFill="1" applyBorder="1" applyAlignment="1">
      <alignment horizontal="center" vertical="center"/>
    </xf>
    <xf numFmtId="0" fontId="51" fillId="3" borderId="25" xfId="0" applyFont="1" applyFill="1" applyBorder="1" applyAlignment="1">
      <alignment wrapText="1"/>
    </xf>
    <xf numFmtId="0" fontId="49" fillId="3" borderId="25" xfId="3" applyFont="1" applyFill="1" applyBorder="1" applyAlignment="1">
      <alignment horizontal="center" vertical="center"/>
    </xf>
    <xf numFmtId="49" fontId="51" fillId="4" borderId="24" xfId="0" applyNumberFormat="1" applyFont="1" applyFill="1" applyBorder="1" applyAlignment="1">
      <alignment horizontal="center"/>
    </xf>
    <xf numFmtId="0" fontId="51" fillId="3" borderId="22" xfId="0" applyFont="1" applyFill="1" applyBorder="1"/>
    <xf numFmtId="0" fontId="51" fillId="3" borderId="17" xfId="0" applyFont="1" applyFill="1" applyBorder="1"/>
    <xf numFmtId="49" fontId="51" fillId="3" borderId="17" xfId="0" applyNumberFormat="1" applyFont="1" applyFill="1" applyBorder="1" applyAlignment="1">
      <alignment horizontal="left" vertical="center"/>
    </xf>
    <xf numFmtId="0" fontId="51" fillId="3" borderId="17" xfId="0" applyFont="1" applyFill="1" applyBorder="1" applyAlignment="1">
      <alignment horizontal="left" vertical="center"/>
    </xf>
    <xf numFmtId="0" fontId="51" fillId="3" borderId="29" xfId="0" applyFont="1" applyFill="1" applyBorder="1"/>
    <xf numFmtId="0" fontId="51" fillId="3" borderId="0" xfId="0" applyFont="1" applyFill="1" applyAlignment="1">
      <alignment horizontal="left" vertical="center"/>
    </xf>
    <xf numFmtId="0" fontId="44" fillId="0" borderId="19" xfId="4" applyFont="1" applyBorder="1" applyAlignment="1">
      <alignment horizontal="center" vertical="center" wrapText="1"/>
    </xf>
    <xf numFmtId="0" fontId="44" fillId="0" borderId="0" xfId="4" applyFont="1" applyAlignment="1">
      <alignment horizontal="center" vertical="center" wrapText="1"/>
    </xf>
    <xf numFmtId="0" fontId="7" fillId="9" borderId="19" xfId="4" quotePrefix="1" applyFont="1" applyFill="1" applyBorder="1" applyAlignment="1">
      <alignment horizontal="left" vertical="top" wrapText="1"/>
    </xf>
    <xf numFmtId="0" fontId="7" fillId="0" borderId="0" xfId="4" applyFont="1" applyAlignment="1">
      <alignment horizontal="left" vertical="top" wrapText="1"/>
    </xf>
    <xf numFmtId="0" fontId="7" fillId="10" borderId="19" xfId="4" quotePrefix="1" applyFont="1" applyFill="1" applyBorder="1" applyAlignment="1">
      <alignment horizontal="left" vertical="top" wrapText="1"/>
    </xf>
    <xf numFmtId="0" fontId="7" fillId="10" borderId="19" xfId="4" applyFont="1" applyFill="1" applyBorder="1" applyAlignment="1">
      <alignment vertical="top" wrapText="1"/>
    </xf>
    <xf numFmtId="0" fontId="7" fillId="11" borderId="19" xfId="4" quotePrefix="1" applyFont="1" applyFill="1" applyBorder="1" applyAlignment="1">
      <alignment horizontal="left" vertical="top" wrapText="1"/>
    </xf>
    <xf numFmtId="0" fontId="7" fillId="11" borderId="19" xfId="4" applyFont="1" applyFill="1" applyBorder="1" applyAlignment="1">
      <alignment vertical="top" wrapText="1"/>
    </xf>
    <xf numFmtId="0" fontId="7" fillId="12" borderId="19" xfId="4" quotePrefix="1" applyFont="1" applyFill="1" applyBorder="1" applyAlignment="1">
      <alignment horizontal="left" vertical="top" wrapText="1"/>
    </xf>
    <xf numFmtId="0" fontId="7" fillId="13" borderId="19" xfId="4" applyFont="1" applyFill="1" applyBorder="1" applyAlignment="1">
      <alignment vertical="top" wrapText="1"/>
    </xf>
    <xf numFmtId="0" fontId="7" fillId="13" borderId="19" xfId="4" quotePrefix="1" applyFont="1" applyFill="1" applyBorder="1" applyAlignment="1">
      <alignment horizontal="left" vertical="top" wrapText="1"/>
    </xf>
    <xf numFmtId="0" fontId="7" fillId="14" borderId="19" xfId="4" quotePrefix="1" applyFont="1" applyFill="1" applyBorder="1" applyAlignment="1">
      <alignment horizontal="left" vertical="top" wrapText="1"/>
    </xf>
    <xf numFmtId="49" fontId="6" fillId="0" borderId="19" xfId="4" applyNumberFormat="1" applyFont="1" applyBorder="1" applyAlignment="1" applyProtection="1">
      <alignment horizontal="left" vertical="center" wrapText="1"/>
      <protection locked="0"/>
    </xf>
    <xf numFmtId="49" fontId="46" fillId="9" borderId="19" xfId="3" applyNumberFormat="1" applyFont="1" applyFill="1" applyBorder="1" applyAlignment="1" applyProtection="1">
      <alignment horizontal="left" vertical="top" wrapText="1"/>
      <protection locked="0"/>
    </xf>
    <xf numFmtId="49" fontId="46" fillId="10" borderId="19" xfId="3" applyNumberFormat="1" applyFont="1" applyFill="1" applyBorder="1" applyAlignment="1" applyProtection="1">
      <alignment horizontal="left" vertical="top" wrapText="1"/>
      <protection locked="0"/>
    </xf>
    <xf numFmtId="49" fontId="46" fillId="11" borderId="19" xfId="3" applyNumberFormat="1" applyFont="1" applyFill="1" applyBorder="1" applyAlignment="1" applyProtection="1">
      <alignment horizontal="left" vertical="top" wrapText="1"/>
      <protection locked="0"/>
    </xf>
    <xf numFmtId="49" fontId="46" fillId="12" borderId="19" xfId="3" quotePrefix="1" applyNumberFormat="1" applyFont="1" applyFill="1" applyBorder="1" applyAlignment="1" applyProtection="1">
      <alignment horizontal="left" vertical="top" wrapText="1"/>
      <protection locked="0"/>
    </xf>
    <xf numFmtId="49" fontId="46" fillId="12" borderId="19" xfId="3" applyNumberFormat="1" applyFont="1" applyFill="1" applyBorder="1" applyAlignment="1" applyProtection="1">
      <alignment horizontal="left" vertical="top" wrapText="1"/>
      <protection locked="0"/>
    </xf>
    <xf numFmtId="49" fontId="46" fillId="13" borderId="19" xfId="3" applyNumberFormat="1" applyFont="1" applyFill="1" applyBorder="1" applyAlignment="1" applyProtection="1">
      <alignment horizontal="left" vertical="top" wrapText="1"/>
      <protection locked="0"/>
    </xf>
    <xf numFmtId="49" fontId="46" fillId="14" borderId="19" xfId="3" applyNumberFormat="1" applyFont="1" applyFill="1" applyBorder="1" applyAlignment="1" applyProtection="1">
      <alignment horizontal="left" vertical="top" wrapText="1"/>
      <protection locked="0"/>
    </xf>
    <xf numFmtId="49" fontId="7" fillId="0" borderId="0" xfId="4" applyNumberFormat="1" applyFont="1" applyAlignment="1" applyProtection="1">
      <alignment horizontal="left" vertical="top" wrapText="1"/>
      <protection locked="0"/>
    </xf>
    <xf numFmtId="0" fontId="7" fillId="9" borderId="19" xfId="4" applyFont="1" applyFill="1" applyBorder="1" applyAlignment="1">
      <alignment horizontal="left" vertical="top" wrapText="1"/>
    </xf>
    <xf numFmtId="0" fontId="1" fillId="0" borderId="0" xfId="5" applyAlignment="1">
      <alignment vertical="center"/>
    </xf>
    <xf numFmtId="0" fontId="1" fillId="0" borderId="0" xfId="5" applyAlignment="1" applyProtection="1">
      <alignment horizontal="center" vertical="center"/>
      <protection locked="0"/>
    </xf>
    <xf numFmtId="0" fontId="1" fillId="0" borderId="0" xfId="5" applyAlignment="1" applyProtection="1">
      <alignment vertical="center"/>
      <protection locked="0"/>
    </xf>
    <xf numFmtId="0" fontId="55" fillId="3" borderId="0" xfId="5" applyFont="1" applyFill="1" applyAlignment="1">
      <alignment horizontal="center" vertical="center"/>
    </xf>
    <xf numFmtId="0" fontId="7" fillId="3" borderId="82" xfId="5" applyFont="1" applyFill="1" applyBorder="1" applyAlignment="1">
      <alignment horizontal="center" vertical="center" wrapText="1"/>
    </xf>
    <xf numFmtId="0" fontId="7" fillId="3" borderId="83" xfId="5" applyFont="1" applyFill="1" applyBorder="1" applyAlignment="1">
      <alignment horizontal="center" vertical="center" wrapText="1"/>
    </xf>
    <xf numFmtId="0" fontId="7" fillId="3" borderId="14" xfId="5" applyFont="1" applyFill="1" applyBorder="1" applyAlignment="1">
      <alignment horizontal="center" vertical="center" wrapText="1"/>
    </xf>
    <xf numFmtId="0" fontId="7" fillId="3" borderId="84" xfId="5" applyFont="1" applyFill="1" applyBorder="1" applyAlignment="1">
      <alignment vertical="center" wrapText="1"/>
    </xf>
    <xf numFmtId="9" fontId="7" fillId="3" borderId="85" xfId="6" applyFont="1" applyFill="1" applyBorder="1" applyAlignment="1" applyProtection="1">
      <alignment vertical="center"/>
    </xf>
    <xf numFmtId="9" fontId="7" fillId="3" borderId="87" xfId="6" applyFont="1" applyFill="1" applyBorder="1" applyAlignment="1" applyProtection="1">
      <alignment horizontal="center" vertical="center"/>
    </xf>
    <xf numFmtId="0" fontId="1" fillId="0" borderId="0" xfId="5" applyProtection="1">
      <protection locked="0"/>
    </xf>
    <xf numFmtId="0" fontId="1" fillId="0" borderId="0" xfId="5"/>
    <xf numFmtId="0" fontId="7" fillId="3" borderId="88" xfId="5" applyFont="1" applyFill="1" applyBorder="1" applyAlignment="1">
      <alignment vertical="center" wrapText="1"/>
    </xf>
    <xf numFmtId="9" fontId="7" fillId="3" borderId="89" xfId="6" applyFont="1" applyFill="1" applyBorder="1" applyAlignment="1" applyProtection="1">
      <alignment vertical="center"/>
    </xf>
    <xf numFmtId="9" fontId="7" fillId="3" borderId="91" xfId="6" applyFont="1" applyFill="1" applyBorder="1" applyAlignment="1" applyProtection="1">
      <alignment horizontal="center" vertical="center"/>
    </xf>
    <xf numFmtId="0" fontId="7" fillId="3" borderId="88" xfId="5" quotePrefix="1" applyFont="1" applyFill="1" applyBorder="1" applyAlignment="1">
      <alignment horizontal="left" vertical="center" wrapText="1"/>
    </xf>
    <xf numFmtId="9" fontId="7" fillId="3" borderId="89" xfId="6" applyFont="1" applyFill="1" applyBorder="1" applyAlignment="1" applyProtection="1">
      <alignment vertical="top"/>
    </xf>
    <xf numFmtId="9" fontId="7" fillId="3" borderId="91" xfId="6" applyFont="1" applyFill="1" applyBorder="1" applyAlignment="1" applyProtection="1">
      <alignment horizontal="center" vertical="top"/>
    </xf>
    <xf numFmtId="0" fontId="7" fillId="3" borderId="88" xfId="5" applyFont="1" applyFill="1" applyBorder="1" applyAlignment="1">
      <alignment horizontal="left" vertical="center" wrapText="1"/>
    </xf>
    <xf numFmtId="0" fontId="7" fillId="3" borderId="92" xfId="5" applyFont="1" applyFill="1" applyBorder="1" applyAlignment="1">
      <alignment vertical="center" wrapText="1"/>
    </xf>
    <xf numFmtId="9" fontId="7" fillId="3" borderId="93" xfId="6" applyFont="1" applyFill="1" applyBorder="1" applyAlignment="1" applyProtection="1">
      <alignment vertical="center"/>
    </xf>
    <xf numFmtId="9" fontId="7" fillId="3" borderId="95" xfId="6" applyFont="1" applyFill="1" applyBorder="1" applyAlignment="1" applyProtection="1">
      <alignment horizontal="center" vertical="center"/>
    </xf>
    <xf numFmtId="0" fontId="1" fillId="0" borderId="0" xfId="5" applyAlignment="1">
      <alignment horizontal="center" vertical="center"/>
    </xf>
    <xf numFmtId="176" fontId="7" fillId="7" borderId="86" xfId="6" applyNumberFormat="1" applyFont="1" applyFill="1" applyBorder="1" applyAlignment="1" applyProtection="1">
      <alignment horizontal="center" vertical="center"/>
      <protection locked="0"/>
    </xf>
    <xf numFmtId="176" fontId="7" fillId="7" borderId="90" xfId="6" applyNumberFormat="1" applyFont="1" applyFill="1" applyBorder="1" applyAlignment="1" applyProtection="1">
      <alignment horizontal="center" vertical="center"/>
      <protection locked="0"/>
    </xf>
    <xf numFmtId="176" fontId="7" fillId="7" borderId="90" xfId="6" applyNumberFormat="1" applyFont="1" applyFill="1" applyBorder="1" applyAlignment="1" applyProtection="1">
      <alignment horizontal="center" vertical="top"/>
      <protection locked="0"/>
    </xf>
    <xf numFmtId="176" fontId="7" fillId="7" borderId="94" xfId="6" applyNumberFormat="1" applyFont="1" applyFill="1" applyBorder="1" applyAlignment="1" applyProtection="1">
      <alignment horizontal="center" vertical="center"/>
      <protection locked="0"/>
    </xf>
    <xf numFmtId="0" fontId="1" fillId="0" borderId="0" xfId="5" applyAlignment="1">
      <alignment horizontal="center"/>
    </xf>
    <xf numFmtId="0" fontId="0" fillId="0" borderId="0" xfId="0" applyAlignment="1">
      <alignment horizontal="left" vertical="center"/>
    </xf>
    <xf numFmtId="0" fontId="56" fillId="3" borderId="0" xfId="0" applyFont="1" applyFill="1" applyAlignment="1">
      <alignment horizontal="center" vertical="center"/>
    </xf>
    <xf numFmtId="0" fontId="57" fillId="5" borderId="26" xfId="0" applyFont="1" applyFill="1" applyBorder="1"/>
    <xf numFmtId="49" fontId="57" fillId="5" borderId="27" xfId="0" applyNumberFormat="1" applyFont="1" applyFill="1" applyBorder="1"/>
    <xf numFmtId="0" fontId="57" fillId="5" borderId="27" xfId="0" applyFont="1" applyFill="1" applyBorder="1" applyAlignment="1">
      <alignment textRotation="90"/>
    </xf>
    <xf numFmtId="0" fontId="58" fillId="5" borderId="27" xfId="0" applyFont="1" applyFill="1" applyBorder="1" applyAlignment="1">
      <alignment horizontal="left" vertical="center"/>
    </xf>
    <xf numFmtId="0" fontId="57" fillId="5" borderId="27" xfId="0" applyFont="1" applyFill="1" applyBorder="1"/>
    <xf numFmtId="176" fontId="59" fillId="5" borderId="27" xfId="0" applyNumberFormat="1" applyFont="1" applyFill="1" applyBorder="1"/>
    <xf numFmtId="0" fontId="57" fillId="5" borderId="23" xfId="0" applyFont="1" applyFill="1" applyBorder="1"/>
    <xf numFmtId="0" fontId="57" fillId="5" borderId="0" xfId="0" applyFont="1" applyFill="1"/>
    <xf numFmtId="0" fontId="57" fillId="5" borderId="28" xfId="0" applyFont="1" applyFill="1" applyBorder="1" applyAlignment="1">
      <alignment vertical="center"/>
    </xf>
    <xf numFmtId="49" fontId="60" fillId="5" borderId="17" xfId="0" applyNumberFormat="1" applyFont="1" applyFill="1" applyBorder="1" applyAlignment="1">
      <alignment vertical="center"/>
    </xf>
    <xf numFmtId="0" fontId="57" fillId="5" borderId="17" xfId="0" applyFont="1" applyFill="1" applyBorder="1" applyAlignment="1">
      <alignment vertical="center" textRotation="90"/>
    </xf>
    <xf numFmtId="0" fontId="55" fillId="5" borderId="17" xfId="0" applyFont="1" applyFill="1" applyBorder="1" applyAlignment="1">
      <alignment horizontal="center" vertical="center"/>
    </xf>
    <xf numFmtId="0" fontId="60" fillId="5" borderId="33" xfId="0" applyFont="1" applyFill="1" applyBorder="1" applyAlignment="1">
      <alignment horizontal="center" vertical="center" wrapText="1"/>
    </xf>
    <xf numFmtId="10" fontId="60" fillId="5" borderId="17" xfId="0" applyNumberFormat="1" applyFont="1" applyFill="1" applyBorder="1" applyAlignment="1">
      <alignment horizontal="center" vertical="center" wrapText="1"/>
    </xf>
    <xf numFmtId="0" fontId="61" fillId="5" borderId="24" xfId="0" applyFont="1" applyFill="1" applyBorder="1" applyAlignment="1">
      <alignment vertical="center"/>
    </xf>
    <xf numFmtId="0" fontId="61" fillId="5" borderId="0" xfId="0" applyFont="1" applyFill="1" applyAlignment="1">
      <alignment vertical="center"/>
    </xf>
    <xf numFmtId="49" fontId="6" fillId="7" borderId="0" xfId="0" applyNumberFormat="1" applyFont="1" applyFill="1" applyAlignment="1">
      <alignment horizontal="left" vertical="center"/>
    </xf>
    <xf numFmtId="0" fontId="7" fillId="7" borderId="0" xfId="0" applyFont="1" applyFill="1" applyAlignment="1">
      <alignment vertical="center"/>
    </xf>
    <xf numFmtId="0" fontId="6" fillId="7" borderId="15" xfId="0" applyFont="1" applyFill="1" applyBorder="1" applyAlignment="1">
      <alignment vertical="center" wrapText="1"/>
    </xf>
    <xf numFmtId="0" fontId="22" fillId="7" borderId="32" xfId="2" applyNumberFormat="1" applyFont="1" applyFill="1" applyBorder="1" applyAlignment="1">
      <alignment horizontal="center" vertical="center"/>
    </xf>
    <xf numFmtId="9" fontId="6" fillId="7" borderId="15" xfId="2" applyFont="1" applyFill="1" applyBorder="1" applyAlignment="1">
      <alignment horizontal="center" vertical="center"/>
    </xf>
    <xf numFmtId="0" fontId="26" fillId="3" borderId="24" xfId="0" applyFont="1" applyFill="1" applyBorder="1" applyAlignment="1">
      <alignment vertical="center"/>
    </xf>
    <xf numFmtId="49" fontId="7" fillId="3" borderId="0" xfId="0" applyNumberFormat="1" applyFont="1" applyFill="1" applyAlignment="1">
      <alignment vertical="center"/>
    </xf>
    <xf numFmtId="0" fontId="7" fillId="3" borderId="0" xfId="0" applyFont="1" applyFill="1" applyAlignment="1">
      <alignment vertical="center"/>
    </xf>
    <xf numFmtId="0" fontId="7" fillId="3" borderId="15" xfId="0" applyFont="1" applyFill="1" applyBorder="1" applyAlignment="1">
      <alignment vertical="center" wrapText="1"/>
    </xf>
    <xf numFmtId="0" fontId="22" fillId="0" borderId="32" xfId="2" applyNumberFormat="1" applyFont="1" applyFill="1" applyBorder="1" applyAlignment="1">
      <alignment horizontal="center" vertical="center"/>
    </xf>
    <xf numFmtId="9" fontId="7" fillId="3" borderId="15" xfId="2" applyFont="1" applyFill="1" applyBorder="1" applyAlignment="1">
      <alignment horizontal="center" vertical="center"/>
    </xf>
    <xf numFmtId="49" fontId="7" fillId="3" borderId="15" xfId="0" applyNumberFormat="1" applyFont="1" applyFill="1" applyBorder="1" applyAlignment="1">
      <alignment vertical="center" wrapText="1"/>
    </xf>
    <xf numFmtId="0" fontId="7" fillId="0" borderId="32" xfId="2" applyNumberFormat="1" applyFont="1" applyFill="1" applyBorder="1" applyAlignment="1">
      <alignment horizontal="center" vertical="center"/>
    </xf>
    <xf numFmtId="49" fontId="7" fillId="3" borderId="81" xfId="0" applyNumberFormat="1" applyFont="1" applyFill="1" applyBorder="1" applyAlignment="1">
      <alignment vertical="center" wrapText="1"/>
    </xf>
    <xf numFmtId="0" fontId="7" fillId="0" borderId="32" xfId="2" applyNumberFormat="1" applyFont="1" applyBorder="1" applyAlignment="1">
      <alignment horizontal="center" vertical="center"/>
    </xf>
    <xf numFmtId="0" fontId="7" fillId="0" borderId="38" xfId="2" applyNumberFormat="1" applyFont="1" applyFill="1" applyBorder="1" applyAlignment="1">
      <alignment horizontal="center" vertical="center"/>
    </xf>
    <xf numFmtId="9" fontId="7" fillId="3" borderId="0" xfId="2" applyFont="1" applyFill="1" applyBorder="1" applyAlignment="1">
      <alignment horizontal="center" vertical="center"/>
    </xf>
    <xf numFmtId="49" fontId="7" fillId="3" borderId="17" xfId="0" applyNumberFormat="1" applyFont="1" applyFill="1" applyBorder="1" applyAlignment="1">
      <alignment vertical="center"/>
    </xf>
    <xf numFmtId="0" fontId="7" fillId="3" borderId="17" xfId="0" applyFont="1" applyFill="1" applyBorder="1" applyAlignment="1">
      <alignment vertical="center"/>
    </xf>
    <xf numFmtId="49" fontId="7" fillId="3" borderId="17" xfId="0" applyNumberFormat="1" applyFont="1" applyFill="1" applyBorder="1" applyAlignment="1">
      <alignment vertical="center" wrapText="1"/>
    </xf>
    <xf numFmtId="0" fontId="7" fillId="0" borderId="33" xfId="2" applyNumberFormat="1" applyFont="1" applyFill="1" applyBorder="1" applyAlignment="1">
      <alignment horizontal="center" vertical="center"/>
    </xf>
    <xf numFmtId="0" fontId="7" fillId="0" borderId="31" xfId="2" applyNumberFormat="1" applyFont="1" applyFill="1" applyBorder="1" applyAlignment="1">
      <alignment horizontal="center" vertical="center"/>
    </xf>
    <xf numFmtId="9" fontId="7" fillId="3" borderId="30" xfId="2" applyFont="1" applyFill="1" applyBorder="1" applyAlignment="1">
      <alignment horizontal="center" vertical="center"/>
    </xf>
    <xf numFmtId="0" fontId="7" fillId="7" borderId="32" xfId="2" applyNumberFormat="1" applyFont="1" applyFill="1" applyBorder="1" applyAlignment="1">
      <alignment horizontal="center" vertical="center"/>
    </xf>
    <xf numFmtId="49" fontId="7" fillId="3" borderId="16" xfId="2" applyNumberFormat="1" applyFont="1" applyFill="1" applyBorder="1" applyAlignment="1">
      <alignment vertical="center" wrapText="1"/>
    </xf>
    <xf numFmtId="0" fontId="7" fillId="3" borderId="32" xfId="2" applyNumberFormat="1" applyFont="1" applyFill="1" applyBorder="1" applyAlignment="1">
      <alignment horizontal="center" vertical="center"/>
    </xf>
    <xf numFmtId="9" fontId="7" fillId="7" borderId="15" xfId="2" applyFont="1" applyFill="1" applyBorder="1" applyAlignment="1">
      <alignment horizontal="center" vertical="center"/>
    </xf>
    <xf numFmtId="49" fontId="63" fillId="3" borderId="16" xfId="2" applyNumberFormat="1" applyFont="1" applyFill="1" applyBorder="1" applyAlignment="1">
      <alignment vertical="center" wrapText="1"/>
    </xf>
    <xf numFmtId="49" fontId="7" fillId="3" borderId="34" xfId="2" applyNumberFormat="1" applyFont="1" applyFill="1" applyBorder="1" applyAlignment="1">
      <alignment vertical="center" wrapText="1"/>
    </xf>
    <xf numFmtId="0" fontId="7" fillId="3" borderId="31" xfId="2" applyNumberFormat="1" applyFont="1" applyFill="1" applyBorder="1" applyAlignment="1">
      <alignment horizontal="center" vertical="center"/>
    </xf>
    <xf numFmtId="0" fontId="6" fillId="7" borderId="35" xfId="0" applyFont="1" applyFill="1" applyBorder="1" applyAlignment="1">
      <alignment vertical="center" wrapText="1"/>
    </xf>
    <xf numFmtId="49" fontId="7" fillId="3" borderId="16" xfId="0" applyNumberFormat="1" applyFont="1" applyFill="1" applyBorder="1" applyAlignment="1">
      <alignment vertical="center" wrapText="1"/>
    </xf>
    <xf numFmtId="9" fontId="7" fillId="3" borderId="16" xfId="2" applyFont="1" applyFill="1" applyBorder="1" applyAlignment="1">
      <alignment horizontal="center" vertical="center"/>
    </xf>
    <xf numFmtId="0" fontId="6" fillId="7" borderId="15" xfId="0" quotePrefix="1" applyFont="1" applyFill="1" applyBorder="1" applyAlignment="1">
      <alignment horizontal="left" vertical="center" wrapText="1"/>
    </xf>
    <xf numFmtId="0" fontId="6" fillId="7" borderId="15" xfId="0" applyFont="1" applyFill="1" applyBorder="1" applyAlignment="1">
      <alignment horizontal="left" vertical="center" wrapText="1"/>
    </xf>
    <xf numFmtId="0" fontId="27" fillId="3" borderId="24" xfId="0" applyFont="1" applyFill="1" applyBorder="1" applyAlignment="1">
      <alignment vertical="center"/>
    </xf>
    <xf numFmtId="9" fontId="7" fillId="7" borderId="16" xfId="2" applyFont="1" applyFill="1" applyBorder="1" applyAlignment="1">
      <alignment horizontal="center" vertical="center"/>
    </xf>
    <xf numFmtId="49" fontId="63" fillId="3" borderId="16" xfId="0" applyNumberFormat="1" applyFont="1" applyFill="1" applyBorder="1" applyAlignment="1">
      <alignment vertical="center" wrapText="1"/>
    </xf>
    <xf numFmtId="49" fontId="7" fillId="3" borderId="25" xfId="0" applyNumberFormat="1" applyFont="1" applyFill="1" applyBorder="1" applyAlignment="1">
      <alignment vertical="center" wrapText="1"/>
    </xf>
    <xf numFmtId="0" fontId="7" fillId="3" borderId="38" xfId="2" applyNumberFormat="1" applyFont="1" applyFill="1" applyBorder="1" applyAlignment="1">
      <alignment horizontal="center" vertical="center"/>
    </xf>
    <xf numFmtId="9" fontId="7" fillId="3" borderId="25" xfId="2" applyFont="1" applyFill="1" applyBorder="1" applyAlignment="1">
      <alignment horizontal="center" vertical="center"/>
    </xf>
    <xf numFmtId="0" fontId="51" fillId="3" borderId="17" xfId="0" applyFont="1" applyFill="1" applyBorder="1" applyAlignment="1">
      <alignment vertical="center"/>
    </xf>
    <xf numFmtId="49" fontId="7" fillId="3" borderId="30" xfId="0" applyNumberFormat="1" applyFont="1" applyFill="1" applyBorder="1" applyAlignment="1">
      <alignment vertical="center" wrapText="1"/>
    </xf>
    <xf numFmtId="10" fontId="7" fillId="3" borderId="16" xfId="2" applyNumberFormat="1" applyFont="1" applyFill="1" applyBorder="1" applyAlignment="1">
      <alignment horizontal="center" vertical="center"/>
    </xf>
    <xf numFmtId="0" fontId="7" fillId="3" borderId="36" xfId="2" applyNumberFormat="1" applyFont="1" applyFill="1" applyBorder="1" applyAlignment="1">
      <alignment horizontal="center" vertical="center"/>
    </xf>
    <xf numFmtId="0" fontId="19" fillId="3" borderId="0" xfId="0" applyFont="1" applyFill="1" applyAlignment="1">
      <alignment vertical="center"/>
    </xf>
    <xf numFmtId="0" fontId="19" fillId="3" borderId="0" xfId="0" applyFont="1" applyFill="1" applyAlignment="1">
      <alignment horizontal="center" vertical="center"/>
    </xf>
    <xf numFmtId="9" fontId="6" fillId="3" borderId="0" xfId="0" applyNumberFormat="1" applyFont="1" applyFill="1" applyAlignment="1">
      <alignment horizontal="right" vertical="center"/>
    </xf>
    <xf numFmtId="9" fontId="64" fillId="4" borderId="19" xfId="2" applyFont="1" applyFill="1" applyBorder="1" applyAlignment="1">
      <alignment horizontal="center" vertical="center"/>
    </xf>
    <xf numFmtId="9" fontId="19" fillId="3" borderId="0" xfId="0" applyNumberFormat="1" applyFont="1" applyFill="1"/>
    <xf numFmtId="0" fontId="51" fillId="3" borderId="26" xfId="0" applyFont="1" applyFill="1" applyBorder="1"/>
    <xf numFmtId="0" fontId="19" fillId="3" borderId="27" xfId="0" applyFont="1" applyFill="1" applyBorder="1"/>
    <xf numFmtId="9" fontId="19" fillId="3" borderId="27" xfId="0" applyNumberFormat="1" applyFont="1" applyFill="1" applyBorder="1"/>
    <xf numFmtId="0" fontId="26" fillId="3" borderId="23" xfId="0" applyFont="1" applyFill="1" applyBorder="1" applyAlignment="1">
      <alignment vertical="center"/>
    </xf>
    <xf numFmtId="0" fontId="7" fillId="3" borderId="0" xfId="0" applyFont="1" applyFill="1"/>
    <xf numFmtId="0" fontId="66" fillId="3" borderId="0" xfId="0" applyFont="1" applyFill="1" applyAlignment="1">
      <alignment horizontal="center"/>
    </xf>
    <xf numFmtId="0" fontId="66" fillId="3" borderId="17" xfId="0" applyFont="1" applyFill="1" applyBorder="1" applyAlignment="1">
      <alignment horizontal="center"/>
    </xf>
    <xf numFmtId="0" fontId="69" fillId="3" borderId="0" xfId="0" applyFont="1" applyFill="1"/>
    <xf numFmtId="0" fontId="70" fillId="0" borderId="0" xfId="0" applyFont="1"/>
    <xf numFmtId="0" fontId="19" fillId="3" borderId="0" xfId="0" applyFont="1" applyFill="1" applyAlignment="1">
      <alignment horizontal="left" vertical="top"/>
    </xf>
    <xf numFmtId="0" fontId="7" fillId="3" borderId="27" xfId="0" applyFont="1" applyFill="1" applyBorder="1"/>
    <xf numFmtId="0" fontId="9" fillId="3" borderId="27" xfId="0" applyFont="1" applyFill="1" applyBorder="1"/>
    <xf numFmtId="0" fontId="6" fillId="3" borderId="0" xfId="0" applyFont="1" applyFill="1" applyAlignment="1">
      <alignment horizontal="right"/>
    </xf>
    <xf numFmtId="177" fontId="7" fillId="3" borderId="0" xfId="2" applyNumberFormat="1" applyFont="1" applyFill="1" applyBorder="1" applyAlignment="1">
      <alignment horizontal="right"/>
    </xf>
    <xf numFmtId="178" fontId="7" fillId="3" borderId="0" xfId="2" applyNumberFormat="1" applyFont="1" applyFill="1" applyBorder="1" applyAlignment="1">
      <alignment horizontal="left"/>
    </xf>
    <xf numFmtId="179" fontId="7" fillId="3" borderId="0" xfId="2" applyNumberFormat="1" applyFont="1" applyFill="1" applyBorder="1" applyAlignment="1">
      <alignment horizontal="right"/>
    </xf>
    <xf numFmtId="180" fontId="7" fillId="3" borderId="0" xfId="2" applyNumberFormat="1" applyFont="1" applyFill="1" applyBorder="1" applyAlignment="1">
      <alignment horizontal="left"/>
    </xf>
    <xf numFmtId="0" fontId="26" fillId="3" borderId="29" xfId="0" applyFont="1" applyFill="1" applyBorder="1" applyAlignment="1">
      <alignment vertical="center"/>
    </xf>
    <xf numFmtId="49" fontId="51" fillId="3" borderId="0" xfId="0" applyNumberFormat="1" applyFont="1" applyFill="1"/>
    <xf numFmtId="10" fontId="51" fillId="3" borderId="0" xfId="0" applyNumberFormat="1" applyFont="1" applyFill="1"/>
    <xf numFmtId="0" fontId="51" fillId="3" borderId="24" xfId="0" applyFont="1" applyFill="1" applyBorder="1"/>
    <xf numFmtId="0" fontId="45" fillId="3" borderId="0" xfId="0" applyFont="1" applyFill="1" applyAlignment="1">
      <alignment horizontal="left" vertical="center"/>
    </xf>
    <xf numFmtId="0" fontId="51" fillId="3" borderId="0" xfId="0" applyFont="1" applyFill="1" applyAlignment="1">
      <alignment horizontal="left"/>
    </xf>
    <xf numFmtId="14" fontId="51" fillId="4" borderId="0" xfId="0" applyNumberFormat="1" applyFont="1" applyFill="1" applyAlignment="1">
      <alignment horizontal="left" vertical="top"/>
    </xf>
    <xf numFmtId="0" fontId="44" fillId="4" borderId="0" xfId="0" applyFont="1" applyFill="1" applyAlignment="1">
      <alignment horizontal="left" vertical="center"/>
    </xf>
    <xf numFmtId="0" fontId="51" fillId="4" borderId="15" xfId="0" applyFont="1" applyFill="1" applyBorder="1"/>
    <xf numFmtId="0" fontId="51" fillId="4" borderId="16" xfId="0" applyFont="1" applyFill="1" applyBorder="1"/>
    <xf numFmtId="0" fontId="51" fillId="4" borderId="0" xfId="0" applyFont="1" applyFill="1"/>
    <xf numFmtId="0" fontId="44" fillId="3" borderId="0" xfId="0" applyFont="1" applyFill="1"/>
    <xf numFmtId="0" fontId="73" fillId="3" borderId="0" xfId="0" applyFont="1" applyFill="1" applyAlignment="1">
      <alignment horizontal="center"/>
    </xf>
    <xf numFmtId="0" fontId="51" fillId="3" borderId="0" xfId="0" applyFont="1" applyFill="1" applyAlignment="1">
      <alignment vertical="top"/>
    </xf>
    <xf numFmtId="9" fontId="44" fillId="4" borderId="0" xfId="0" applyNumberFormat="1" applyFont="1" applyFill="1" applyAlignment="1">
      <alignment horizontal="center" vertical="center"/>
    </xf>
    <xf numFmtId="0" fontId="74" fillId="3" borderId="27" xfId="0" applyFont="1" applyFill="1" applyBorder="1" applyAlignment="1">
      <alignment horizontal="left" vertical="center"/>
    </xf>
    <xf numFmtId="14" fontId="51" fillId="3" borderId="0" xfId="0" applyNumberFormat="1" applyFont="1" applyFill="1" applyAlignment="1">
      <alignment horizontal="left"/>
    </xf>
    <xf numFmtId="0" fontId="51" fillId="4" borderId="0" xfId="0" applyFont="1" applyFill="1" applyAlignment="1">
      <alignment vertical="top"/>
    </xf>
    <xf numFmtId="0" fontId="62" fillId="3" borderId="0" xfId="0" applyFont="1" applyFill="1" applyAlignment="1">
      <alignment horizontal="right" wrapText="1"/>
    </xf>
    <xf numFmtId="49" fontId="75" fillId="11" borderId="19" xfId="3" applyNumberFormat="1" applyFont="1" applyFill="1" applyBorder="1" applyAlignment="1" applyProtection="1">
      <alignment horizontal="left" vertical="top" wrapText="1"/>
      <protection locked="0"/>
    </xf>
    <xf numFmtId="49" fontId="75" fillId="10" borderId="19" xfId="3" applyNumberFormat="1" applyFont="1" applyFill="1" applyBorder="1" applyAlignment="1" applyProtection="1">
      <alignment horizontal="left" vertical="top" wrapText="1"/>
      <protection locked="0"/>
    </xf>
    <xf numFmtId="0" fontId="7" fillId="0" borderId="19" xfId="4" applyFont="1" applyBorder="1" applyAlignment="1">
      <alignment horizontal="center" vertical="center" wrapText="1"/>
    </xf>
    <xf numFmtId="0" fontId="22" fillId="0" borderId="19" xfId="4" applyFont="1" applyBorder="1" applyAlignment="1">
      <alignment horizontal="center" vertical="center" wrapText="1"/>
    </xf>
    <xf numFmtId="0" fontId="7" fillId="12" borderId="19" xfId="4" applyFont="1" applyFill="1" applyBorder="1" applyAlignment="1">
      <alignment horizontal="left" vertical="top" wrapText="1"/>
    </xf>
    <xf numFmtId="0" fontId="7" fillId="13" borderId="19" xfId="4" applyFont="1" applyFill="1" applyBorder="1" applyAlignment="1">
      <alignment horizontal="left" vertical="top" wrapText="1"/>
    </xf>
    <xf numFmtId="0" fontId="7" fillId="14" borderId="19" xfId="4" applyFont="1" applyFill="1" applyBorder="1" applyAlignment="1">
      <alignment horizontal="left" vertical="top" wrapText="1"/>
    </xf>
    <xf numFmtId="0" fontId="7" fillId="9" borderId="19" xfId="4" applyFont="1" applyFill="1" applyBorder="1" applyAlignment="1">
      <alignment vertical="top" wrapText="1"/>
    </xf>
    <xf numFmtId="0" fontId="7" fillId="12" borderId="19" xfId="4" applyFont="1" applyFill="1" applyBorder="1" applyAlignment="1">
      <alignment vertical="top" wrapText="1"/>
    </xf>
    <xf numFmtId="0" fontId="7" fillId="11" borderId="96" xfId="4" applyFont="1" applyFill="1" applyBorder="1" applyAlignment="1">
      <alignment horizontal="left" vertical="top" wrapText="1"/>
    </xf>
    <xf numFmtId="0" fontId="7" fillId="11" borderId="97" xfId="4" applyFont="1" applyFill="1" applyBorder="1" applyAlignment="1">
      <alignment horizontal="left" vertical="top" wrapText="1"/>
    </xf>
    <xf numFmtId="0" fontId="7" fillId="3" borderId="0" xfId="4" applyFont="1" applyFill="1" applyAlignment="1">
      <alignment horizontal="left" vertical="top" wrapText="1"/>
    </xf>
    <xf numFmtId="0" fontId="6" fillId="3" borderId="19" xfId="4" applyFont="1" applyFill="1" applyBorder="1" applyAlignment="1" applyProtection="1">
      <alignment horizontal="center" vertical="center" wrapText="1"/>
      <protection locked="0"/>
    </xf>
    <xf numFmtId="0" fontId="6" fillId="11" borderId="19" xfId="4" quotePrefix="1" applyFont="1" applyFill="1" applyBorder="1" applyAlignment="1">
      <alignment horizontal="left" vertical="top" wrapText="1"/>
    </xf>
    <xf numFmtId="0" fontId="7" fillId="11" borderId="98" xfId="4" applyFont="1" applyFill="1" applyBorder="1" applyAlignment="1">
      <alignment horizontal="left" vertical="top" wrapText="1"/>
    </xf>
    <xf numFmtId="0" fontId="7" fillId="12" borderId="96" xfId="4" applyFont="1" applyFill="1" applyBorder="1" applyAlignment="1">
      <alignment vertical="top" wrapText="1"/>
    </xf>
    <xf numFmtId="0" fontId="7" fillId="12" borderId="97" xfId="4" applyFont="1" applyFill="1" applyBorder="1" applyAlignment="1">
      <alignment vertical="top" wrapText="1"/>
    </xf>
    <xf numFmtId="0" fontId="7" fillId="10" borderId="96" xfId="4" applyFont="1" applyFill="1" applyBorder="1" applyAlignment="1">
      <alignment vertical="top" wrapText="1"/>
    </xf>
    <xf numFmtId="0" fontId="7" fillId="10" borderId="97" xfId="4" applyFont="1" applyFill="1" applyBorder="1" applyAlignment="1">
      <alignment vertical="top" wrapText="1"/>
    </xf>
    <xf numFmtId="0" fontId="7" fillId="13" borderId="96" xfId="4" applyFont="1" applyFill="1" applyBorder="1" applyAlignment="1">
      <alignment vertical="top" wrapText="1"/>
    </xf>
    <xf numFmtId="0" fontId="7" fillId="13" borderId="97" xfId="4" applyFont="1" applyFill="1" applyBorder="1" applyAlignment="1">
      <alignment vertical="top" wrapText="1"/>
    </xf>
    <xf numFmtId="0" fontId="7" fillId="14" borderId="96" xfId="4" applyFont="1" applyFill="1" applyBorder="1" applyAlignment="1">
      <alignment vertical="top" wrapText="1"/>
    </xf>
    <xf numFmtId="0" fontId="7" fillId="14" borderId="98" xfId="4" applyFont="1" applyFill="1" applyBorder="1" applyAlignment="1">
      <alignment vertical="top" wrapText="1"/>
    </xf>
    <xf numFmtId="0" fontId="7" fillId="14" borderId="97" xfId="4" applyFont="1" applyFill="1" applyBorder="1" applyAlignment="1">
      <alignment vertical="top" wrapText="1"/>
    </xf>
    <xf numFmtId="0" fontId="7" fillId="11" borderId="19" xfId="4" applyFont="1" applyFill="1" applyBorder="1" applyAlignment="1">
      <alignment horizontal="left" vertical="top" wrapText="1"/>
    </xf>
    <xf numFmtId="0" fontId="72" fillId="4" borderId="26" xfId="0" applyFont="1" applyFill="1" applyBorder="1" applyAlignment="1">
      <alignment horizontal="center" vertical="center"/>
    </xf>
    <xf numFmtId="0" fontId="72" fillId="4" borderId="27" xfId="0" applyFont="1" applyFill="1" applyBorder="1" applyAlignment="1">
      <alignment horizontal="center" vertical="center"/>
    </xf>
    <xf numFmtId="0" fontId="72" fillId="4" borderId="23" xfId="0" applyFont="1" applyFill="1" applyBorder="1" applyAlignment="1">
      <alignment horizontal="center" vertical="center"/>
    </xf>
    <xf numFmtId="0" fontId="72" fillId="4" borderId="22" xfId="0" applyFont="1" applyFill="1" applyBorder="1" applyAlignment="1">
      <alignment horizontal="center" vertical="center"/>
    </xf>
    <xf numFmtId="0" fontId="72" fillId="4" borderId="17" xfId="0" applyFont="1" applyFill="1" applyBorder="1" applyAlignment="1">
      <alignment horizontal="center" vertical="center"/>
    </xf>
    <xf numFmtId="0" fontId="72" fillId="4" borderId="29" xfId="0" applyFont="1" applyFill="1" applyBorder="1" applyAlignment="1">
      <alignment horizontal="center" vertical="center"/>
    </xf>
    <xf numFmtId="0" fontId="50" fillId="3" borderId="0" xfId="0" applyFont="1" applyFill="1" applyAlignment="1">
      <alignment horizontal="center" vertical="center"/>
    </xf>
    <xf numFmtId="0" fontId="45" fillId="0" borderId="96" xfId="4" applyFont="1" applyBorder="1" applyAlignment="1">
      <alignment horizontal="center" vertical="center" textRotation="90" wrapText="1"/>
    </xf>
    <xf numFmtId="0" fontId="45" fillId="0" borderId="98" xfId="4" applyFont="1" applyBorder="1" applyAlignment="1">
      <alignment horizontal="center" vertical="center" textRotation="90" wrapText="1"/>
    </xf>
    <xf numFmtId="0" fontId="45" fillId="0" borderId="97" xfId="4" applyFont="1" applyBorder="1" applyAlignment="1">
      <alignment horizontal="center" vertical="center" textRotation="90" wrapText="1"/>
    </xf>
    <xf numFmtId="0" fontId="7" fillId="9" borderId="96" xfId="4" applyFont="1" applyFill="1" applyBorder="1" applyAlignment="1">
      <alignment horizontal="left" vertical="top" wrapText="1"/>
    </xf>
    <xf numFmtId="0" fontId="7" fillId="9" borderId="97" xfId="4" applyFont="1" applyFill="1" applyBorder="1" applyAlignment="1">
      <alignment horizontal="left" vertical="top" wrapText="1"/>
    </xf>
    <xf numFmtId="0" fontId="7" fillId="12" borderId="96" xfId="4" applyFont="1" applyFill="1" applyBorder="1" applyAlignment="1">
      <alignment horizontal="left" vertical="top" wrapText="1"/>
    </xf>
    <xf numFmtId="0" fontId="7" fillId="12" borderId="97" xfId="4" applyFont="1" applyFill="1" applyBorder="1" applyAlignment="1">
      <alignment horizontal="left" vertical="top" wrapText="1"/>
    </xf>
    <xf numFmtId="0" fontId="45" fillId="0" borderId="23" xfId="4" applyFont="1" applyBorder="1" applyAlignment="1">
      <alignment horizontal="center" vertical="center" textRotation="90" wrapText="1"/>
    </xf>
    <xf numFmtId="0" fontId="45" fillId="0" borderId="24" xfId="4" applyFont="1" applyBorder="1" applyAlignment="1">
      <alignment horizontal="center" vertical="center" textRotation="90" wrapText="1"/>
    </xf>
    <xf numFmtId="0" fontId="45" fillId="0" borderId="29" xfId="4" applyFont="1" applyBorder="1" applyAlignment="1">
      <alignment horizontal="center" vertical="center" textRotation="90" wrapText="1"/>
    </xf>
    <xf numFmtId="0" fontId="7" fillId="10" borderId="96" xfId="4" applyFont="1" applyFill="1" applyBorder="1" applyAlignment="1">
      <alignment horizontal="left" vertical="top" wrapText="1"/>
    </xf>
    <xf numFmtId="0" fontId="7" fillId="10" borderId="98" xfId="4" applyFont="1" applyFill="1" applyBorder="1" applyAlignment="1">
      <alignment horizontal="left" vertical="top" wrapText="1"/>
    </xf>
    <xf numFmtId="0" fontId="7" fillId="10" borderId="97" xfId="4" applyFont="1" applyFill="1" applyBorder="1" applyAlignment="1">
      <alignment horizontal="left" vertical="top" wrapText="1"/>
    </xf>
    <xf numFmtId="0" fontId="7" fillId="11" borderId="96" xfId="4" applyFont="1" applyFill="1" applyBorder="1" applyAlignment="1">
      <alignment horizontal="left" vertical="top" wrapText="1"/>
    </xf>
    <xf numFmtId="0" fontId="7" fillId="11" borderId="97" xfId="4" applyFont="1" applyFill="1" applyBorder="1" applyAlignment="1">
      <alignment horizontal="left" vertical="top" wrapText="1"/>
    </xf>
    <xf numFmtId="49" fontId="7" fillId="3" borderId="0" xfId="0" applyNumberFormat="1" applyFont="1" applyFill="1" applyAlignment="1">
      <alignment horizontal="left" vertical="center"/>
    </xf>
    <xf numFmtId="0" fontId="51" fillId="3" borderId="0" xfId="0" applyFont="1" applyFill="1" applyAlignment="1">
      <alignment horizontal="center" vertical="center"/>
    </xf>
    <xf numFmtId="0" fontId="9" fillId="3" borderId="27" xfId="0" applyFont="1" applyFill="1" applyBorder="1" applyAlignment="1">
      <alignment horizontal="left"/>
    </xf>
    <xf numFmtId="0" fontId="56" fillId="4" borderId="21" xfId="0" applyFont="1" applyFill="1" applyBorder="1" applyAlignment="1">
      <alignment horizontal="center" vertical="center"/>
    </xf>
    <xf numFmtId="0" fontId="56" fillId="4" borderId="20" xfId="0" applyFont="1" applyFill="1" applyBorder="1" applyAlignment="1">
      <alignment horizontal="center" vertical="center"/>
    </xf>
    <xf numFmtId="0" fontId="56" fillId="4" borderId="37" xfId="0" applyFont="1" applyFill="1" applyBorder="1" applyAlignment="1">
      <alignment horizontal="center" vertical="center"/>
    </xf>
    <xf numFmtId="0" fontId="51" fillId="3" borderId="0" xfId="0" applyFont="1" applyFill="1" applyAlignment="1">
      <alignment horizontal="left" vertical="top" wrapText="1"/>
    </xf>
    <xf numFmtId="0" fontId="65" fillId="6" borderId="0" xfId="2" applyNumberFormat="1" applyFont="1" applyFill="1" applyBorder="1" applyAlignment="1">
      <alignment horizontal="center" vertical="center"/>
    </xf>
    <xf numFmtId="0" fontId="9" fillId="3" borderId="0" xfId="0" applyFont="1" applyFill="1" applyAlignment="1">
      <alignment horizontal="left" vertical="center"/>
    </xf>
    <xf numFmtId="0" fontId="7" fillId="7" borderId="0" xfId="0" quotePrefix="1" applyFont="1" applyFill="1" applyAlignment="1">
      <alignment horizontal="left" vertical="top" wrapText="1"/>
    </xf>
    <xf numFmtId="0" fontId="7" fillId="7" borderId="0" xfId="0" applyFont="1" applyFill="1" applyAlignment="1">
      <alignment horizontal="left" vertical="top"/>
    </xf>
    <xf numFmtId="0" fontId="45" fillId="3" borderId="0" xfId="0" applyFont="1" applyFill="1" applyAlignment="1">
      <alignment horizontal="left" vertical="center"/>
    </xf>
    <xf numFmtId="0" fontId="67" fillId="3" borderId="0" xfId="0" applyFont="1" applyFill="1" applyAlignment="1">
      <alignment horizontal="center" vertical="center" wrapText="1"/>
    </xf>
    <xf numFmtId="0" fontId="68" fillId="3" borderId="0" xfId="0" applyFont="1" applyFill="1" applyAlignment="1">
      <alignment horizontal="left" vertical="center" wrapText="1"/>
    </xf>
    <xf numFmtId="0" fontId="68" fillId="3" borderId="24" xfId="0" applyFont="1" applyFill="1" applyBorder="1" applyAlignment="1">
      <alignment horizontal="left" vertical="center" wrapText="1"/>
    </xf>
    <xf numFmtId="0" fontId="67" fillId="3" borderId="0" xfId="0" applyFont="1" applyFill="1" applyAlignment="1">
      <alignment horizontal="left" vertical="center" wrapText="1"/>
    </xf>
    <xf numFmtId="0" fontId="67" fillId="3" borderId="24" xfId="0" applyFont="1" applyFill="1" applyBorder="1" applyAlignment="1">
      <alignment horizontal="left" vertical="center" wrapText="1"/>
    </xf>
    <xf numFmtId="0" fontId="67" fillId="3" borderId="17" xfId="0" applyFont="1" applyFill="1" applyBorder="1" applyAlignment="1">
      <alignment horizontal="left" vertical="center" wrapText="1"/>
    </xf>
    <xf numFmtId="0" fontId="67" fillId="3" borderId="29" xfId="0" applyFont="1" applyFill="1" applyBorder="1" applyAlignment="1">
      <alignment horizontal="left" vertical="center" wrapText="1"/>
    </xf>
    <xf numFmtId="0" fontId="7" fillId="3" borderId="0" xfId="0" applyFont="1" applyFill="1" applyAlignment="1">
      <alignment horizontal="left" vertical="center"/>
    </xf>
    <xf numFmtId="9" fontId="71" fillId="3" borderId="17" xfId="0" applyNumberFormat="1" applyFont="1" applyFill="1" applyBorder="1" applyAlignment="1">
      <alignment horizontal="center" vertical="center"/>
    </xf>
    <xf numFmtId="0" fontId="44" fillId="3" borderId="0" xfId="0" applyFont="1" applyFill="1" applyAlignment="1">
      <alignment horizontal="center" vertical="center"/>
    </xf>
    <xf numFmtId="0" fontId="44" fillId="4" borderId="0" xfId="0" applyFont="1" applyFill="1" applyAlignment="1">
      <alignment horizontal="left"/>
    </xf>
    <xf numFmtId="0" fontId="44" fillId="4" borderId="0" xfId="0" applyFont="1" applyFill="1" applyAlignment="1">
      <alignment horizontal="left" wrapText="1"/>
    </xf>
    <xf numFmtId="0" fontId="50" fillId="4" borderId="0" xfId="0" applyFont="1" applyFill="1" applyAlignment="1">
      <alignment horizontal="center" vertical="center"/>
    </xf>
    <xf numFmtId="0" fontId="50" fillId="4" borderId="24" xfId="0" applyFont="1" applyFill="1" applyBorder="1" applyAlignment="1">
      <alignment horizontal="center" vertical="center"/>
    </xf>
    <xf numFmtId="0" fontId="44" fillId="4" borderId="0" xfId="0" applyFont="1" applyFill="1" applyAlignment="1">
      <alignment horizontal="left" vertical="center" wrapText="1"/>
    </xf>
    <xf numFmtId="0" fontId="44" fillId="4" borderId="0" xfId="0" applyFont="1" applyFill="1" applyAlignment="1">
      <alignment horizontal="left" vertical="top" wrapText="1"/>
    </xf>
    <xf numFmtId="0" fontId="51" fillId="3" borderId="25" xfId="0" applyFont="1" applyFill="1" applyBorder="1" applyAlignment="1">
      <alignment horizontal="center" vertical="center"/>
    </xf>
    <xf numFmtId="0" fontId="51" fillId="3" borderId="15" xfId="0" applyFont="1" applyFill="1" applyBorder="1" applyAlignment="1">
      <alignment horizontal="center" vertical="center"/>
    </xf>
    <xf numFmtId="0" fontId="51" fillId="3" borderId="25" xfId="0" applyFont="1" applyFill="1" applyBorder="1" applyAlignment="1">
      <alignment horizontal="left" vertical="center"/>
    </xf>
    <xf numFmtId="0" fontId="51" fillId="3" borderId="0" xfId="0" applyFont="1" applyFill="1" applyAlignment="1">
      <alignment horizontal="left" vertical="center"/>
    </xf>
    <xf numFmtId="0" fontId="51" fillId="3" borderId="15" xfId="0" applyFont="1" applyFill="1" applyBorder="1" applyAlignment="1">
      <alignment horizontal="left"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0" xfId="0" applyFont="1" applyFill="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9" fillId="0" borderId="13" xfId="0" applyFont="1" applyBorder="1" applyAlignment="1">
      <alignment horizontal="center"/>
    </xf>
    <xf numFmtId="0" fontId="9" fillId="0" borderId="1" xfId="0" applyFont="1" applyBorder="1" applyAlignment="1">
      <alignment horizontal="center"/>
    </xf>
    <xf numFmtId="0" fontId="9" fillId="0" borderId="14" xfId="0" applyFont="1" applyBorder="1" applyAlignment="1">
      <alignment horizontal="center"/>
    </xf>
    <xf numFmtId="0" fontId="9"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4" fillId="0" borderId="0" xfId="0" applyNumberFormat="1" applyFont="1" applyAlignment="1">
      <alignment horizontal="center" vertical="center"/>
    </xf>
    <xf numFmtId="0" fontId="29" fillId="3" borderId="63" xfId="3" applyFill="1" applyBorder="1" applyAlignment="1">
      <alignment horizontal="center" vertical="center"/>
    </xf>
    <xf numFmtId="0" fontId="29" fillId="3" borderId="24" xfId="3" applyFill="1" applyBorder="1" applyAlignment="1">
      <alignment horizontal="center" vertical="center"/>
    </xf>
    <xf numFmtId="49" fontId="17" fillId="3" borderId="56" xfId="0" applyNumberFormat="1" applyFont="1" applyFill="1" applyBorder="1" applyAlignment="1">
      <alignment horizontal="right" vertical="center"/>
    </xf>
    <xf numFmtId="49" fontId="17" fillId="3" borderId="17" xfId="0" applyNumberFormat="1" applyFont="1" applyFill="1" applyBorder="1" applyAlignment="1">
      <alignment horizontal="right" vertical="center"/>
    </xf>
    <xf numFmtId="10" fontId="17" fillId="3" borderId="56" xfId="0" applyNumberFormat="1" applyFont="1" applyFill="1" applyBorder="1" applyAlignment="1">
      <alignment horizontal="center" vertical="center"/>
    </xf>
    <xf numFmtId="10" fontId="17" fillId="3" borderId="0" xfId="0" applyNumberFormat="1" applyFont="1" applyFill="1" applyAlignment="1">
      <alignment horizontal="center" vertical="center"/>
    </xf>
    <xf numFmtId="0" fontId="16" fillId="3" borderId="62" xfId="0" applyFont="1" applyFill="1" applyBorder="1" applyAlignment="1">
      <alignment horizontal="center" vertical="center"/>
    </xf>
    <xf numFmtId="0" fontId="16" fillId="3" borderId="64" xfId="0" applyFont="1" applyFill="1" applyBorder="1" applyAlignment="1">
      <alignment horizontal="center" vertical="center"/>
    </xf>
    <xf numFmtId="0" fontId="12" fillId="3" borderId="41" xfId="0" applyFont="1" applyFill="1" applyBorder="1" applyAlignment="1">
      <alignment vertical="center" wrapText="1"/>
    </xf>
    <xf numFmtId="0" fontId="12" fillId="3" borderId="61" xfId="0" applyFont="1" applyFill="1" applyBorder="1" applyAlignment="1">
      <alignment vertical="center" wrapText="1"/>
    </xf>
    <xf numFmtId="0" fontId="12" fillId="3" borderId="41" xfId="0" applyFont="1" applyFill="1" applyBorder="1" applyAlignment="1">
      <alignment horizontal="left" vertical="center" wrapText="1"/>
    </xf>
    <xf numFmtId="0" fontId="12" fillId="3" borderId="46" xfId="0" applyFont="1" applyFill="1" applyBorder="1" applyAlignment="1">
      <alignment horizontal="left" vertical="center" wrapText="1"/>
    </xf>
    <xf numFmtId="0" fontId="12" fillId="3" borderId="53" xfId="0" applyFont="1" applyFill="1" applyBorder="1" applyAlignment="1">
      <alignment horizontal="left" vertical="center" wrapText="1"/>
    </xf>
    <xf numFmtId="0" fontId="0" fillId="3" borderId="46" xfId="0" applyFill="1" applyBorder="1" applyAlignment="1">
      <alignment horizontal="left" vertical="center" wrapText="1"/>
    </xf>
    <xf numFmtId="0" fontId="0" fillId="3" borderId="41" xfId="0" applyFill="1" applyBorder="1" applyAlignment="1">
      <alignment horizontal="left" vertical="center" wrapText="1"/>
    </xf>
    <xf numFmtId="0" fontId="0" fillId="3" borderId="68" xfId="0" applyFill="1" applyBorder="1" applyAlignment="1">
      <alignment horizontal="left" vertical="center" wrapText="1"/>
    </xf>
    <xf numFmtId="0" fontId="0" fillId="3" borderId="69" xfId="0" applyFill="1" applyBorder="1" applyAlignment="1">
      <alignment horizontal="left" vertical="center" wrapText="1"/>
    </xf>
    <xf numFmtId="49" fontId="11" fillId="4" borderId="0" xfId="0" applyNumberFormat="1" applyFont="1" applyFill="1" applyAlignment="1">
      <alignment horizontal="left" vertical="center"/>
    </xf>
    <xf numFmtId="49" fontId="11" fillId="4" borderId="66" xfId="0" applyNumberFormat="1" applyFont="1" applyFill="1" applyBorder="1" applyAlignment="1">
      <alignment horizontal="left" vertical="center"/>
    </xf>
    <xf numFmtId="0" fontId="4" fillId="0" borderId="0" xfId="0" applyFont="1" applyAlignment="1">
      <alignment horizontal="center" vertical="center"/>
    </xf>
    <xf numFmtId="0" fontId="11" fillId="3" borderId="44" xfId="0" applyFont="1" applyFill="1" applyBorder="1" applyAlignment="1">
      <alignment horizontal="center" vertical="center"/>
    </xf>
    <xf numFmtId="0" fontId="12" fillId="3" borderId="43" xfId="0" applyFont="1" applyFill="1" applyBorder="1" applyAlignment="1">
      <alignment horizontal="left" vertical="center" wrapText="1"/>
    </xf>
    <xf numFmtId="0" fontId="12" fillId="3" borderId="67" xfId="0" applyFont="1" applyFill="1" applyBorder="1" applyAlignment="1">
      <alignment horizontal="left" vertical="center" wrapText="1"/>
    </xf>
    <xf numFmtId="0" fontId="16" fillId="3" borderId="42" xfId="0" applyFont="1" applyFill="1" applyBorder="1" applyAlignment="1">
      <alignment horizontal="center" vertical="center"/>
    </xf>
    <xf numFmtId="49" fontId="11" fillId="4" borderId="43" xfId="0" applyNumberFormat="1" applyFont="1" applyFill="1" applyBorder="1" applyAlignment="1">
      <alignment horizontal="left" vertical="center"/>
    </xf>
    <xf numFmtId="49" fontId="11" fillId="4" borderId="41" xfId="0" applyNumberFormat="1" applyFont="1" applyFill="1" applyBorder="1" applyAlignment="1">
      <alignment horizontal="left" vertical="center"/>
    </xf>
    <xf numFmtId="49" fontId="11" fillId="4" borderId="71" xfId="0" applyNumberFormat="1" applyFont="1" applyFill="1" applyBorder="1" applyAlignment="1">
      <alignment horizontal="left" vertical="center"/>
    </xf>
    <xf numFmtId="49" fontId="11" fillId="4" borderId="60" xfId="0" applyNumberFormat="1" applyFont="1" applyFill="1" applyBorder="1" applyAlignment="1">
      <alignment horizontal="left" vertical="center"/>
    </xf>
    <xf numFmtId="0" fontId="15" fillId="4" borderId="39" xfId="0" applyFont="1" applyFill="1" applyBorder="1" applyAlignment="1">
      <alignment horizontal="center" vertical="center"/>
    </xf>
    <xf numFmtId="0" fontId="15" fillId="4" borderId="40" xfId="0" applyFont="1" applyFill="1" applyBorder="1" applyAlignment="1">
      <alignment horizontal="center" vertical="center"/>
    </xf>
    <xf numFmtId="0" fontId="15" fillId="4" borderId="47" xfId="0" applyFont="1" applyFill="1" applyBorder="1" applyAlignment="1">
      <alignment horizontal="center" vertical="center"/>
    </xf>
    <xf numFmtId="0" fontId="15" fillId="4" borderId="45" xfId="0" applyFont="1" applyFill="1" applyBorder="1" applyAlignment="1">
      <alignment horizontal="center" vertical="center"/>
    </xf>
    <xf numFmtId="49" fontId="13" fillId="3" borderId="0" xfId="0" applyNumberFormat="1" applyFont="1" applyFill="1" applyAlignment="1">
      <alignment horizontal="center" vertical="center"/>
    </xf>
    <xf numFmtId="0" fontId="12" fillId="3" borderId="70" xfId="0" applyFont="1" applyFill="1" applyBorder="1" applyAlignment="1">
      <alignment horizontal="left" vertical="center" wrapText="1"/>
    </xf>
    <xf numFmtId="49" fontId="17" fillId="3" borderId="0" xfId="0" applyNumberFormat="1" applyFont="1" applyFill="1" applyAlignment="1">
      <alignment horizontal="center" vertical="center"/>
    </xf>
    <xf numFmtId="49" fontId="17" fillId="3" borderId="49" xfId="0" applyNumberFormat="1" applyFont="1" applyFill="1" applyBorder="1" applyAlignment="1">
      <alignment horizontal="center" vertical="center"/>
    </xf>
    <xf numFmtId="0" fontId="17" fillId="3" borderId="68" xfId="0" applyFont="1" applyFill="1" applyBorder="1" applyAlignment="1">
      <alignment horizontal="left" vertical="center" wrapText="1"/>
    </xf>
    <xf numFmtId="0" fontId="17" fillId="3" borderId="43" xfId="0" applyFont="1" applyFill="1" applyBorder="1" applyAlignment="1">
      <alignment horizontal="left" vertical="center" wrapText="1"/>
    </xf>
    <xf numFmtId="0" fontId="17" fillId="3" borderId="70" xfId="0" applyFont="1" applyFill="1" applyBorder="1" applyAlignment="1">
      <alignment horizontal="left" vertical="center" wrapText="1"/>
    </xf>
    <xf numFmtId="0" fontId="14" fillId="3" borderId="44" xfId="0" applyFont="1" applyFill="1" applyBorder="1" applyAlignment="1">
      <alignment horizontal="center" vertical="center" textRotation="90"/>
    </xf>
    <xf numFmtId="0" fontId="14" fillId="3" borderId="50" xfId="0" applyFont="1" applyFill="1" applyBorder="1" applyAlignment="1">
      <alignment horizontal="center" vertical="center" textRotation="90"/>
    </xf>
    <xf numFmtId="0" fontId="14" fillId="3" borderId="24" xfId="0" applyFont="1" applyFill="1" applyBorder="1" applyAlignment="1">
      <alignment horizontal="center" vertical="center" textRotation="90"/>
    </xf>
    <xf numFmtId="49" fontId="13" fillId="3" borderId="54"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0" fontId="11" fillId="3" borderId="55" xfId="0" applyFont="1" applyFill="1" applyBorder="1" applyAlignment="1">
      <alignment horizontal="center" vertical="center"/>
    </xf>
    <xf numFmtId="0" fontId="17" fillId="3" borderId="68" xfId="0" applyFont="1" applyFill="1" applyBorder="1" applyAlignment="1">
      <alignment horizontal="center" vertical="center"/>
    </xf>
    <xf numFmtId="0" fontId="17" fillId="3" borderId="43" xfId="0" applyFont="1" applyFill="1" applyBorder="1" applyAlignment="1">
      <alignment horizontal="center" vertical="center"/>
    </xf>
    <xf numFmtId="0" fontId="11" fillId="3" borderId="0" xfId="0" applyFont="1" applyFill="1" applyAlignment="1">
      <alignment horizontal="center" vertical="center"/>
    </xf>
    <xf numFmtId="0" fontId="12" fillId="3" borderId="68" xfId="0" applyFont="1" applyFill="1" applyBorder="1" applyAlignment="1">
      <alignment horizontal="left" vertical="center" wrapText="1"/>
    </xf>
    <xf numFmtId="0" fontId="16" fillId="3" borderId="48" xfId="0" applyFont="1" applyFill="1" applyBorder="1" applyAlignment="1">
      <alignment horizontal="center" vertical="center"/>
    </xf>
    <xf numFmtId="0" fontId="16" fillId="3" borderId="77" xfId="0" applyFont="1" applyFill="1" applyBorder="1" applyAlignment="1">
      <alignment horizontal="center" vertical="center"/>
    </xf>
    <xf numFmtId="0" fontId="16" fillId="3" borderId="78" xfId="0" applyFont="1" applyFill="1" applyBorder="1" applyAlignment="1">
      <alignment horizontal="center" vertical="center"/>
    </xf>
    <xf numFmtId="0" fontId="17" fillId="4" borderId="26" xfId="0" applyFont="1" applyFill="1" applyBorder="1" applyAlignment="1">
      <alignment horizontal="center" vertical="center"/>
    </xf>
    <xf numFmtId="0" fontId="17" fillId="4" borderId="27" xfId="0" applyFont="1" applyFill="1" applyBorder="1" applyAlignment="1">
      <alignment horizontal="center" vertical="center"/>
    </xf>
    <xf numFmtId="0" fontId="17" fillId="4" borderId="23" xfId="0" applyFont="1" applyFill="1" applyBorder="1" applyAlignment="1">
      <alignment horizontal="center" vertical="center"/>
    </xf>
    <xf numFmtId="0" fontId="17" fillId="4" borderId="72" xfId="0" applyFont="1" applyFill="1" applyBorder="1" applyAlignment="1">
      <alignment horizontal="center" vertical="center"/>
    </xf>
    <xf numFmtId="0" fontId="17" fillId="4" borderId="49" xfId="0" applyFont="1" applyFill="1" applyBorder="1" applyAlignment="1">
      <alignment horizontal="center" vertical="center"/>
    </xf>
    <xf numFmtId="0" fontId="17" fillId="4" borderId="73" xfId="0" applyFont="1" applyFill="1" applyBorder="1" applyAlignment="1">
      <alignment horizontal="center" vertical="center"/>
    </xf>
    <xf numFmtId="0" fontId="16" fillId="3" borderId="0" xfId="0" applyFont="1" applyFill="1" applyAlignment="1">
      <alignment horizontal="center" vertical="center"/>
    </xf>
    <xf numFmtId="0" fontId="12" fillId="3" borderId="0" xfId="0" applyFont="1" applyFill="1" applyAlignment="1">
      <alignment horizontal="left" vertical="center" wrapText="1"/>
    </xf>
    <xf numFmtId="49" fontId="17" fillId="3" borderId="28" xfId="0" applyNumberFormat="1" applyFont="1" applyFill="1" applyBorder="1" applyAlignment="1">
      <alignment horizontal="center" vertical="center"/>
    </xf>
    <xf numFmtId="0" fontId="14" fillId="3" borderId="55" xfId="0" applyFont="1" applyFill="1" applyBorder="1" applyAlignment="1">
      <alignment horizontal="center" vertical="center" textRotation="90"/>
    </xf>
    <xf numFmtId="0" fontId="17" fillId="3" borderId="0" xfId="0" applyFont="1" applyFill="1" applyAlignment="1">
      <alignment horizontal="left" vertical="center" wrapText="1"/>
    </xf>
    <xf numFmtId="0" fontId="17" fillId="3" borderId="0" xfId="0" applyFont="1" applyFill="1" applyAlignment="1">
      <alignment horizontal="center" vertical="center"/>
    </xf>
    <xf numFmtId="49" fontId="13" fillId="3" borderId="74" xfId="0" applyNumberFormat="1" applyFont="1" applyFill="1" applyBorder="1" applyAlignment="1">
      <alignment horizontal="center" vertical="center"/>
    </xf>
    <xf numFmtId="49" fontId="13" fillId="3" borderId="28" xfId="0" applyNumberFormat="1" applyFont="1" applyFill="1" applyBorder="1" applyAlignment="1">
      <alignment horizontal="center" vertical="center"/>
    </xf>
    <xf numFmtId="0" fontId="11" fillId="3" borderId="56" xfId="0" applyFont="1" applyFill="1" applyBorder="1" applyAlignment="1">
      <alignment horizontal="center" vertical="center"/>
    </xf>
    <xf numFmtId="0" fontId="12" fillId="3" borderId="56" xfId="0" applyFont="1" applyFill="1" applyBorder="1" applyAlignment="1">
      <alignment horizontal="left" vertical="center" wrapText="1"/>
    </xf>
    <xf numFmtId="0" fontId="12" fillId="3" borderId="49" xfId="0" applyFont="1" applyFill="1" applyBorder="1" applyAlignment="1">
      <alignment horizontal="left" vertical="center" wrapText="1"/>
    </xf>
    <xf numFmtId="0" fontId="12" fillId="3" borderId="55" xfId="0" applyFont="1" applyFill="1" applyBorder="1" applyAlignment="1">
      <alignment horizontal="left" vertical="center" wrapText="1"/>
    </xf>
    <xf numFmtId="0" fontId="12" fillId="3" borderId="44" xfId="0" applyFont="1" applyFill="1" applyBorder="1" applyAlignment="1">
      <alignment horizontal="left" vertical="center" wrapText="1"/>
    </xf>
    <xf numFmtId="49" fontId="11" fillId="4" borderId="59" xfId="0" applyNumberFormat="1" applyFont="1" applyFill="1" applyBorder="1" applyAlignment="1">
      <alignment horizontal="left" vertical="center"/>
    </xf>
    <xf numFmtId="49" fontId="13" fillId="3" borderId="72" xfId="0" applyNumberFormat="1" applyFont="1" applyFill="1" applyBorder="1" applyAlignment="1">
      <alignment horizontal="center" vertical="center"/>
    </xf>
    <xf numFmtId="0" fontId="11" fillId="3" borderId="49" xfId="0" applyFont="1" applyFill="1" applyBorder="1" applyAlignment="1">
      <alignment horizontal="center" vertical="center"/>
    </xf>
    <xf numFmtId="0" fontId="12" fillId="3" borderId="50" xfId="0" applyFont="1" applyFill="1" applyBorder="1" applyAlignment="1">
      <alignment horizontal="left" vertical="center" wrapText="1"/>
    </xf>
    <xf numFmtId="49" fontId="11" fillId="4" borderId="71" xfId="0" applyNumberFormat="1" applyFont="1" applyFill="1" applyBorder="1" applyAlignment="1">
      <alignment horizontal="left" vertical="center" wrapText="1"/>
    </xf>
    <xf numFmtId="49" fontId="11" fillId="4" borderId="59" xfId="0" applyNumberFormat="1" applyFont="1" applyFill="1" applyBorder="1" applyAlignment="1">
      <alignment horizontal="left" vertical="center" wrapText="1"/>
    </xf>
    <xf numFmtId="0" fontId="14" fillId="3" borderId="75" xfId="0" applyFont="1" applyFill="1" applyBorder="1" applyAlignment="1">
      <alignment horizontal="center" vertical="center" textRotation="90"/>
    </xf>
    <xf numFmtId="49" fontId="17" fillId="3" borderId="74" xfId="0" applyNumberFormat="1" applyFont="1" applyFill="1" applyBorder="1" applyAlignment="1">
      <alignment horizontal="center" vertical="center"/>
    </xf>
    <xf numFmtId="0" fontId="17" fillId="3" borderId="56" xfId="0" applyFont="1" applyFill="1" applyBorder="1" applyAlignment="1">
      <alignment horizontal="left" vertical="center" wrapText="1"/>
    </xf>
    <xf numFmtId="0" fontId="17" fillId="3" borderId="56" xfId="0" applyFont="1" applyFill="1" applyBorder="1" applyAlignment="1">
      <alignment horizontal="center" vertical="center"/>
    </xf>
    <xf numFmtId="0" fontId="17" fillId="3" borderId="49" xfId="0" applyFont="1" applyFill="1" applyBorder="1" applyAlignment="1">
      <alignment horizontal="center" vertical="center"/>
    </xf>
    <xf numFmtId="0" fontId="11" fillId="3" borderId="50" xfId="0" applyFont="1" applyFill="1" applyBorder="1" applyAlignment="1">
      <alignment horizontal="center" vertical="center"/>
    </xf>
    <xf numFmtId="0" fontId="16" fillId="3" borderId="44" xfId="0" applyFont="1" applyFill="1" applyBorder="1" applyAlignment="1">
      <alignment horizontal="center" vertical="center"/>
    </xf>
    <xf numFmtId="0" fontId="16" fillId="3" borderId="50" xfId="0" applyFont="1" applyFill="1" applyBorder="1" applyAlignment="1">
      <alignment horizontal="center" vertical="center"/>
    </xf>
    <xf numFmtId="49" fontId="11" fillId="4" borderId="56" xfId="0" applyNumberFormat="1" applyFont="1" applyFill="1" applyBorder="1" applyAlignment="1">
      <alignment horizontal="left" vertical="center"/>
    </xf>
    <xf numFmtId="0" fontId="0" fillId="3" borderId="56" xfId="0" applyFill="1" applyBorder="1" applyAlignment="1">
      <alignment horizontal="left" vertical="center" wrapText="1"/>
    </xf>
    <xf numFmtId="0" fontId="0" fillId="3" borderId="49" xfId="0" applyFill="1" applyBorder="1" applyAlignment="1">
      <alignment horizontal="left" vertical="center" wrapText="1"/>
    </xf>
    <xf numFmtId="0" fontId="0" fillId="3" borderId="55" xfId="0" applyFill="1" applyBorder="1" applyAlignment="1">
      <alignment horizontal="left" vertical="center" wrapText="1"/>
    </xf>
    <xf numFmtId="0" fontId="0" fillId="3" borderId="44" xfId="0" applyFill="1" applyBorder="1" applyAlignment="1">
      <alignment horizontal="left" vertical="center" wrapText="1"/>
    </xf>
    <xf numFmtId="0" fontId="0" fillId="3" borderId="0" xfId="0" applyFill="1" applyAlignment="1">
      <alignment horizontal="left" vertical="center" wrapText="1"/>
    </xf>
    <xf numFmtId="0" fontId="16" fillId="3" borderId="56" xfId="0" applyFont="1" applyFill="1" applyBorder="1" applyAlignment="1">
      <alignment horizontal="center" vertical="center"/>
    </xf>
    <xf numFmtId="0" fontId="16" fillId="3" borderId="49" xfId="0" applyFont="1" applyFill="1" applyBorder="1" applyAlignment="1">
      <alignment horizontal="center" vertical="center"/>
    </xf>
    <xf numFmtId="0" fontId="16" fillId="3" borderId="54" xfId="0" applyFont="1" applyFill="1" applyBorder="1" applyAlignment="1">
      <alignment horizontal="center" vertical="center"/>
    </xf>
    <xf numFmtId="0" fontId="16" fillId="3" borderId="57" xfId="0" applyFont="1" applyFill="1" applyBorder="1" applyAlignment="1">
      <alignment horizontal="center" vertical="center"/>
    </xf>
    <xf numFmtId="49" fontId="13" fillId="3" borderId="58" xfId="0" applyNumberFormat="1" applyFont="1" applyFill="1" applyBorder="1" applyAlignment="1">
      <alignment horizontal="center" vertical="center"/>
    </xf>
    <xf numFmtId="0" fontId="17" fillId="4" borderId="54" xfId="0" applyFont="1" applyFill="1" applyBorder="1" applyAlignment="1">
      <alignment horizontal="center" vertical="center"/>
    </xf>
    <xf numFmtId="0" fontId="17" fillId="4" borderId="56" xfId="0" applyFont="1" applyFill="1" applyBorder="1" applyAlignment="1">
      <alignment horizontal="center" vertical="center"/>
    </xf>
    <xf numFmtId="0" fontId="17" fillId="4" borderId="79" xfId="0" applyFont="1" applyFill="1" applyBorder="1" applyAlignment="1">
      <alignment horizontal="center" vertical="center"/>
    </xf>
    <xf numFmtId="0" fontId="17" fillId="4" borderId="58" xfId="0" applyFont="1" applyFill="1" applyBorder="1" applyAlignment="1">
      <alignment horizontal="center" vertical="center"/>
    </xf>
    <xf numFmtId="0" fontId="17" fillId="4" borderId="80" xfId="0" applyFont="1" applyFill="1" applyBorder="1" applyAlignment="1">
      <alignment horizontal="center" vertical="center"/>
    </xf>
    <xf numFmtId="49" fontId="39" fillId="3" borderId="0" xfId="0" applyNumberFormat="1" applyFont="1" applyFill="1" applyAlignment="1">
      <alignment horizontal="left" vertical="top" wrapText="1"/>
    </xf>
    <xf numFmtId="49" fontId="39" fillId="3" borderId="0" xfId="0" applyNumberFormat="1" applyFont="1" applyFill="1" applyAlignment="1">
      <alignment horizontal="left" vertical="top"/>
    </xf>
    <xf numFmtId="0" fontId="12" fillId="3" borderId="0" xfId="0" applyFont="1" applyFill="1" applyAlignment="1">
      <alignment vertical="center" wrapText="1"/>
    </xf>
    <xf numFmtId="0" fontId="12" fillId="3" borderId="49" xfId="0" applyFont="1" applyFill="1" applyBorder="1" applyAlignment="1">
      <alignment vertical="center" wrapText="1"/>
    </xf>
    <xf numFmtId="0" fontId="29" fillId="5" borderId="63" xfId="3" applyFill="1" applyBorder="1" applyAlignment="1">
      <alignment horizontal="center" vertical="center"/>
    </xf>
    <xf numFmtId="0" fontId="14" fillId="3" borderId="0" xfId="0" applyFont="1" applyFill="1" applyAlignment="1">
      <alignment horizontal="center" vertical="center" textRotation="90"/>
    </xf>
    <xf numFmtId="0" fontId="17" fillId="3" borderId="49" xfId="0" applyFont="1" applyFill="1" applyBorder="1" applyAlignment="1">
      <alignment horizontal="left" vertical="center" wrapText="1"/>
    </xf>
    <xf numFmtId="0" fontId="0" fillId="3" borderId="50" xfId="0" applyFill="1" applyBorder="1" applyAlignment="1">
      <alignment horizontal="left" vertical="center" wrapText="1"/>
    </xf>
    <xf numFmtId="49" fontId="12" fillId="3" borderId="44" xfId="0" applyNumberFormat="1" applyFont="1" applyFill="1" applyBorder="1" applyAlignment="1">
      <alignment horizontal="left" vertical="center" wrapText="1"/>
    </xf>
    <xf numFmtId="49" fontId="12" fillId="3" borderId="50" xfId="0" applyNumberFormat="1" applyFont="1" applyFill="1" applyBorder="1" applyAlignment="1">
      <alignment horizontal="left" vertical="center" wrapText="1"/>
    </xf>
    <xf numFmtId="0" fontId="0" fillId="3" borderId="44" xfId="0" quotePrefix="1" applyFill="1" applyBorder="1" applyAlignment="1">
      <alignment horizontal="left" vertical="center" wrapText="1"/>
    </xf>
    <xf numFmtId="49" fontId="35" fillId="3" borderId="28" xfId="0" applyNumberFormat="1" applyFont="1" applyFill="1" applyBorder="1" applyAlignment="1">
      <alignment horizontal="center" vertical="center"/>
    </xf>
    <xf numFmtId="0" fontId="40" fillId="3" borderId="0" xfId="0" applyFont="1" applyFill="1" applyAlignment="1">
      <alignment horizontal="center" vertical="center"/>
    </xf>
    <xf numFmtId="0" fontId="16" fillId="3" borderId="55" xfId="0" applyFont="1" applyFill="1" applyBorder="1" applyAlignment="1">
      <alignment horizontal="center" vertical="center"/>
    </xf>
    <xf numFmtId="0" fontId="37" fillId="3" borderId="1" xfId="0" applyFont="1" applyFill="1" applyBorder="1" applyAlignment="1">
      <alignment horizontal="left" vertical="center" wrapText="1"/>
    </xf>
    <xf numFmtId="0" fontId="18" fillId="4" borderId="13" xfId="0" applyFont="1" applyFill="1" applyBorder="1" applyAlignment="1">
      <alignment horizontal="center" vertical="center"/>
    </xf>
    <xf numFmtId="0" fontId="18" fillId="4" borderId="1" xfId="0" applyFont="1" applyFill="1" applyBorder="1" applyAlignment="1">
      <alignment horizontal="center" vertical="center"/>
    </xf>
    <xf numFmtId="0" fontId="18" fillId="4" borderId="14" xfId="0" applyFont="1" applyFill="1" applyBorder="1" applyAlignment="1">
      <alignment horizontal="center" vertical="center"/>
    </xf>
  </cellXfs>
  <cellStyles count="7">
    <cellStyle name="Standard 2" xfId="1" xr:uid="{5747C0E1-9007-438B-AA0B-1B84155130F7}"/>
    <cellStyle name="百分比" xfId="2" builtinId="5"/>
    <cellStyle name="百分比 2" xfId="6" xr:uid="{E880B10B-512D-480D-9198-A0CB41A64EEC}"/>
    <cellStyle name="常规" xfId="0" builtinId="0"/>
    <cellStyle name="常规 2" xfId="5" xr:uid="{0F13DE16-5017-47B6-8364-598177ABEA8C}"/>
    <cellStyle name="常规 3" xfId="4" xr:uid="{15FF4C0B-07E4-449C-BC07-553D3CB891B0}"/>
    <cellStyle name="超链接" xfId="3" builtinId="8"/>
  </cellStyles>
  <dxfs count="334">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
      <fill>
        <patternFill>
          <bgColor rgb="FFFFC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FFFFCC"/>
      <color rgb="FFFFD966"/>
      <color rgb="FFA9D08E"/>
      <color rgb="FFF4B084"/>
      <color rgb="FFF7F3A1"/>
      <color rgb="FFF5A3A3"/>
      <color rgb="FFFAD7C0"/>
      <color rgb="FFF9E79F"/>
      <color rgb="FFD9F0D2"/>
      <color rgb="FFA8E6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87277840293574"/>
          <c:y val="9.4020601284681149E-2"/>
          <c:w val="0.40279536746397093"/>
          <c:h val="0.78876118693598141"/>
        </c:manualLayout>
      </c:layout>
      <c:radarChart>
        <c:radarStyle val="marker"/>
        <c:varyColors val="0"/>
        <c:ser>
          <c:idx val="0"/>
          <c:order val="0"/>
          <c:tx>
            <c:strRef>
              <c:f>'Radar chart'!$D$2</c:f>
              <c:strCache>
                <c:ptCount val="1"/>
                <c:pt idx="0">
                  <c:v>Percent (real)</c:v>
                </c:pt>
              </c:strCache>
            </c:strRef>
          </c:tx>
          <c:spPr>
            <a:ln w="63500">
              <a:solidFill>
                <a:schemeClr val="bg2">
                  <a:lumMod val="50000"/>
                </a:schemeClr>
              </a:solidFill>
            </a:ln>
          </c:spPr>
          <c:marker>
            <c:spPr>
              <a:solidFill>
                <a:schemeClr val="tx1"/>
              </a:solidFill>
              <a:ln>
                <a:noFill/>
              </a:ln>
            </c:spPr>
          </c:marker>
          <c:cat>
            <c:strRef>
              <c:f>'Radar chart'!$B$3:$B$9</c:f>
              <c:strCache>
                <c:ptCount val="7"/>
                <c:pt idx="0">
                  <c:v> Process element 1: 
Project management/strategy</c:v>
                </c:pt>
                <c:pt idx="1">
                  <c:v>Process element 2: 
Planning of logistical processes</c:v>
                </c:pt>
                <c:pt idx="2">
                  <c:v>Process element 3: 
Supplier and service provider management </c:v>
                </c:pt>
                <c:pt idx="3">
                  <c:v>Process element 4: 
Procurement logistics</c:v>
                </c:pt>
                <c:pt idx="4">
                  <c:v>Process element 5: 
Transport logistics</c:v>
                </c:pt>
                <c:pt idx="5">
                  <c:v>Process element 6: 
In-house-logistics</c:v>
                </c:pt>
                <c:pt idx="6">
                  <c:v>Process element 7: 
Customer management</c:v>
                </c:pt>
              </c:strCache>
            </c:strRef>
          </c:cat>
          <c:val>
            <c:numRef>
              <c:f>'Radar chart'!$D$3:$D$9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FC5-48C7-B378-7D4C099B7F26}"/>
            </c:ext>
          </c:extLst>
        </c:ser>
        <c:ser>
          <c:idx val="1"/>
          <c:order val="1"/>
          <c:tx>
            <c:strRef>
              <c:f>'Radar chart'!$F$3:$F$9</c:f>
              <c:strCache>
                <c:ptCount val="7"/>
                <c:pt idx="0">
                  <c:v>80%</c:v>
                </c:pt>
                <c:pt idx="1">
                  <c:v>80%</c:v>
                </c:pt>
                <c:pt idx="2">
                  <c:v>80%</c:v>
                </c:pt>
                <c:pt idx="3">
                  <c:v>80%</c:v>
                </c:pt>
                <c:pt idx="4">
                  <c:v>80%</c:v>
                </c:pt>
                <c:pt idx="5">
                  <c:v>80%</c:v>
                </c:pt>
                <c:pt idx="6">
                  <c:v>80%</c:v>
                </c:pt>
              </c:strCache>
            </c:strRef>
          </c:tx>
          <c:spPr>
            <a:ln w="63500" cap="rnd">
              <a:solidFill>
                <a:srgbClr val="FF2F61">
                  <a:alpha val="44706"/>
                </a:srgbClr>
              </a:solidFill>
              <a:round/>
            </a:ln>
            <a:effectLst/>
          </c:spPr>
          <c:marker>
            <c:symbol val="none"/>
          </c:marker>
          <c:val>
            <c:numRef>
              <c:f>'Radar chart'!$F$3:$F$9</c:f>
              <c:numCache>
                <c:formatCode>0%</c:formatCode>
                <c:ptCount val="7"/>
                <c:pt idx="0">
                  <c:v>0.8</c:v>
                </c:pt>
                <c:pt idx="1">
                  <c:v>0.8</c:v>
                </c:pt>
                <c:pt idx="2">
                  <c:v>0.8</c:v>
                </c:pt>
                <c:pt idx="3">
                  <c:v>0.8</c:v>
                </c:pt>
                <c:pt idx="4">
                  <c:v>0.8</c:v>
                </c:pt>
                <c:pt idx="5">
                  <c:v>0.8</c:v>
                </c:pt>
                <c:pt idx="6">
                  <c:v>0.8</c:v>
                </c:pt>
              </c:numCache>
            </c:numRef>
          </c:val>
          <c:extLst xmlns:c15="http://schemas.microsoft.com/office/drawing/2012/chart">
            <c:ext xmlns:c16="http://schemas.microsoft.com/office/drawing/2014/chart" uri="{C3380CC4-5D6E-409C-BE32-E72D297353CC}">
              <c16:uniqueId val="{00000001-6FC5-48C7-B378-7D4C099B7F26}"/>
            </c:ext>
          </c:extLst>
        </c:ser>
        <c:ser>
          <c:idx val="2"/>
          <c:order val="2"/>
          <c:spPr>
            <a:ln w="38100">
              <a:solidFill>
                <a:srgbClr val="D31717">
                  <a:alpha val="72941"/>
                </a:srgbClr>
              </a:solidFill>
            </a:ln>
          </c:spPr>
          <c:marker>
            <c:symbol val="none"/>
          </c:marker>
          <c:val>
            <c:numRef>
              <c:f>'Radar chart'!$E$3:$E$9</c:f>
              <c:numCache>
                <c:formatCode>0%</c:formatCode>
                <c:ptCount val="7"/>
                <c:pt idx="0">
                  <c:v>0.7</c:v>
                </c:pt>
                <c:pt idx="1">
                  <c:v>0.7</c:v>
                </c:pt>
                <c:pt idx="2">
                  <c:v>0.7</c:v>
                </c:pt>
                <c:pt idx="3">
                  <c:v>0.7</c:v>
                </c:pt>
                <c:pt idx="4">
                  <c:v>0.7</c:v>
                </c:pt>
                <c:pt idx="5">
                  <c:v>0.7</c:v>
                </c:pt>
                <c:pt idx="6">
                  <c:v>0.7</c:v>
                </c:pt>
              </c:numCache>
            </c:numRef>
          </c:val>
          <c:extLst>
            <c:ext xmlns:c16="http://schemas.microsoft.com/office/drawing/2014/chart" uri="{C3380CC4-5D6E-409C-BE32-E72D297353CC}">
              <c16:uniqueId val="{00000002-6FC5-48C7-B378-7D4C099B7F26}"/>
            </c:ext>
          </c:extLst>
        </c:ser>
        <c:dLbls>
          <c:showLegendKey val="0"/>
          <c:showVal val="0"/>
          <c:showCatName val="0"/>
          <c:showSerName val="0"/>
          <c:showPercent val="0"/>
          <c:showBubbleSize val="0"/>
        </c:dLbls>
        <c:axId val="736339216"/>
        <c:axId val="736335280"/>
        <c:extLst/>
      </c:radarChart>
      <c:catAx>
        <c:axId val="73633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Audi Type" panose="020B0503040202060203" pitchFamily="34" charset="0"/>
                <a:ea typeface="+mn-ea"/>
                <a:cs typeface="Audi Type" panose="020B0503040202060203" pitchFamily="34" charset="0"/>
              </a:defRPr>
            </a:pPr>
            <a:endParaRPr lang="zh-CN"/>
          </a:p>
        </c:txPr>
        <c:crossAx val="736335280"/>
        <c:crosses val="autoZero"/>
        <c:auto val="1"/>
        <c:lblAlgn val="ctr"/>
        <c:lblOffset val="100"/>
        <c:noMultiLvlLbl val="0"/>
      </c:catAx>
      <c:valAx>
        <c:axId val="736335280"/>
        <c:scaling>
          <c:orientation val="minMax"/>
          <c:max val="1"/>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736339216"/>
        <c:crosses val="autoZero"/>
        <c:crossBetween val="between"/>
        <c:majorUnit val="0.2"/>
      </c:valAx>
    </c:plotArea>
    <c:plotVisOnly val="1"/>
    <c:dispBlanksAs val="gap"/>
    <c:showDLblsOverMax val="0"/>
  </c:chart>
  <c:spPr>
    <a:solidFill>
      <a:schemeClr val="bg1"/>
    </a:solidFill>
    <a:ln w="25400" cap="flat" cmpd="sng" algn="ctr">
      <a:solidFill>
        <a:schemeClr val="tx1"/>
      </a:solidFill>
      <a:round/>
    </a:ln>
    <a:effectLst/>
  </c:spPr>
  <c:txPr>
    <a:bodyPr/>
    <a:lstStyle/>
    <a:p>
      <a:pPr>
        <a:defRPr>
          <a:latin typeface="Audi Type" panose="020B0503040202060203" pitchFamily="34" charset="0"/>
          <a:cs typeface="Audi Type" panose="020B0503040202060203" pitchFamily="34" charset="0"/>
        </a:defRPr>
      </a:pPr>
      <a:endParaRPr lang="zh-CN"/>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3</xdr:row>
          <xdr:rowOff>215900</xdr:rowOff>
        </xdr:from>
        <xdr:to>
          <xdr:col>8</xdr:col>
          <xdr:colOff>660400</xdr:colOff>
          <xdr:row>7</xdr:row>
          <xdr:rowOff>114300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Save result as pdf and LOP as excel</a:t>
              </a:r>
            </a:p>
            <a:p>
              <a:pPr algn="ctr" rtl="0">
                <a:defRPr sz="1000"/>
              </a:pPr>
              <a:r>
                <a:rPr lang="zh-CN" altLang="en-US" sz="1200" b="0" i="0" u="none" strike="noStrike" baseline="0">
                  <a:solidFill>
                    <a:srgbClr val="000000"/>
                  </a:solidFill>
                  <a:latin typeface="Porsche Next TT" charset="0"/>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129652</xdr:colOff>
      <xdr:row>0</xdr:row>
      <xdr:rowOff>119248</xdr:rowOff>
    </xdr:from>
    <xdr:to>
      <xdr:col>11</xdr:col>
      <xdr:colOff>90715</xdr:colOff>
      <xdr:row>17</xdr:row>
      <xdr:rowOff>192647</xdr:rowOff>
    </xdr:to>
    <xdr:graphicFrame macro="">
      <xdr:nvGraphicFramePr>
        <xdr:cNvPr id="2" name="图表 1">
          <a:extLst>
            <a:ext uri="{FF2B5EF4-FFF2-40B4-BE49-F238E27FC236}">
              <a16:creationId xmlns:a16="http://schemas.microsoft.com/office/drawing/2014/main" id="{D77B2A70-753D-42CB-A6D4-8E950A8AC1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190500</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Create LOP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VDA%206.8%20template/2025-10-30_XXXX_Supply%20Chain%20Audit_VDA%206.8_.xlsm" TargetMode="External"/><Relationship Id="rId1" Type="http://schemas.openxmlformats.org/officeDocument/2006/relationships/externalLinkPath" Target="file:///C:/1.%20&#24037;&#20316;&#36816;&#34892;%20Working%20running/Template/Audit%20templates/Logistics%20Audit/VDA%206.8%20template/2025-10-30_XXXX_Supply%20Chain%20Audit_VDA%206.8_.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1.%20&#24037;&#20316;&#36816;&#34892;%20Working%20running/1.%20Work%20running/1.%20Business%20trip/BT%20schedule%202025/CW38/Supply%20Chain%20Audit_VDA%206.8_Bruss%20(Taicang)_20250917.xlsm" TargetMode="External"/><Relationship Id="rId1" Type="http://schemas.openxmlformats.org/officeDocument/2006/relationships/externalLinkPath" Target="file:///C:/1.%20&#24037;&#20316;&#36816;&#34892;%20Working%20running/1.%20Work%20running/1.%20Business%20trip/BT%20schedule%202025/CW38/Supply%20Chain%20Audit_VDA%206.8_Bruss%20(Taicang)_20250917.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Previous%20Audit%20template/Logistics%20audit%20(Standard)_EN_2025-06-03.xlsm" TargetMode="External"/><Relationship Id="rId1" Type="http://schemas.openxmlformats.org/officeDocument/2006/relationships/externalLinkPath" Target="file:///C:/1.%20&#24037;&#20316;&#36816;&#34892;%20Working%20running/Template/Audit%20templates/Logistics%20Audit/Previous%20Audit%20template/Logistics%20audit%20(Standard)_EN_2025-06-0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24037;&#20316;&#36816;&#34892;%20Working%20running/Template/Audit%20templates/On-site%20Audit/Audit_Vorlage_ENG_2019-06-19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Link list"/>
      <sheetName val="Datasheet"/>
      <sheetName val="Evaluationsheet"/>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manually"/>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Datasheet"/>
      <sheetName val="Evaluationsheet"/>
      <sheetName val="LOPs"/>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heet"/>
      <sheetName val="Radar chart"/>
      <sheetName val="Evaluationsheet"/>
      <sheetName val="Datenquelle"/>
      <sheetName val="Remarks"/>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LOP"/>
      <sheetName val="Text"/>
    </sheetNames>
    <sheetDataSet>
      <sheetData sheetId="0">
        <row r="11">
          <cell r="L11">
            <v>2</v>
          </cell>
        </row>
      </sheetData>
      <sheetData sheetId="1" refreshError="1"/>
      <sheetData sheetId="2">
        <row r="17">
          <cell r="C17">
            <v>0</v>
          </cell>
        </row>
      </sheetData>
      <sheetData sheetId="3">
        <row r="5">
          <cell r="G5">
            <v>0</v>
          </cell>
          <cell r="L5">
            <v>0</v>
          </cell>
          <cell r="Q5">
            <v>0</v>
          </cell>
          <cell r="V5">
            <v>0</v>
          </cell>
          <cell r="AA5">
            <v>0</v>
          </cell>
          <cell r="AF5">
            <v>0</v>
          </cell>
          <cell r="AK5">
            <v>0</v>
          </cell>
          <cell r="AP5">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Evaluationsheet"/>
      <sheetName val="Datenquelle"/>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Remarks"/>
      <sheetName val="LOP"/>
      <sheetName val="Text"/>
    </sheetNames>
    <sheetDataSet>
      <sheetData sheetId="0"/>
      <sheetData sheetId="1"/>
      <sheetData sheetId="2">
        <row r="5">
          <cell r="G5">
            <v>0</v>
          </cell>
          <cell r="L5">
            <v>0</v>
          </cell>
          <cell r="Q5">
            <v>0</v>
          </cell>
          <cell r="V5">
            <v>0</v>
          </cell>
          <cell r="AA5">
            <v>0</v>
          </cell>
          <cell r="AF5">
            <v>0</v>
          </cell>
          <cell r="AK5">
            <v>0</v>
          </cell>
          <cell r="AP5">
            <v>0</v>
          </cell>
        </row>
      </sheetData>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DDD63-0E44-4D15-A18B-0E58B4F176F4}">
  <sheetPr codeName="Sheet2">
    <pageSetUpPr fitToPage="1"/>
  </sheetPr>
  <dimension ref="A1:F68"/>
  <sheetViews>
    <sheetView zoomScale="70" zoomScaleNormal="70" zoomScaleSheetLayoutView="40" workbookViewId="0">
      <pane xSplit="1" ySplit="1" topLeftCell="B51" activePane="bottomRight" state="frozen"/>
      <selection pane="topRight" activeCell="B1" sqref="B1"/>
      <selection pane="bottomLeft" activeCell="A2" sqref="A2"/>
      <selection pane="bottomRight" activeCell="L59" sqref="L59"/>
    </sheetView>
  </sheetViews>
  <sheetFormatPr baseColWidth="10" defaultColWidth="9.1640625" defaultRowHeight="13"/>
  <cols>
    <col min="1" max="1" width="9.1640625" style="269"/>
    <col min="2" max="2" width="5.5" style="269" customWidth="1"/>
    <col min="3" max="3" width="57.33203125" style="269" bestFit="1" customWidth="1"/>
    <col min="4" max="4" width="20" style="286" bestFit="1" customWidth="1"/>
    <col min="5" max="5" width="59.33203125" style="269" customWidth="1"/>
    <col min="6" max="6" width="7.5" style="202" customWidth="1"/>
    <col min="7" max="16384" width="9.1640625" style="269"/>
  </cols>
  <sheetData>
    <row r="1" spans="1:6" s="267" customFormat="1" ht="28">
      <c r="A1" s="266"/>
      <c r="B1" s="266" t="s">
        <v>1118</v>
      </c>
      <c r="C1" s="266" t="s">
        <v>973</v>
      </c>
      <c r="D1" s="278" t="s">
        <v>974</v>
      </c>
      <c r="E1" s="266" t="s">
        <v>975</v>
      </c>
      <c r="F1" s="201" t="s">
        <v>976</v>
      </c>
    </row>
    <row r="2" spans="1:6" ht="82.5" customHeight="1">
      <c r="A2" s="452" t="s">
        <v>977</v>
      </c>
      <c r="B2" s="422">
        <v>1</v>
      </c>
      <c r="C2" s="287" t="s">
        <v>978</v>
      </c>
      <c r="D2" s="279" t="s">
        <v>1024</v>
      </c>
      <c r="E2" s="268" t="s">
        <v>1117</v>
      </c>
      <c r="F2" s="201"/>
    </row>
    <row r="3" spans="1:6" ht="38.5" customHeight="1">
      <c r="A3" s="453"/>
      <c r="B3" s="422">
        <v>2</v>
      </c>
      <c r="C3" s="455" t="s">
        <v>1145</v>
      </c>
      <c r="D3" s="279" t="s">
        <v>1039</v>
      </c>
      <c r="E3" s="287" t="s">
        <v>1086</v>
      </c>
      <c r="F3" s="201"/>
    </row>
    <row r="4" spans="1:6" ht="59" customHeight="1">
      <c r="A4" s="453"/>
      <c r="B4" s="422">
        <v>4</v>
      </c>
      <c r="C4" s="456"/>
      <c r="D4" s="279" t="s">
        <v>1056</v>
      </c>
      <c r="E4" s="287" t="s">
        <v>981</v>
      </c>
      <c r="F4" s="201"/>
    </row>
    <row r="5" spans="1:6" ht="39" customHeight="1">
      <c r="A5" s="453"/>
      <c r="B5" s="422">
        <v>3</v>
      </c>
      <c r="C5" s="427" t="s">
        <v>982</v>
      </c>
      <c r="D5" s="279" t="s">
        <v>1040</v>
      </c>
      <c r="E5" s="268" t="s">
        <v>1067</v>
      </c>
      <c r="F5" s="201"/>
    </row>
    <row r="6" spans="1:6" ht="67" customHeight="1">
      <c r="A6" s="454"/>
      <c r="B6" s="422">
        <v>5</v>
      </c>
      <c r="C6" s="287" t="s">
        <v>1146</v>
      </c>
      <c r="D6" s="279" t="s">
        <v>1063</v>
      </c>
      <c r="E6" s="268" t="s">
        <v>1088</v>
      </c>
      <c r="F6" s="201"/>
    </row>
    <row r="7" spans="1:6" ht="44.5" customHeight="1">
      <c r="A7" s="459" t="s">
        <v>983</v>
      </c>
      <c r="B7" s="422">
        <v>1</v>
      </c>
      <c r="C7" s="437" t="s">
        <v>1142</v>
      </c>
      <c r="D7" s="280" t="s">
        <v>1054</v>
      </c>
      <c r="E7" s="270" t="s">
        <v>1141</v>
      </c>
      <c r="F7" s="201"/>
    </row>
    <row r="8" spans="1:6" ht="38" customHeight="1">
      <c r="A8" s="460"/>
      <c r="B8" s="422">
        <v>2</v>
      </c>
      <c r="C8" s="438"/>
      <c r="D8" s="280" t="s">
        <v>1023</v>
      </c>
      <c r="E8" s="270" t="s">
        <v>1143</v>
      </c>
      <c r="F8" s="201"/>
    </row>
    <row r="9" spans="1:6" ht="26" customHeight="1">
      <c r="A9" s="460"/>
      <c r="B9" s="422">
        <v>3</v>
      </c>
      <c r="C9" s="271" t="s">
        <v>984</v>
      </c>
      <c r="D9" s="280" t="s">
        <v>985</v>
      </c>
      <c r="E9" s="270" t="s">
        <v>1144</v>
      </c>
      <c r="F9" s="201"/>
    </row>
    <row r="10" spans="1:6" ht="30.5" customHeight="1">
      <c r="A10" s="460"/>
      <c r="B10" s="422">
        <v>4</v>
      </c>
      <c r="C10" s="462" t="s">
        <v>986</v>
      </c>
      <c r="D10" s="421" t="s">
        <v>1033</v>
      </c>
      <c r="E10" s="270" t="s">
        <v>987</v>
      </c>
      <c r="F10" s="201"/>
    </row>
    <row r="11" spans="1:6" ht="67" customHeight="1">
      <c r="A11" s="460"/>
      <c r="B11" s="422">
        <v>5</v>
      </c>
      <c r="C11" s="463"/>
      <c r="D11" s="421" t="s">
        <v>1034</v>
      </c>
      <c r="E11" s="270" t="s">
        <v>990</v>
      </c>
      <c r="F11" s="201"/>
    </row>
    <row r="12" spans="1:6" ht="62.5" customHeight="1">
      <c r="A12" s="460"/>
      <c r="B12" s="422">
        <v>6</v>
      </c>
      <c r="C12" s="464"/>
      <c r="D12" s="421" t="s">
        <v>1035</v>
      </c>
      <c r="E12" s="270" t="s">
        <v>1002</v>
      </c>
      <c r="F12" s="201"/>
    </row>
    <row r="13" spans="1:6" ht="50" customHeight="1">
      <c r="A13" s="460"/>
      <c r="B13" s="422">
        <v>7</v>
      </c>
      <c r="C13" s="271" t="s">
        <v>995</v>
      </c>
      <c r="D13" s="421" t="s">
        <v>1036</v>
      </c>
      <c r="E13" s="270" t="s">
        <v>1106</v>
      </c>
      <c r="F13" s="201"/>
    </row>
    <row r="14" spans="1:6" ht="87.5" customHeight="1">
      <c r="A14" s="460"/>
      <c r="B14" s="422">
        <v>8</v>
      </c>
      <c r="C14" s="271" t="s">
        <v>1119</v>
      </c>
      <c r="D14" s="280" t="s">
        <v>1037</v>
      </c>
      <c r="E14" s="270" t="s">
        <v>1007</v>
      </c>
      <c r="F14" s="201"/>
    </row>
    <row r="15" spans="1:6" ht="53.5" customHeight="1">
      <c r="A15" s="460"/>
      <c r="B15" s="422">
        <v>9</v>
      </c>
      <c r="C15" s="271" t="s">
        <v>1140</v>
      </c>
      <c r="D15" s="280" t="s">
        <v>1038</v>
      </c>
      <c r="E15" s="270" t="s">
        <v>988</v>
      </c>
      <c r="F15" s="201"/>
    </row>
    <row r="16" spans="1:6" ht="52.5" customHeight="1">
      <c r="A16" s="461"/>
      <c r="B16" s="422">
        <v>10</v>
      </c>
      <c r="C16" s="271" t="s">
        <v>1139</v>
      </c>
      <c r="D16" s="280" t="s">
        <v>1060</v>
      </c>
      <c r="E16" s="270" t="s">
        <v>989</v>
      </c>
      <c r="F16" s="201"/>
    </row>
    <row r="17" spans="1:6" ht="33" customHeight="1">
      <c r="A17" s="459" t="s">
        <v>991</v>
      </c>
      <c r="B17" s="422">
        <v>1</v>
      </c>
      <c r="C17" s="465" t="s">
        <v>1157</v>
      </c>
      <c r="D17" s="281" t="s">
        <v>1044</v>
      </c>
      <c r="E17" s="272" t="s">
        <v>1158</v>
      </c>
      <c r="F17" s="201"/>
    </row>
    <row r="18" spans="1:6" ht="95.5" customHeight="1">
      <c r="A18" s="460"/>
      <c r="B18" s="423">
        <v>2</v>
      </c>
      <c r="C18" s="466"/>
      <c r="D18" s="281" t="s">
        <v>1055</v>
      </c>
      <c r="E18" s="444" t="s">
        <v>1152</v>
      </c>
      <c r="F18" s="201"/>
    </row>
    <row r="19" spans="1:6" ht="28.5" customHeight="1">
      <c r="A19" s="460"/>
      <c r="B19" s="422">
        <v>3</v>
      </c>
      <c r="C19" s="273" t="s">
        <v>1000</v>
      </c>
      <c r="D19" s="281" t="s">
        <v>1057</v>
      </c>
      <c r="E19" s="272" t="s">
        <v>1124</v>
      </c>
      <c r="F19" s="201"/>
    </row>
    <row r="20" spans="1:6" ht="27" customHeight="1">
      <c r="A20" s="460"/>
      <c r="B20" s="423">
        <v>4</v>
      </c>
      <c r="C20" s="429" t="s">
        <v>1137</v>
      </c>
      <c r="D20" s="281" t="s">
        <v>1058</v>
      </c>
      <c r="E20" s="272" t="s">
        <v>1109</v>
      </c>
      <c r="F20" s="201"/>
    </row>
    <row r="21" spans="1:6" ht="27" customHeight="1">
      <c r="A21" s="460"/>
      <c r="B21" s="422">
        <v>5</v>
      </c>
      <c r="C21" s="430"/>
      <c r="D21" s="281" t="s">
        <v>1059</v>
      </c>
      <c r="E21" s="272" t="s">
        <v>1125</v>
      </c>
      <c r="F21" s="201"/>
    </row>
    <row r="22" spans="1:6" ht="24.5" customHeight="1">
      <c r="A22" s="460"/>
      <c r="B22" s="423">
        <v>6</v>
      </c>
      <c r="C22" s="273" t="s">
        <v>1159</v>
      </c>
      <c r="D22" s="281" t="s">
        <v>1060</v>
      </c>
      <c r="E22" s="272" t="s">
        <v>1128</v>
      </c>
      <c r="F22" s="201"/>
    </row>
    <row r="23" spans="1:6" ht="33" customHeight="1">
      <c r="A23" s="460"/>
      <c r="B23" s="422">
        <v>7</v>
      </c>
      <c r="C23" s="429" t="s">
        <v>1136</v>
      </c>
      <c r="D23" s="281" t="s">
        <v>1065</v>
      </c>
      <c r="E23" s="272" t="s">
        <v>1081</v>
      </c>
      <c r="F23" s="201"/>
    </row>
    <row r="24" spans="1:6" ht="33" customHeight="1">
      <c r="A24" s="460"/>
      <c r="B24" s="423">
        <v>8</v>
      </c>
      <c r="C24" s="434"/>
      <c r="D24" s="281" t="s">
        <v>1042</v>
      </c>
      <c r="E24" s="272" t="s">
        <v>992</v>
      </c>
      <c r="F24" s="201"/>
    </row>
    <row r="25" spans="1:6" ht="33" customHeight="1">
      <c r="A25" s="460"/>
      <c r="B25" s="422">
        <v>9</v>
      </c>
      <c r="C25" s="430"/>
      <c r="D25" s="281" t="s">
        <v>1043</v>
      </c>
      <c r="E25" s="272" t="s">
        <v>993</v>
      </c>
      <c r="F25" s="201"/>
    </row>
    <row r="26" spans="1:6" s="431" customFormat="1" ht="44.5" customHeight="1">
      <c r="A26" s="460"/>
      <c r="B26" s="423">
        <v>10</v>
      </c>
      <c r="C26" s="429" t="s">
        <v>1120</v>
      </c>
      <c r="D26" s="281" t="s">
        <v>1045</v>
      </c>
      <c r="E26" s="433" t="s">
        <v>1121</v>
      </c>
      <c r="F26" s="432"/>
    </row>
    <row r="27" spans="1:6" ht="27" customHeight="1">
      <c r="A27" s="460"/>
      <c r="B27" s="422">
        <v>11</v>
      </c>
      <c r="C27" s="430"/>
      <c r="D27" s="281" t="s">
        <v>1046</v>
      </c>
      <c r="E27" s="272" t="s">
        <v>1108</v>
      </c>
      <c r="F27" s="201"/>
    </row>
    <row r="28" spans="1:6" ht="23.5" customHeight="1">
      <c r="A28" s="460"/>
      <c r="B28" s="423">
        <v>12</v>
      </c>
      <c r="C28" s="273" t="s">
        <v>994</v>
      </c>
      <c r="D28" s="281" t="s">
        <v>1047</v>
      </c>
      <c r="E28" s="272" t="s">
        <v>1110</v>
      </c>
      <c r="F28" s="201"/>
    </row>
    <row r="29" spans="1:6" ht="36" customHeight="1">
      <c r="A29" s="460"/>
      <c r="B29" s="422">
        <v>13</v>
      </c>
      <c r="C29" s="429" t="s">
        <v>1134</v>
      </c>
      <c r="D29" s="281" t="s">
        <v>1036</v>
      </c>
      <c r="E29" s="272" t="s">
        <v>1106</v>
      </c>
      <c r="F29" s="201"/>
    </row>
    <row r="30" spans="1:6" ht="37" customHeight="1">
      <c r="A30" s="460"/>
      <c r="B30" s="423">
        <v>14</v>
      </c>
      <c r="C30" s="434"/>
      <c r="D30" s="420" t="s">
        <v>1050</v>
      </c>
      <c r="E30" s="272" t="s">
        <v>1112</v>
      </c>
      <c r="F30" s="201"/>
    </row>
    <row r="31" spans="1:6" ht="37" customHeight="1">
      <c r="A31" s="460"/>
      <c r="B31" s="422">
        <v>15</v>
      </c>
      <c r="C31" s="430"/>
      <c r="D31" s="420" t="s">
        <v>1050</v>
      </c>
      <c r="E31" s="272" t="s">
        <v>1113</v>
      </c>
      <c r="F31" s="201"/>
    </row>
    <row r="32" spans="1:6" ht="33" customHeight="1">
      <c r="A32" s="460"/>
      <c r="B32" s="423">
        <v>16</v>
      </c>
      <c r="C32" s="273"/>
      <c r="D32" s="281" t="s">
        <v>1052</v>
      </c>
      <c r="E32" s="272" t="s">
        <v>1107</v>
      </c>
      <c r="F32" s="201"/>
    </row>
    <row r="33" spans="1:6" ht="39" customHeight="1">
      <c r="A33" s="460"/>
      <c r="B33" s="422">
        <v>17</v>
      </c>
      <c r="C33" s="429" t="s">
        <v>996</v>
      </c>
      <c r="D33" s="281" t="s">
        <v>1049</v>
      </c>
      <c r="E33" s="272" t="s">
        <v>1127</v>
      </c>
      <c r="F33" s="201"/>
    </row>
    <row r="34" spans="1:6" ht="38.5" customHeight="1">
      <c r="A34" s="460"/>
      <c r="B34" s="423">
        <v>18</v>
      </c>
      <c r="C34" s="434"/>
      <c r="D34" s="420" t="s">
        <v>1050</v>
      </c>
      <c r="E34" s="272" t="s">
        <v>1082</v>
      </c>
      <c r="F34" s="201"/>
    </row>
    <row r="35" spans="1:6" ht="29" customHeight="1">
      <c r="A35" s="460"/>
      <c r="B35" s="422">
        <v>19</v>
      </c>
      <c r="C35" s="430"/>
      <c r="D35" s="281" t="s">
        <v>1023</v>
      </c>
      <c r="E35" s="272" t="s">
        <v>1111</v>
      </c>
      <c r="F35" s="201"/>
    </row>
    <row r="36" spans="1:6" ht="36" customHeight="1">
      <c r="A36" s="460"/>
      <c r="B36" s="423">
        <v>20</v>
      </c>
      <c r="C36" s="429" t="s">
        <v>997</v>
      </c>
      <c r="D36" s="281" t="s">
        <v>1023</v>
      </c>
      <c r="E36" s="272" t="s">
        <v>1122</v>
      </c>
      <c r="F36" s="201"/>
    </row>
    <row r="37" spans="1:6" ht="38.5" customHeight="1">
      <c r="A37" s="460"/>
      <c r="B37" s="422">
        <v>21</v>
      </c>
      <c r="C37" s="430"/>
      <c r="D37" s="281" t="s">
        <v>1054</v>
      </c>
      <c r="E37" s="272" t="s">
        <v>1123</v>
      </c>
      <c r="F37" s="201"/>
    </row>
    <row r="38" spans="1:6" ht="29" customHeight="1">
      <c r="A38" s="460"/>
      <c r="B38" s="423">
        <v>22</v>
      </c>
      <c r="C38" s="273" t="s">
        <v>998</v>
      </c>
      <c r="D38" s="281" t="s">
        <v>1048</v>
      </c>
      <c r="E38" s="272" t="s">
        <v>1115</v>
      </c>
      <c r="F38" s="201"/>
    </row>
    <row r="39" spans="1:6" ht="36.5" customHeight="1">
      <c r="A39" s="460"/>
      <c r="B39" s="422">
        <v>23</v>
      </c>
      <c r="C39" s="273" t="s">
        <v>1079</v>
      </c>
      <c r="D39" s="281" t="s">
        <v>1053</v>
      </c>
      <c r="E39" s="272" t="s">
        <v>1114</v>
      </c>
      <c r="F39" s="201"/>
    </row>
    <row r="40" spans="1:6" ht="51.5" customHeight="1">
      <c r="A40" s="460"/>
      <c r="B40" s="423">
        <v>24</v>
      </c>
      <c r="C40" s="429" t="s">
        <v>1001</v>
      </c>
      <c r="D40" s="281" t="s">
        <v>1023</v>
      </c>
      <c r="E40" s="272" t="s">
        <v>1069</v>
      </c>
      <c r="F40" s="201"/>
    </row>
    <row r="41" spans="1:6" ht="76.5" customHeight="1">
      <c r="A41" s="460"/>
      <c r="B41" s="422">
        <v>25</v>
      </c>
      <c r="C41" s="434"/>
      <c r="D41" s="281" t="s">
        <v>1035</v>
      </c>
      <c r="E41" s="272" t="s">
        <v>1002</v>
      </c>
      <c r="F41" s="201"/>
    </row>
    <row r="42" spans="1:6" ht="100" customHeight="1">
      <c r="A42" s="460"/>
      <c r="B42" s="423">
        <v>26</v>
      </c>
      <c r="C42" s="430"/>
      <c r="D42" s="281" t="s">
        <v>1051</v>
      </c>
      <c r="E42" s="272" t="s">
        <v>1116</v>
      </c>
      <c r="F42" s="201"/>
    </row>
    <row r="43" spans="1:6" ht="39" customHeight="1">
      <c r="A43" s="460"/>
      <c r="B43" s="422">
        <v>27</v>
      </c>
      <c r="C43" s="429" t="s">
        <v>1138</v>
      </c>
      <c r="D43" s="281" t="s">
        <v>1065</v>
      </c>
      <c r="E43" s="272" t="s">
        <v>1126</v>
      </c>
      <c r="F43" s="201"/>
    </row>
    <row r="44" spans="1:6" ht="51.5" customHeight="1">
      <c r="A44" s="460"/>
      <c r="B44" s="423">
        <v>28</v>
      </c>
      <c r="C44" s="434"/>
      <c r="D44" s="281" t="s">
        <v>1042</v>
      </c>
      <c r="E44" s="272" t="s">
        <v>1135</v>
      </c>
      <c r="F44" s="201"/>
    </row>
    <row r="45" spans="1:6" ht="52" customHeight="1">
      <c r="A45" s="461"/>
      <c r="B45" s="422">
        <v>29</v>
      </c>
      <c r="C45" s="430"/>
      <c r="D45" s="281" t="s">
        <v>1043</v>
      </c>
      <c r="E45" s="272" t="s">
        <v>999</v>
      </c>
      <c r="F45" s="201"/>
    </row>
    <row r="46" spans="1:6" ht="36.5" customHeight="1">
      <c r="A46" s="459" t="s">
        <v>1003</v>
      </c>
      <c r="B46" s="422">
        <v>1</v>
      </c>
      <c r="C46" s="424" t="s">
        <v>1131</v>
      </c>
      <c r="D46" s="282" t="s">
        <v>1062</v>
      </c>
      <c r="E46" s="274" t="s">
        <v>1132</v>
      </c>
      <c r="F46" s="201"/>
    </row>
    <row r="47" spans="1:6" ht="82" customHeight="1">
      <c r="A47" s="460"/>
      <c r="B47" s="423">
        <v>2</v>
      </c>
      <c r="C47" s="424" t="s">
        <v>1064</v>
      </c>
      <c r="D47" s="282" t="s">
        <v>1074</v>
      </c>
      <c r="E47" s="274" t="s">
        <v>1073</v>
      </c>
      <c r="F47" s="201"/>
    </row>
    <row r="48" spans="1:6" ht="76.5" customHeight="1">
      <c r="A48" s="460"/>
      <c r="B48" s="422">
        <v>3</v>
      </c>
      <c r="C48" s="457" t="s">
        <v>979</v>
      </c>
      <c r="D48" s="282" t="s">
        <v>1016</v>
      </c>
      <c r="E48" s="274" t="s">
        <v>1087</v>
      </c>
      <c r="F48" s="201"/>
    </row>
    <row r="49" spans="1:6" ht="62.5" customHeight="1">
      <c r="A49" s="460"/>
      <c r="B49" s="422">
        <v>4</v>
      </c>
      <c r="C49" s="458"/>
      <c r="D49" s="282" t="s">
        <v>1017</v>
      </c>
      <c r="E49" s="274" t="s">
        <v>1160</v>
      </c>
      <c r="F49" s="201"/>
    </row>
    <row r="50" spans="1:6" ht="102.5" customHeight="1">
      <c r="A50" s="460"/>
      <c r="B50" s="423">
        <v>5</v>
      </c>
      <c r="C50" s="424" t="s">
        <v>1154</v>
      </c>
      <c r="D50" s="283" t="s">
        <v>1022</v>
      </c>
      <c r="E50" s="274" t="s">
        <v>1156</v>
      </c>
      <c r="F50" s="201"/>
    </row>
    <row r="51" spans="1:6" ht="59.5" customHeight="1">
      <c r="A51" s="460"/>
      <c r="B51" s="422">
        <v>6</v>
      </c>
      <c r="C51" s="435" t="s">
        <v>1155</v>
      </c>
      <c r="D51" s="283" t="s">
        <v>1021</v>
      </c>
      <c r="E51" s="274" t="s">
        <v>1162</v>
      </c>
      <c r="F51" s="201"/>
    </row>
    <row r="52" spans="1:6" ht="66" customHeight="1">
      <c r="A52" s="460"/>
      <c r="B52" s="422">
        <v>7</v>
      </c>
      <c r="C52" s="424" t="s">
        <v>1076</v>
      </c>
      <c r="D52" s="282" t="s">
        <v>1015</v>
      </c>
      <c r="E52" s="274" t="s">
        <v>1075</v>
      </c>
      <c r="F52" s="201"/>
    </row>
    <row r="53" spans="1:6" ht="29.5" customHeight="1">
      <c r="A53" s="460"/>
      <c r="B53" s="423">
        <v>8</v>
      </c>
      <c r="C53" s="424" t="s">
        <v>1148</v>
      </c>
      <c r="D53" s="283" t="s">
        <v>1014</v>
      </c>
      <c r="E53" s="274" t="s">
        <v>1004</v>
      </c>
      <c r="F53" s="201"/>
    </row>
    <row r="54" spans="1:6" ht="51" customHeight="1">
      <c r="A54" s="460"/>
      <c r="B54" s="422">
        <v>9</v>
      </c>
      <c r="C54" s="428" t="s">
        <v>1147</v>
      </c>
      <c r="D54" s="283" t="s">
        <v>1018</v>
      </c>
      <c r="E54" s="274" t="s">
        <v>1085</v>
      </c>
      <c r="F54" s="201"/>
    </row>
    <row r="55" spans="1:6" ht="25.5" customHeight="1">
      <c r="A55" s="460"/>
      <c r="B55" s="422">
        <v>10</v>
      </c>
      <c r="C55" s="428" t="s">
        <v>1013</v>
      </c>
      <c r="D55" s="283" t="s">
        <v>1019</v>
      </c>
      <c r="E55" s="274" t="s">
        <v>1129</v>
      </c>
      <c r="F55" s="201"/>
    </row>
    <row r="56" spans="1:6" ht="29.5" customHeight="1">
      <c r="A56" s="460"/>
      <c r="B56" s="423">
        <v>11</v>
      </c>
      <c r="C56" s="428" t="s">
        <v>1005</v>
      </c>
      <c r="D56" s="283" t="s">
        <v>1020</v>
      </c>
      <c r="E56" s="274" t="s">
        <v>1071</v>
      </c>
      <c r="F56" s="201"/>
    </row>
    <row r="57" spans="1:6" ht="53.5" customHeight="1">
      <c r="A57" s="460"/>
      <c r="B57" s="422">
        <v>12</v>
      </c>
      <c r="C57" s="435" t="s">
        <v>1130</v>
      </c>
      <c r="D57" s="283" t="s">
        <v>1025</v>
      </c>
      <c r="E57" s="274" t="s">
        <v>1077</v>
      </c>
      <c r="F57" s="201"/>
    </row>
    <row r="58" spans="1:6" ht="35.5" customHeight="1">
      <c r="A58" s="461"/>
      <c r="B58" s="422">
        <v>13</v>
      </c>
      <c r="C58" s="436"/>
      <c r="D58" s="283" t="s">
        <v>1025</v>
      </c>
      <c r="E58" s="274" t="s">
        <v>1070</v>
      </c>
      <c r="F58" s="201"/>
    </row>
    <row r="59" spans="1:6" ht="87.5" customHeight="1">
      <c r="A59" s="452" t="s">
        <v>1006</v>
      </c>
      <c r="B59" s="423">
        <v>1</v>
      </c>
      <c r="C59" s="275" t="s">
        <v>1119</v>
      </c>
      <c r="D59" s="284" t="s">
        <v>1031</v>
      </c>
      <c r="E59" s="276" t="s">
        <v>980</v>
      </c>
      <c r="F59" s="201"/>
    </row>
    <row r="60" spans="1:6" ht="71" customHeight="1">
      <c r="A60" s="453"/>
      <c r="B60" s="422">
        <v>2</v>
      </c>
      <c r="C60" s="439" t="s">
        <v>1008</v>
      </c>
      <c r="D60" s="284" t="s">
        <v>1026</v>
      </c>
      <c r="E60" s="276" t="s">
        <v>1078</v>
      </c>
      <c r="F60" s="201"/>
    </row>
    <row r="61" spans="1:6" ht="88" customHeight="1">
      <c r="A61" s="453"/>
      <c r="B61" s="423">
        <v>3</v>
      </c>
      <c r="C61" s="440"/>
      <c r="D61" s="284" t="s">
        <v>1027</v>
      </c>
      <c r="E61" s="276" t="s">
        <v>1066</v>
      </c>
      <c r="F61" s="201"/>
    </row>
    <row r="62" spans="1:6" ht="68" customHeight="1">
      <c r="A62" s="453"/>
      <c r="B62" s="422">
        <v>4</v>
      </c>
      <c r="C62" s="275" t="s">
        <v>1012</v>
      </c>
      <c r="D62" s="284" t="s">
        <v>1028</v>
      </c>
      <c r="E62" s="276" t="s">
        <v>1149</v>
      </c>
      <c r="F62" s="201"/>
    </row>
    <row r="63" spans="1:6" ht="68" customHeight="1">
      <c r="A63" s="453"/>
      <c r="B63" s="423">
        <v>5</v>
      </c>
      <c r="C63" s="275" t="s">
        <v>1010</v>
      </c>
      <c r="D63" s="284" t="s">
        <v>1029</v>
      </c>
      <c r="E63" s="276" t="s">
        <v>1011</v>
      </c>
      <c r="F63" s="201"/>
    </row>
    <row r="64" spans="1:6" ht="57.5" customHeight="1">
      <c r="A64" s="453"/>
      <c r="B64" s="422">
        <v>6</v>
      </c>
      <c r="C64" s="275" t="s">
        <v>1151</v>
      </c>
      <c r="D64" s="284" t="s">
        <v>1030</v>
      </c>
      <c r="E64" s="276" t="s">
        <v>1150</v>
      </c>
      <c r="F64" s="201"/>
    </row>
    <row r="65" spans="1:6" ht="36" customHeight="1">
      <c r="A65" s="454"/>
      <c r="B65" s="423">
        <v>7</v>
      </c>
      <c r="C65" s="425" t="s">
        <v>1009</v>
      </c>
      <c r="D65" s="284" t="s">
        <v>1032</v>
      </c>
      <c r="E65" s="276" t="s">
        <v>1068</v>
      </c>
      <c r="F65" s="201"/>
    </row>
    <row r="66" spans="1:6" ht="52.5" customHeight="1">
      <c r="A66" s="452" t="s">
        <v>1133</v>
      </c>
      <c r="B66" s="422">
        <v>1</v>
      </c>
      <c r="C66" s="441" t="s">
        <v>1072</v>
      </c>
      <c r="D66" s="285" t="s">
        <v>1041</v>
      </c>
      <c r="E66" s="277" t="s">
        <v>1153</v>
      </c>
      <c r="F66" s="201"/>
    </row>
    <row r="67" spans="1:6" ht="84.5" customHeight="1">
      <c r="A67" s="453"/>
      <c r="B67" s="422">
        <v>2</v>
      </c>
      <c r="C67" s="442"/>
      <c r="D67" s="285" t="s">
        <v>1061</v>
      </c>
      <c r="E67" s="426" t="s">
        <v>1104</v>
      </c>
      <c r="F67" s="201"/>
    </row>
    <row r="68" spans="1:6" ht="46.5" customHeight="1">
      <c r="A68" s="454"/>
      <c r="B68" s="423">
        <v>3</v>
      </c>
      <c r="C68" s="443"/>
      <c r="D68" s="285" t="s">
        <v>1084</v>
      </c>
      <c r="E68" s="426" t="s">
        <v>1105</v>
      </c>
      <c r="F68" s="201"/>
    </row>
  </sheetData>
  <autoFilter ref="B1:F68" xr:uid="{4DE1EEA3-2596-4AEE-9123-3420C25BD244}"/>
  <mergeCells count="10">
    <mergeCell ref="A66:A68"/>
    <mergeCell ref="A59:A65"/>
    <mergeCell ref="A2:A6"/>
    <mergeCell ref="C3:C4"/>
    <mergeCell ref="C48:C49"/>
    <mergeCell ref="A46:A58"/>
    <mergeCell ref="C10:C12"/>
    <mergeCell ref="A7:A16"/>
    <mergeCell ref="C17:C18"/>
    <mergeCell ref="A17:A45"/>
  </mergeCells>
  <phoneticPr fontId="77" type="noConversion"/>
  <conditionalFormatting sqref="F2:F68">
    <cfRule type="cellIs" dxfId="329" priority="1" operator="notEqual">
      <formula>"Y"</formula>
    </cfRule>
  </conditionalFormatting>
  <dataValidations count="1">
    <dataValidation type="list" allowBlank="1" showInputMessage="1" showErrorMessage="1" sqref="F2:F68" xr:uid="{4C364ECE-EA47-4D84-9EC7-B786A8A40C87}">
      <formula1>"Y"</formula1>
    </dataValidation>
  </dataValidations>
  <hyperlinks>
    <hyperlink ref="D2" location="Remarks!G19" display="*VDA2.3.4" xr:uid="{B6B43171-839A-4B62-8E1E-55F47CBE33F7}"/>
    <hyperlink ref="D59" location="Remarks!G27" display="*VDA3.4.2" xr:uid="{8B739BFC-408D-4C23-86C7-5229D94E0419}"/>
    <hyperlink ref="D4" location="Remarks!G61" display="*VDA6.4.2" xr:uid="{CF8C271C-18EB-49D0-9259-B1178CE37EE3}"/>
    <hyperlink ref="D5" location="Remarks!G37" display="*VDA4.4.4" xr:uid="{915522C3-F111-44D1-9C88-DCED0F272F39}"/>
    <hyperlink ref="D7" location="Remarks!G59" display="*VDA6.2.10" xr:uid="{CDA1C0D8-27B0-48BB-A069-7B73941E3A60}"/>
    <hyperlink ref="D46" location="Remarks!G68" display="*VDA7.2.1" xr:uid="{E5B25D9C-2B29-4B74-A1F5-E85434AA0397}"/>
    <hyperlink ref="D9" location="Remarks!G70" display="7.3" xr:uid="{F55ABA13-84AA-491C-8BBA-A4C0042ED186}"/>
    <hyperlink ref="D10" location="Remarks!G30" display="*VDA4.1.4" xr:uid="{9B6C6EC4-02B0-4547-89CE-A478C170FC5C}"/>
    <hyperlink ref="D15" location="Remarks!G35" display="VDA4.2.5" xr:uid="{9F69418C-F3C9-4D2F-9B6C-504D77A967FF}"/>
    <hyperlink ref="D16" location="Remarks!G65" display="VDA6.4.6" xr:uid="{93247CE5-35CE-4779-A8E8-BE193B9A7473}"/>
    <hyperlink ref="D11" location="Remarks!G31" display="*VDA4.2.1" xr:uid="{D4C59732-01D6-4FDA-A5E6-90F388F14270}"/>
    <hyperlink ref="D24" location="Remarks!G43" display="*VDA5.2.1" xr:uid="{7036380D-6B56-4A85-9972-EB5983295255}"/>
    <hyperlink ref="D25" location="Remarks!G44" display="*VDA5.2.4" xr:uid="{104AD4E1-C2FA-47B6-88B7-6836E8B305D7}"/>
    <hyperlink ref="D28" location="Remarks!G49" display="*VDA6.2.3" xr:uid="{7FEE2302-59C0-401B-A3CB-4F1FC969A017}"/>
    <hyperlink ref="D20" location="Remarks!G64" display="*VDA6.4.4" xr:uid="{CFEE26B3-2B5A-4977-9CA4-4D756E98F7A8}"/>
    <hyperlink ref="D21" location="Remarks!G64" display="VDA6.4.5" xr:uid="{4CBC222A-2067-4741-9D0A-98CC5BC5DE95}"/>
    <hyperlink ref="D29" location="Remarks!G33" display="*VDA4.2.3" xr:uid="{BE90BF62-B649-43C7-8DD7-900EC8EA0182}"/>
    <hyperlink ref="D27" location="Remarks!G48" display="*VDA6.2.1" xr:uid="{90561B68-08C4-4756-982B-AE215C70175D}"/>
    <hyperlink ref="D32" location="Remarks!G57" display="VDA6.2.8" xr:uid="{350971B8-D187-4A58-8A11-27BD281CD509}"/>
    <hyperlink ref="D35" location="Remarks!G18" display="*VDA2.2.5" xr:uid="{2817974C-664B-40CE-9947-68DED258D686}"/>
    <hyperlink ref="D33" location="Remarks!G51" display="VDA6.2.5" xr:uid="{CCCD472D-C28E-49B0-AA2A-B484EA9FA898}"/>
    <hyperlink ref="D34" location="Remarks!G55" display="*VDA6.2.6" xr:uid="{440B94FE-6172-4765-B58D-2741B406BF9A}"/>
    <hyperlink ref="D36" location="Remarks!G18" display="*VDA2.2.5" xr:uid="{BB3E1954-14D8-482B-81CB-689DCCABD052}"/>
    <hyperlink ref="D39" location="Remarks!G58" display="*VDA6.2.9" xr:uid="{F90F37B3-C772-479E-B627-7846CA76EB31}"/>
    <hyperlink ref="D38" location="Remarks!G50" display="*VDA6.2.4" xr:uid="{EF752455-EDF6-4BF5-B3E7-758F7B777557}"/>
    <hyperlink ref="D42" location="Remarks!G56" display="VDA6.2.7" xr:uid="{553FD992-DED0-4632-AB63-21655A320DEF}"/>
    <hyperlink ref="D19" location="Remarks!G62" display="VDA6.4.3" xr:uid="{F79533D8-B576-424F-BF5D-4ED41F780140}"/>
    <hyperlink ref="D44" location="Remarks!G43" display="*VDA5.2.1" xr:uid="{30DA553D-C25A-4607-A8A1-5EDBDC5576F4}"/>
    <hyperlink ref="D45" location="Remarks!G44" display="*VDA5.2.4" xr:uid="{32E92E02-4AAE-4420-AB84-966F6F84DFE0}"/>
    <hyperlink ref="D40" location="Remarks!G17" display="*VDA2.2.5" xr:uid="{90B62458-39AF-430C-9626-AC811414AD53}"/>
    <hyperlink ref="D41" location="Remarks!G32" display="VDA4.2.2" xr:uid="{1CEE10B2-2833-4834-AFE6-94425104711D}"/>
    <hyperlink ref="D50" location="Remarks!G6" display="1.2" xr:uid="{9C2D6614-C85F-4624-90FB-6AFFB86AD548}"/>
    <hyperlink ref="D57" location="Remarks!G20" display="*VDA2.6.1" xr:uid="{17713451-61C9-469F-BF45-807349858D03}"/>
    <hyperlink ref="D53" location="Remarks!G7" display="1.3" xr:uid="{47FD1F4F-AFBB-43BE-BDB8-F921DC5D3EF2}"/>
    <hyperlink ref="D56" location="Remarks!G13" display="*VDA1.6.3" xr:uid="{B26B8745-3D8E-4643-B222-38AA3BC489F6}"/>
    <hyperlink ref="D58" location="Remarks!G20" display="*VDA2.6.1" xr:uid="{31CE4448-D7DB-44DD-952B-FD3E089EC051}"/>
    <hyperlink ref="D14" location="Remarks!G34" display="VDA4.2.4" xr:uid="{493EA0BB-6B34-407E-8616-9C8C65CB204C}"/>
    <hyperlink ref="D60" location="Remarks!G22" display="*VDA3.2.1" xr:uid="{165C6FDC-D6EF-46F4-B83F-EF43999A6F2E}"/>
    <hyperlink ref="D61" location="Remarks!G23" display="*VDA3.2.2" xr:uid="{9DEF7D6A-565E-4BA2-933B-A2A8121ED564}"/>
    <hyperlink ref="D63" location="Remarks!G29" display="3.4" xr:uid="{615A5D75-1B4A-4AE4-9B71-D0D8AA917151}"/>
    <hyperlink ref="D64" location="Remarks!G26" display="VDA3.2.6" xr:uid="{26D0C4B0-FB0B-488D-B8F5-CEDD12D96A4D}"/>
    <hyperlink ref="D65" location="Remarks!G28" display="*VDA3.5.1" xr:uid="{ED3EA369-29F9-46D5-9505-0E386E029FFB}"/>
    <hyperlink ref="D62" location="Remarks!G24" display="VDA3.2.3" xr:uid="{E2C9780E-0032-4C3B-8881-1C68AEC7CF5E}"/>
    <hyperlink ref="D17" location="Remarks!G45" display="*VDA5.4.1" xr:uid="{FCD404F4-790B-43AD-BEE8-1B3967CFF6FC}"/>
    <hyperlink ref="D18" location="Remarks!G60" display="*VDA6.4.1" xr:uid="{0DB76385-8E20-4260-905F-E7CE69005FD6}"/>
    <hyperlink ref="D55" location="Remarks!G12" display="VDA1.5.4" xr:uid="{6E2B0F7B-78D0-41FE-8923-F7062F01DF00}"/>
    <hyperlink ref="D66" location="Remarks!G38" display="VDA4.5.1" xr:uid="{3CE40FC1-70FF-4ADF-8B6C-59D0581DC855}"/>
    <hyperlink ref="D67" location="Remarks!G66" display="*VDA6.5.1" xr:uid="{F8EE582C-092F-43E4-B1C1-87465E766C09}"/>
    <hyperlink ref="D26" location="Remarks!G47" display="*VDA6.1.3" xr:uid="{A0B22251-8D0C-4CB0-9B87-74665F9B8630}"/>
    <hyperlink ref="D8" location="Remarks!G18" display="*VDA2.2.5" xr:uid="{0A7C6496-DFCE-4ECA-9DF1-484BFE9A30A9}"/>
    <hyperlink ref="D47" location="Remarks!G5" display="Remarks!G5" xr:uid="{268A6103-6ED8-4215-96BC-3E47E70C6A53}"/>
    <hyperlink ref="D48" location="Remarks!G9" display="VDA1.4.1" xr:uid="{1278556E-4E28-461F-8A47-F0A22B81BD90}"/>
    <hyperlink ref="D54" location="Remarks!G11" display="*VDA1.5.1" xr:uid="{7ABEF726-7AF9-40DB-82B9-9B59F8988038}"/>
    <hyperlink ref="D3" location="Remarks!G36" display="*VDA4.4.2" xr:uid="{BA132E70-777B-46F6-A42B-C2044003F1CB}"/>
    <hyperlink ref="D6" location="Remarks!G69" display="*VDA7.2.2" xr:uid="{DABF53AA-EFC1-43D7-AA63-83DD3DD5AFD0}"/>
    <hyperlink ref="D52" location="Remarks!G8" display="1.4" xr:uid="{8482A3B3-9320-469D-AAFD-1780A3A6476A}"/>
    <hyperlink ref="D49" location="Remarks!G10" display="*VDA1.4.2" xr:uid="{13360602-E09F-4F5B-AEAF-354DC91A6FF8}"/>
    <hyperlink ref="D23" location="Remarks!G42" display="VDA5.1.1" xr:uid="{9EEE0676-CED6-409B-812B-FD8FA0BCCAE3}"/>
    <hyperlink ref="D43" location="Remarks!G42" display="VDA5.1.1" xr:uid="{F7E4A1C1-5116-4D06-9602-89BFE386BD86}"/>
    <hyperlink ref="D30" location="Remarks!G53" display="*VDA6.2.6" xr:uid="{B5064A21-2F53-4BFE-A71F-85A3042CECB4}"/>
    <hyperlink ref="D31" location="Remarks!G54" display="*VDA6.2.6" xr:uid="{D0C61FEC-EDC1-4DB0-A0DA-FFA7327DEC27}"/>
    <hyperlink ref="D51" location="Remarks!G15" display="*VDA2.2.3" xr:uid="{E792CC14-E4E6-4864-8B85-02CC2D10BDF6}"/>
    <hyperlink ref="D13" location="Remarks!G33" display="*VDA4.2.3" xr:uid="{01CF92C9-578F-45C8-AC95-E98B9F757019}"/>
    <hyperlink ref="D12" location="Remarks!G32" display="VDA4.2.2" xr:uid="{7D3060C2-65D0-40BB-A596-2629EA0A69A4}"/>
    <hyperlink ref="D37" location="Remarks!G59" display="*VDA6.2.10" xr:uid="{F54EF144-AFB0-429F-ACBD-5EAE27152675}"/>
    <hyperlink ref="D22" location="Remarks!G65" display="VDA6.4.6" xr:uid="{1DE70774-2D46-4334-96A9-028DDA41788D}"/>
    <hyperlink ref="D68" location="Remarks!G71" display="*VDA7.2.1" xr:uid="{3E9E7B8B-7BEF-494C-BCD7-06D19ECBFB40}"/>
  </hyperlinks>
  <printOptions horizontalCentered="1"/>
  <pageMargins left="0.23622047244094491" right="0.23622047244094491" top="0.39370078740157483" bottom="0.19685039370078741" header="0.15748031496062992" footer="0.23622047244094491"/>
  <pageSetup paperSize="9" scale="54" fitToHeight="0" orientation="portrait" r:id="rId1"/>
  <headerFooter>
    <oddHeader>&amp;L&amp;"Calibri"&amp;10&amp;K000000 INTERNAL&amp;1#_x000D_</oddHeader>
    <oddFooter>&amp;L_x000D_&amp;1#&amp;"Calibri"&amp;10&amp;K000000 Internal</oddFooter>
  </headerFooter>
  <rowBreaks count="2" manualBreakCount="2">
    <brk id="51" max="4" man="1"/>
    <brk id="68" max="4"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topLeftCell="A21" zoomScale="90" zoomScaleNormal="90" zoomScalePageLayoutView="50" workbookViewId="0">
      <selection activeCell="I36" sqref="I36"/>
    </sheetView>
  </sheetViews>
  <sheetFormatPr baseColWidth="10" defaultColWidth="11.5" defaultRowHeight="16"/>
  <cols>
    <col min="1" max="1" width="3" style="203" customWidth="1"/>
    <col min="2" max="2" width="26.5" style="203" customWidth="1"/>
    <col min="3" max="3" width="51.1640625" style="203" customWidth="1"/>
    <col min="4" max="4" width="6.1640625" style="203" customWidth="1"/>
    <col min="5" max="5" width="12.83203125" style="203" customWidth="1"/>
    <col min="6" max="6" width="4.5" style="203" customWidth="1"/>
    <col min="7" max="16384" width="11.5" style="203"/>
  </cols>
  <sheetData>
    <row r="1" spans="1:6" ht="24.75" customHeight="1">
      <c r="A1" s="445" t="s">
        <v>695</v>
      </c>
      <c r="B1" s="446"/>
      <c r="C1" s="446"/>
      <c r="D1" s="446"/>
      <c r="E1" s="446"/>
      <c r="F1" s="447"/>
    </row>
    <row r="2" spans="1:6" ht="19.25" customHeight="1">
      <c r="A2" s="448"/>
      <c r="B2" s="449"/>
      <c r="C2" s="449"/>
      <c r="D2" s="449"/>
      <c r="E2" s="449"/>
      <c r="F2" s="450"/>
    </row>
    <row r="3" spans="1:6">
      <c r="A3" s="384"/>
      <c r="F3" s="404"/>
    </row>
    <row r="4" spans="1:6" ht="21">
      <c r="A4" s="204"/>
      <c r="B4" s="405" t="s">
        <v>390</v>
      </c>
      <c r="F4" s="404"/>
    </row>
    <row r="5" spans="1:6" ht="11.5" customHeight="1">
      <c r="A5" s="204"/>
      <c r="B5" s="406"/>
      <c r="F5" s="404"/>
    </row>
    <row r="6" spans="1:6">
      <c r="A6" s="204"/>
      <c r="B6" s="265" t="s">
        <v>391</v>
      </c>
      <c r="C6" s="407">
        <v>46023</v>
      </c>
      <c r="F6" s="404"/>
    </row>
    <row r="7" spans="1:6" ht="10.25" customHeight="1">
      <c r="A7" s="204"/>
      <c r="B7" s="406"/>
      <c r="F7" s="404"/>
    </row>
    <row r="8" spans="1:6" ht="23.25" customHeight="1">
      <c r="A8" s="204"/>
      <c r="B8" s="265" t="s">
        <v>392</v>
      </c>
      <c r="C8" s="408" t="s">
        <v>696</v>
      </c>
      <c r="F8" s="404"/>
    </row>
    <row r="9" spans="1:6" ht="12" customHeight="1">
      <c r="A9" s="204"/>
      <c r="B9" s="406"/>
      <c r="F9" s="404"/>
    </row>
    <row r="10" spans="1:6">
      <c r="A10" s="204"/>
      <c r="B10" s="406" t="s">
        <v>393</v>
      </c>
      <c r="C10" s="409"/>
      <c r="F10" s="404"/>
    </row>
    <row r="11" spans="1:6">
      <c r="A11" s="204"/>
      <c r="B11" s="406" t="s">
        <v>394</v>
      </c>
      <c r="C11" s="410"/>
      <c r="F11" s="404"/>
    </row>
    <row r="12" spans="1:6">
      <c r="A12" s="204"/>
      <c r="B12" s="406" t="s">
        <v>395</v>
      </c>
      <c r="C12" s="411"/>
      <c r="F12" s="404"/>
    </row>
    <row r="13" spans="1:6">
      <c r="A13" s="204"/>
      <c r="B13" s="406"/>
      <c r="F13" s="404"/>
    </row>
    <row r="14" spans="1:6">
      <c r="A14" s="204"/>
      <c r="B14" s="406" t="s">
        <v>396</v>
      </c>
      <c r="C14" s="411"/>
      <c r="F14" s="404"/>
    </row>
    <row r="15" spans="1:6" ht="8.5" customHeight="1">
      <c r="A15" s="204"/>
      <c r="F15" s="404"/>
    </row>
    <row r="16" spans="1:6">
      <c r="A16" s="204"/>
      <c r="B16" s="412" t="s">
        <v>397</v>
      </c>
      <c r="E16" s="412" t="s">
        <v>701</v>
      </c>
      <c r="F16" s="404"/>
    </row>
    <row r="17" spans="1:6">
      <c r="A17" s="204"/>
      <c r="B17" s="203" t="s">
        <v>398</v>
      </c>
      <c r="C17" s="411" t="s">
        <v>11</v>
      </c>
      <c r="E17" s="411" t="str">
        <f>VLOOKUP(C17, Source!J5:K246, 2, FALSE)</f>
        <v xml:space="preserve"> </v>
      </c>
      <c r="F17" s="404"/>
    </row>
    <row r="18" spans="1:6">
      <c r="A18" s="204"/>
      <c r="F18" s="404"/>
    </row>
    <row r="19" spans="1:6">
      <c r="A19" s="204"/>
      <c r="B19" s="203" t="s">
        <v>399</v>
      </c>
      <c r="C19" s="409"/>
      <c r="F19" s="404"/>
    </row>
    <row r="20" spans="1:6">
      <c r="A20" s="204"/>
      <c r="B20" s="203" t="s">
        <v>400</v>
      </c>
      <c r="C20" s="409"/>
      <c r="F20" s="404"/>
    </row>
    <row r="21" spans="1:6">
      <c r="A21" s="204"/>
      <c r="B21" s="203" t="s">
        <v>401</v>
      </c>
      <c r="C21" s="411"/>
      <c r="F21" s="404"/>
    </row>
    <row r="22" spans="1:6">
      <c r="A22" s="204"/>
      <c r="F22" s="404"/>
    </row>
    <row r="23" spans="1:6">
      <c r="A23" s="204"/>
      <c r="B23" s="203" t="s">
        <v>402</v>
      </c>
      <c r="C23" s="411" t="s">
        <v>1101</v>
      </c>
      <c r="F23" s="404"/>
    </row>
    <row r="24" spans="1:6">
      <c r="A24" s="204"/>
      <c r="B24" s="203" t="s">
        <v>403</v>
      </c>
      <c r="C24" s="411" t="s">
        <v>1102</v>
      </c>
      <c r="F24" s="404"/>
    </row>
    <row r="25" spans="1:6" ht="8.5" customHeight="1">
      <c r="A25" s="260"/>
      <c r="B25" s="261"/>
      <c r="C25" s="261"/>
      <c r="D25" s="261"/>
      <c r="E25" s="261"/>
      <c r="F25" s="264"/>
    </row>
    <row r="26" spans="1:6" ht="10.25" customHeight="1">
      <c r="A26" s="204"/>
      <c r="F26" s="404"/>
    </row>
    <row r="27" spans="1:6" ht="21">
      <c r="A27" s="204"/>
      <c r="B27" s="405" t="s">
        <v>404</v>
      </c>
      <c r="F27" s="404"/>
    </row>
    <row r="28" spans="1:6" ht="4.25" customHeight="1">
      <c r="A28" s="204"/>
      <c r="F28" s="404"/>
    </row>
    <row r="29" spans="1:6">
      <c r="A29" s="204"/>
      <c r="B29" s="203" t="s">
        <v>405</v>
      </c>
      <c r="C29" s="411" t="s">
        <v>11</v>
      </c>
      <c r="F29" s="404"/>
    </row>
    <row r="30" spans="1:6">
      <c r="A30" s="204"/>
      <c r="F30" s="404"/>
    </row>
    <row r="31" spans="1:6">
      <c r="A31" s="204"/>
      <c r="B31" s="203" t="s">
        <v>406</v>
      </c>
      <c r="C31" s="411"/>
      <c r="E31" s="413"/>
      <c r="F31" s="404"/>
    </row>
    <row r="32" spans="1:6" ht="12" customHeight="1">
      <c r="A32" s="204"/>
      <c r="E32" s="451" t="str">
        <f>Evaluationsheet!F77</f>
        <v>No result!</v>
      </c>
      <c r="F32" s="404"/>
    </row>
    <row r="33" spans="1:6" ht="27" customHeight="1">
      <c r="A33" s="204"/>
      <c r="B33" s="414" t="s">
        <v>407</v>
      </c>
      <c r="C33" s="418" t="s">
        <v>1101</v>
      </c>
      <c r="E33" s="451"/>
      <c r="F33" s="404"/>
    </row>
    <row r="34" spans="1:6" ht="17.5" customHeight="1">
      <c r="A34" s="204"/>
      <c r="E34" s="419" t="str">
        <f>IF(E32="No result!","",IF(OR(Source!B44="Downgrading rule applies",Source!C44="Downgrading rule applies"),"Downgrading rule applies",""))</f>
        <v/>
      </c>
      <c r="F34" s="404"/>
    </row>
    <row r="35" spans="1:6" ht="27" customHeight="1">
      <c r="A35" s="204"/>
      <c r="B35" s="414" t="s">
        <v>408</v>
      </c>
      <c r="C35" s="411"/>
      <c r="E35" s="415" t="str">
        <f>IF(OR(Source!C29="C",Source!C32="C",Source!C35="C"),"-",Source!B39)</f>
        <v>-</v>
      </c>
      <c r="F35" s="404"/>
    </row>
    <row r="36" spans="1:6">
      <c r="A36" s="260"/>
      <c r="B36" s="261"/>
      <c r="C36" s="261"/>
      <c r="D36" s="261"/>
      <c r="E36" s="261"/>
      <c r="F36" s="264"/>
    </row>
    <row r="37" spans="1:6" ht="12" customHeight="1">
      <c r="A37" s="204"/>
      <c r="F37" s="404"/>
    </row>
    <row r="38" spans="1:6" ht="21">
      <c r="A38" s="204"/>
      <c r="B38" s="405" t="s">
        <v>409</v>
      </c>
      <c r="F38" s="404"/>
    </row>
    <row r="39" spans="1:6" ht="10.25" customHeight="1">
      <c r="A39" s="204"/>
      <c r="B39" s="119"/>
      <c r="F39" s="404"/>
    </row>
    <row r="40" spans="1:6">
      <c r="A40" s="204"/>
      <c r="B40" s="203" t="s">
        <v>410</v>
      </c>
      <c r="C40" s="411"/>
      <c r="F40" s="404"/>
    </row>
    <row r="41" spans="1:6" ht="6.75" customHeight="1">
      <c r="A41" s="204"/>
      <c r="F41" s="404"/>
    </row>
    <row r="42" spans="1:6" ht="17">
      <c r="A42" s="204"/>
      <c r="B42" s="230" t="s">
        <v>411</v>
      </c>
      <c r="C42" s="411"/>
      <c r="F42" s="404"/>
    </row>
    <row r="43" spans="1:6" ht="11.5" customHeight="1">
      <c r="A43" s="204"/>
      <c r="F43" s="404"/>
    </row>
    <row r="44" spans="1:6">
      <c r="A44" s="204"/>
      <c r="B44" s="203" t="s">
        <v>412</v>
      </c>
      <c r="C44" s="411"/>
      <c r="F44" s="404"/>
    </row>
    <row r="45" spans="1:6" ht="12" customHeight="1">
      <c r="A45" s="204"/>
      <c r="F45" s="404"/>
    </row>
    <row r="46" spans="1:6" ht="34">
      <c r="A46" s="204"/>
      <c r="B46" s="230" t="s">
        <v>413</v>
      </c>
      <c r="C46" s="411"/>
      <c r="F46" s="404"/>
    </row>
    <row r="47" spans="1:6" ht="10.25" customHeight="1">
      <c r="A47" s="260"/>
      <c r="B47" s="261"/>
      <c r="C47" s="261"/>
      <c r="D47" s="261"/>
      <c r="E47" s="261"/>
      <c r="F47" s="264"/>
    </row>
    <row r="48" spans="1:6">
      <c r="A48" s="103"/>
      <c r="B48" s="416" t="s">
        <v>414</v>
      </c>
      <c r="C48" s="94"/>
      <c r="D48" s="94"/>
      <c r="E48" s="94"/>
      <c r="F48" s="95"/>
    </row>
    <row r="49" spans="1:6" ht="13.25" customHeight="1">
      <c r="A49" s="104"/>
      <c r="B49" s="119"/>
      <c r="C49" s="120"/>
      <c r="D49" s="120"/>
      <c r="E49" s="120"/>
      <c r="F49" s="93"/>
    </row>
    <row r="50" spans="1:6">
      <c r="A50" s="105"/>
      <c r="B50" s="203" t="s">
        <v>415</v>
      </c>
      <c r="C50" s="203" t="s">
        <v>970</v>
      </c>
      <c r="D50" s="121"/>
      <c r="E50" s="121"/>
      <c r="F50" s="92"/>
    </row>
    <row r="51" spans="1:6">
      <c r="A51" s="105"/>
      <c r="B51" s="203" t="s">
        <v>416</v>
      </c>
      <c r="C51" s="417">
        <v>45978</v>
      </c>
      <c r="D51" s="121"/>
      <c r="E51" s="121"/>
      <c r="F51" s="92"/>
    </row>
    <row r="52" spans="1:6" ht="9.75" customHeight="1">
      <c r="A52" s="260"/>
      <c r="B52" s="88"/>
      <c r="C52" s="88"/>
      <c r="D52" s="88"/>
      <c r="E52" s="88"/>
      <c r="F52" s="89"/>
    </row>
  </sheetData>
  <sheetProtection formatCells="0" formatColumns="0" formatRows="0"/>
  <mergeCells count="2">
    <mergeCell ref="A1:F2"/>
    <mergeCell ref="E32:E33"/>
  </mergeCells>
  <phoneticPr fontId="77" type="noConversion"/>
  <conditionalFormatting sqref="E32">
    <cfRule type="containsText" dxfId="333" priority="1" operator="containsText" text="No result!">
      <formula>NOT(ISERROR(SEARCH("No result!",E32)))</formula>
    </cfRule>
    <cfRule type="containsText" dxfId="332" priority="3" operator="containsText" text="C">
      <formula>NOT(ISERROR(SEARCH("C",E32)))</formula>
    </cfRule>
    <cfRule type="containsText" dxfId="331" priority="4" operator="containsText" text="A">
      <formula>NOT(ISERROR(SEARCH("A",E32)))</formula>
    </cfRule>
    <cfRule type="containsText" dxfId="330" priority="7" operator="containsText" text="B">
      <formula>NOT(ISERROR(SEARCH("B",E32)))</formula>
    </cfRule>
  </conditionalFormatting>
  <pageMargins left="0.7" right="0.7" top="0.78740157499999996" bottom="0.78740157499999996" header="0.3" footer="0.3"/>
  <pageSetup scale="72" fitToHeight="0" orientation="portrait"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Export_And_Save_Automated">
                <anchor moveWithCells="1" sizeWithCells="1">
                  <from>
                    <xdr:col>7</xdr:col>
                    <xdr:colOff>12700</xdr:colOff>
                    <xdr:row>3</xdr:row>
                    <xdr:rowOff>215900</xdr:rowOff>
                  </from>
                  <to>
                    <xdr:col>8</xdr:col>
                    <xdr:colOff>660400</xdr:colOff>
                    <xdr:row>7</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93"/>
  <sheetViews>
    <sheetView topLeftCell="A2" zoomScale="85" zoomScaleNormal="85" workbookViewId="0">
      <selection activeCell="C85" sqref="C85:G85"/>
    </sheetView>
  </sheetViews>
  <sheetFormatPr baseColWidth="10" defaultColWidth="11.5" defaultRowHeight="16" outlineLevelRow="1"/>
  <cols>
    <col min="1" max="1" width="2.6640625" style="203" customWidth="1"/>
    <col min="2" max="2" width="5.1640625" style="402" customWidth="1"/>
    <col min="3" max="3" width="2.83203125" style="203" customWidth="1"/>
    <col min="4" max="4" width="56" style="203" customWidth="1"/>
    <col min="5" max="6" width="9" style="203" customWidth="1"/>
    <col min="7" max="7" width="9.33203125" style="403" customWidth="1"/>
    <col min="8" max="8" width="2" style="203" customWidth="1"/>
    <col min="9" max="9" width="3.83203125" style="203" customWidth="1"/>
    <col min="10" max="10" width="5.1640625" style="203" customWidth="1"/>
    <col min="11" max="16" width="11.5" style="203"/>
    <col min="17" max="17" width="14.33203125" style="203" customWidth="1"/>
    <col min="18" max="18" width="3.33203125" style="203" customWidth="1"/>
    <col min="19" max="16384" width="11.5" style="203"/>
  </cols>
  <sheetData>
    <row r="1" spans="1:17" ht="56.25" customHeight="1">
      <c r="A1" s="470" t="s">
        <v>698</v>
      </c>
      <c r="B1" s="471"/>
      <c r="C1" s="471"/>
      <c r="D1" s="471"/>
      <c r="E1" s="471"/>
      <c r="F1" s="472"/>
      <c r="G1" s="471"/>
      <c r="H1" s="472"/>
      <c r="I1" s="317"/>
    </row>
    <row r="2" spans="1:17" ht="30.75" customHeight="1">
      <c r="A2" s="318"/>
      <c r="B2" s="319"/>
      <c r="C2" s="320"/>
      <c r="D2" s="321" t="s">
        <v>702</v>
      </c>
      <c r="E2" s="322"/>
      <c r="F2" s="322"/>
      <c r="G2" s="323"/>
      <c r="H2" s="324"/>
      <c r="I2" s="325"/>
    </row>
    <row r="3" spans="1:17" ht="34.25" customHeight="1">
      <c r="A3" s="326"/>
      <c r="B3" s="327" t="s">
        <v>417</v>
      </c>
      <c r="C3" s="328"/>
      <c r="D3" s="329"/>
      <c r="E3" s="330" t="s">
        <v>418</v>
      </c>
      <c r="F3" s="330" t="s">
        <v>419</v>
      </c>
      <c r="G3" s="331" t="s">
        <v>420</v>
      </c>
      <c r="H3" s="332"/>
      <c r="I3" s="333"/>
    </row>
    <row r="4" spans="1:17" ht="26" customHeight="1">
      <c r="A4" s="204"/>
      <c r="B4" s="334">
        <v>1</v>
      </c>
      <c r="C4" s="335"/>
      <c r="D4" s="336" t="s">
        <v>421</v>
      </c>
      <c r="E4" s="337">
        <f>SUM(E5:E13)</f>
        <v>0</v>
      </c>
      <c r="F4" s="337">
        <f>'L1 - Project management'!D34*10</f>
        <v>0</v>
      </c>
      <c r="G4" s="338" t="str">
        <f>'L1 - Project management'!F34</f>
        <v>n.e.</v>
      </c>
      <c r="H4" s="339"/>
      <c r="I4" s="90"/>
      <c r="K4" s="473" t="s">
        <v>1100</v>
      </c>
      <c r="L4" s="473"/>
      <c r="M4" s="473"/>
      <c r="N4" s="473"/>
      <c r="O4" s="473"/>
      <c r="P4" s="473"/>
      <c r="Q4" s="473"/>
    </row>
    <row r="5" spans="1:17" ht="26.5" hidden="1" customHeight="1" outlineLevel="1">
      <c r="A5" s="204"/>
      <c r="B5" s="340" t="s">
        <v>422</v>
      </c>
      <c r="C5" s="341" t="s">
        <v>423</v>
      </c>
      <c r="D5" s="342" t="str">
        <f>'L1 - Project management'!D7</f>
        <v>Are requirements integrated into project management and continuously taken into account? (1.1.1)</v>
      </c>
      <c r="E5" s="343" t="str">
        <f>'L1 - Project management'!F8</f>
        <v>n.e.</v>
      </c>
      <c r="F5" s="343"/>
      <c r="G5" s="344"/>
      <c r="H5" s="339"/>
      <c r="I5" s="90"/>
      <c r="K5" s="473"/>
      <c r="L5" s="473"/>
      <c r="M5" s="473"/>
      <c r="N5" s="473"/>
      <c r="O5" s="473"/>
      <c r="P5" s="473"/>
      <c r="Q5" s="473"/>
    </row>
    <row r="6" spans="1:17" ht="26.5" hidden="1" customHeight="1" outlineLevel="1">
      <c r="A6" s="204"/>
      <c r="B6" s="340" t="s">
        <v>424</v>
      </c>
      <c r="C6" s="341" t="s">
        <v>423</v>
      </c>
      <c r="D6" s="342" t="str">
        <f>'L1 - Project management'!D10</f>
        <v>Has a project management (including a project organization) been established? (1.2.3)</v>
      </c>
      <c r="E6" s="343" t="str">
        <f>'L1 - Project management'!F11</f>
        <v>n.e.</v>
      </c>
      <c r="F6" s="343"/>
      <c r="G6" s="344"/>
      <c r="H6" s="339"/>
      <c r="I6" s="90"/>
      <c r="K6" s="473"/>
      <c r="L6" s="473"/>
      <c r="M6" s="473"/>
      <c r="N6" s="473"/>
      <c r="O6" s="473"/>
      <c r="P6" s="473"/>
      <c r="Q6" s="473"/>
    </row>
    <row r="7" spans="1:17" ht="26.5" hidden="1" customHeight="1" outlineLevel="1">
      <c r="A7" s="204"/>
      <c r="B7" s="340" t="s">
        <v>425</v>
      </c>
      <c r="C7" s="341"/>
      <c r="D7" s="345" t="str">
        <f>'L1 - Project management'!D13</f>
        <v>Has an escalation process, including coordinated communication, been established, and is it effectively implemented? (1.2.4)</v>
      </c>
      <c r="E7" s="346" t="str">
        <f>'L1 - Project management'!F14</f>
        <v>n.e.</v>
      </c>
      <c r="F7" s="346"/>
      <c r="G7" s="344"/>
      <c r="H7" s="339"/>
      <c r="I7" s="90"/>
      <c r="K7" s="473"/>
      <c r="L7" s="473"/>
      <c r="M7" s="473"/>
      <c r="N7" s="473"/>
      <c r="O7" s="473"/>
      <c r="P7" s="473"/>
      <c r="Q7" s="473"/>
    </row>
    <row r="8" spans="1:17" ht="26.5" hidden="1" customHeight="1" outlineLevel="1">
      <c r="A8" s="204"/>
      <c r="B8" s="340" t="s">
        <v>426</v>
      </c>
      <c r="C8" s="341" t="s">
        <v>423</v>
      </c>
      <c r="D8" s="345" t="str">
        <f>'L1 - Project management'!D16</f>
        <v>Are methods of risk analysis established at the start of the project phase, and are they implemented? (1.2.5)</v>
      </c>
      <c r="E8" s="346" t="str">
        <f>'L1 - Project management'!F17</f>
        <v>n.e.</v>
      </c>
      <c r="F8" s="346"/>
      <c r="G8" s="344"/>
      <c r="H8" s="339"/>
      <c r="I8" s="90"/>
      <c r="K8" s="473"/>
      <c r="L8" s="473"/>
      <c r="M8" s="473"/>
      <c r="N8" s="473"/>
      <c r="O8" s="473"/>
      <c r="P8" s="473"/>
      <c r="Q8" s="473"/>
    </row>
    <row r="9" spans="1:17" ht="26.5" hidden="1" customHeight="1" outlineLevel="1">
      <c r="A9" s="204"/>
      <c r="B9" s="340" t="s">
        <v>427</v>
      </c>
      <c r="C9" s="341"/>
      <c r="D9" s="345" t="str">
        <f>'L1 - Project management'!D19</f>
        <v>Is there a suitable IT emergency solution strategy, incl. regular data backup? (1.4.1)</v>
      </c>
      <c r="E9" s="346" t="str">
        <f>'L1 - Project management'!F20</f>
        <v>n.e.</v>
      </c>
      <c r="F9" s="346"/>
      <c r="G9" s="344"/>
      <c r="H9" s="339"/>
      <c r="I9" s="90"/>
      <c r="K9" s="473"/>
      <c r="L9" s="473"/>
      <c r="M9" s="473"/>
      <c r="N9" s="473"/>
      <c r="O9" s="473"/>
      <c r="P9" s="473"/>
      <c r="Q9" s="473"/>
    </row>
    <row r="10" spans="1:17" ht="18" hidden="1" customHeight="1" outlineLevel="1">
      <c r="A10" s="204"/>
      <c r="B10" s="340" t="s">
        <v>428</v>
      </c>
      <c r="C10" s="341" t="s">
        <v>423</v>
      </c>
      <c r="D10" s="345" t="str">
        <f>'L1 - Project management'!D22</f>
        <v>Is there a suitable pervasive IT infrastructure? (1.4.2)</v>
      </c>
      <c r="E10" s="346" t="str">
        <f>'L1 - Project management'!F23</f>
        <v>n.e.</v>
      </c>
      <c r="F10" s="346"/>
      <c r="G10" s="344"/>
      <c r="H10" s="339"/>
      <c r="I10" s="90"/>
      <c r="K10" s="473"/>
      <c r="L10" s="473"/>
      <c r="M10" s="473"/>
      <c r="N10" s="473"/>
      <c r="O10" s="473"/>
      <c r="P10" s="473"/>
      <c r="Q10" s="473"/>
    </row>
    <row r="11" spans="1:17" ht="26.5" hidden="1" customHeight="1" outlineLevel="1">
      <c r="A11" s="204"/>
      <c r="B11" s="340" t="s">
        <v>429</v>
      </c>
      <c r="C11" s="341" t="s">
        <v>423</v>
      </c>
      <c r="D11" s="345" t="str">
        <f>'L1 - Project management'!D25</f>
        <v>Have suitable KPIs been defined for project management, including target values, and are they applied? (1.5.1)</v>
      </c>
      <c r="E11" s="346" t="str">
        <f>'L1 - Project management'!F26</f>
        <v>n.e.</v>
      </c>
      <c r="F11" s="346"/>
      <c r="G11" s="344"/>
      <c r="H11" s="339"/>
      <c r="I11" s="90"/>
      <c r="K11" s="473"/>
      <c r="L11" s="473"/>
      <c r="M11" s="473"/>
      <c r="N11" s="473"/>
      <c r="O11" s="473"/>
      <c r="P11" s="473"/>
      <c r="Q11" s="473"/>
    </row>
    <row r="12" spans="1:17" ht="26.5" hidden="1" customHeight="1" outlineLevel="1">
      <c r="A12" s="204"/>
      <c r="B12" s="340" t="s">
        <v>430</v>
      </c>
      <c r="C12" s="341"/>
      <c r="D12" s="347" t="str">
        <f>'L1 - Project management'!D28</f>
        <v>Are methods of continuous process improvement implemented? (1.5.4)</v>
      </c>
      <c r="E12" s="348" t="str">
        <f>'L1 - Project management'!F29</f>
        <v>n.e.</v>
      </c>
      <c r="F12" s="349"/>
      <c r="G12" s="350"/>
      <c r="H12" s="339"/>
      <c r="I12" s="90"/>
      <c r="K12" s="473"/>
      <c r="L12" s="473"/>
      <c r="M12" s="473"/>
      <c r="N12" s="473"/>
      <c r="O12" s="473"/>
      <c r="P12" s="473"/>
      <c r="Q12" s="473"/>
    </row>
    <row r="13" spans="1:17" ht="18" hidden="1" customHeight="1" outlineLevel="1">
      <c r="A13" s="204"/>
      <c r="B13" s="351" t="s">
        <v>431</v>
      </c>
      <c r="C13" s="352" t="s">
        <v>423</v>
      </c>
      <c r="D13" s="353" t="str">
        <f>'L1 - Project management'!D31</f>
        <v>Has a handover to the downstream process taken place? (1.6.3)</v>
      </c>
      <c r="E13" s="354" t="str">
        <f>'L1 - Project management'!F32</f>
        <v>n.e.</v>
      </c>
      <c r="F13" s="355"/>
      <c r="G13" s="356"/>
      <c r="H13" s="339"/>
      <c r="I13" s="90"/>
      <c r="K13" s="473"/>
      <c r="L13" s="473"/>
      <c r="M13" s="473"/>
      <c r="N13" s="473"/>
      <c r="O13" s="473"/>
      <c r="P13" s="473"/>
      <c r="Q13" s="473"/>
    </row>
    <row r="14" spans="1:17" ht="26" customHeight="1" collapsed="1">
      <c r="A14" s="204"/>
      <c r="B14" s="334">
        <v>2</v>
      </c>
      <c r="C14" s="335"/>
      <c r="D14" s="336" t="s">
        <v>432</v>
      </c>
      <c r="E14" s="357">
        <f>SUM(E15:E20)</f>
        <v>0</v>
      </c>
      <c r="F14" s="357">
        <f>'L2 - Planning'!D22*10</f>
        <v>0</v>
      </c>
      <c r="G14" s="338" t="str">
        <f>'L2 - Planning'!F22</f>
        <v>n.e.</v>
      </c>
      <c r="H14" s="339"/>
      <c r="I14" s="90"/>
      <c r="K14" s="473"/>
      <c r="L14" s="473"/>
      <c r="M14" s="473"/>
      <c r="N14" s="473"/>
      <c r="O14" s="473"/>
      <c r="P14" s="473"/>
      <c r="Q14" s="473"/>
    </row>
    <row r="15" spans="1:17" ht="26.5" hidden="1" customHeight="1" outlineLevel="1">
      <c r="A15" s="204"/>
      <c r="B15" s="340" t="s">
        <v>433</v>
      </c>
      <c r="C15" s="341" t="s">
        <v>423</v>
      </c>
      <c r="D15" s="358" t="str">
        <f>'L2 - Planning'!D7</f>
        <v>Is material master and material flow data defined in the planning process and continuously monitored? (2.2.3)</v>
      </c>
      <c r="E15" s="359" t="str">
        <f>'L2 - Planning'!F8</f>
        <v>n.e.</v>
      </c>
      <c r="F15" s="359"/>
      <c r="G15" s="344"/>
      <c r="H15" s="339"/>
      <c r="I15" s="90"/>
      <c r="K15" s="473"/>
      <c r="L15" s="473"/>
      <c r="M15" s="473"/>
      <c r="N15" s="473"/>
      <c r="O15" s="473"/>
      <c r="P15" s="473"/>
      <c r="Q15" s="473"/>
    </row>
    <row r="16" spans="1:17" ht="39.75" hidden="1" customHeight="1" outlineLevel="1">
      <c r="A16" s="204"/>
      <c r="B16" s="467" t="s">
        <v>434</v>
      </c>
      <c r="C16" s="486" t="s">
        <v>423</v>
      </c>
      <c r="D16" s="358" t="str">
        <f>'L2 - Planning'!D10</f>
        <v>Are the processes for in-house logistics, including packaging and container management, defined in planning, and are they continuously adjusted? (2.2.5)</v>
      </c>
      <c r="E16" s="357"/>
      <c r="F16" s="357"/>
      <c r="G16" s="360"/>
      <c r="H16" s="339"/>
      <c r="I16" s="90"/>
      <c r="K16" s="473"/>
      <c r="L16" s="473"/>
      <c r="M16" s="473"/>
      <c r="N16" s="473"/>
      <c r="O16" s="473"/>
      <c r="P16" s="473"/>
      <c r="Q16" s="473"/>
    </row>
    <row r="17" spans="1:17" ht="21" hidden="1" customHeight="1" outlineLevel="1">
      <c r="A17" s="204"/>
      <c r="B17" s="467"/>
      <c r="C17" s="486"/>
      <c r="D17" s="361" t="s">
        <v>724</v>
      </c>
      <c r="E17" s="359" t="str">
        <f>'L2 - Planning'!F11</f>
        <v>n.e.</v>
      </c>
      <c r="F17" s="359"/>
      <c r="G17" s="344"/>
      <c r="H17" s="339"/>
      <c r="I17" s="90"/>
      <c r="K17" s="473"/>
      <c r="L17" s="473"/>
      <c r="M17" s="473"/>
      <c r="N17" s="473"/>
      <c r="O17" s="473"/>
      <c r="P17" s="473"/>
      <c r="Q17" s="473"/>
    </row>
    <row r="18" spans="1:17" ht="16.25" hidden="1" customHeight="1" outlineLevel="1">
      <c r="A18" s="204"/>
      <c r="B18" s="467"/>
      <c r="C18" s="486"/>
      <c r="D18" s="361" t="s">
        <v>725</v>
      </c>
      <c r="E18" s="359" t="str">
        <f>'L2 - Planning'!F14</f>
        <v>n.e.</v>
      </c>
      <c r="F18" s="359"/>
      <c r="G18" s="344"/>
      <c r="H18" s="339"/>
      <c r="I18" s="90"/>
      <c r="K18" s="473"/>
      <c r="L18" s="473"/>
      <c r="M18" s="473"/>
      <c r="N18" s="473"/>
      <c r="O18" s="473"/>
      <c r="P18" s="473"/>
      <c r="Q18" s="473"/>
    </row>
    <row r="19" spans="1:17" ht="18" hidden="1" customHeight="1" outlineLevel="1">
      <c r="A19" s="204"/>
      <c r="B19" s="340" t="s">
        <v>435</v>
      </c>
      <c r="C19" s="341" t="s">
        <v>423</v>
      </c>
      <c r="D19" s="358" t="str">
        <f>'L2 - Planning'!D16</f>
        <v>Are the necessary human resources available? (2.3.4)</v>
      </c>
      <c r="E19" s="359" t="str">
        <f>'L2 - Planning'!F17</f>
        <v>n.e.</v>
      </c>
      <c r="F19" s="359"/>
      <c r="G19" s="344"/>
      <c r="H19" s="339"/>
      <c r="I19" s="90"/>
      <c r="K19" s="473"/>
      <c r="L19" s="473"/>
      <c r="M19" s="473"/>
      <c r="N19" s="473"/>
      <c r="O19" s="473"/>
      <c r="P19" s="473"/>
      <c r="Q19" s="473"/>
    </row>
    <row r="20" spans="1:17" ht="39.75" hidden="1" customHeight="1" outlineLevel="1">
      <c r="A20" s="204"/>
      <c r="B20" s="351" t="s">
        <v>436</v>
      </c>
      <c r="C20" s="352" t="s">
        <v>423</v>
      </c>
      <c r="D20" s="362" t="str">
        <f>'L2 - Planning'!D19</f>
        <v>Are all processes from the process flow effectively/efficiently implemented, reviewed and communicated and available as results? (2.6.1)</v>
      </c>
      <c r="E20" s="363" t="str">
        <f>'L2 - Planning'!F20</f>
        <v>n.e.</v>
      </c>
      <c r="F20" s="363"/>
      <c r="G20" s="356"/>
      <c r="H20" s="339"/>
      <c r="I20" s="90"/>
      <c r="K20" s="473"/>
      <c r="L20" s="473"/>
      <c r="M20" s="473"/>
      <c r="N20" s="473"/>
      <c r="O20" s="473"/>
      <c r="P20" s="473"/>
      <c r="Q20" s="473"/>
    </row>
    <row r="21" spans="1:17" ht="26" customHeight="1" collapsed="1">
      <c r="A21" s="204"/>
      <c r="B21" s="334">
        <v>3</v>
      </c>
      <c r="C21" s="335"/>
      <c r="D21" s="364" t="s">
        <v>437</v>
      </c>
      <c r="E21" s="357">
        <f>SUM(E22:E28)</f>
        <v>0</v>
      </c>
      <c r="F21" s="357">
        <f>'L3 - Suppliermgt.'!D28*10</f>
        <v>0</v>
      </c>
      <c r="G21" s="338" t="str">
        <f>'L3 - Suppliermgt.'!F28</f>
        <v>n.e.</v>
      </c>
      <c r="H21" s="339"/>
      <c r="I21" s="90"/>
      <c r="K21" s="473"/>
      <c r="L21" s="473"/>
      <c r="M21" s="473"/>
      <c r="N21" s="473"/>
      <c r="O21" s="473"/>
      <c r="P21" s="473"/>
      <c r="Q21" s="473"/>
    </row>
    <row r="22" spans="1:17" ht="39.75" hidden="1" customHeight="1" outlineLevel="1">
      <c r="A22" s="204"/>
      <c r="B22" s="340" t="s">
        <v>438</v>
      </c>
      <c r="C22" s="247" t="s">
        <v>423</v>
      </c>
      <c r="D22" s="365" t="str">
        <f>'L3 - Suppliermgt.'!D7</f>
        <v>Has a process been defined which ensures that only approved and quality-capable suppliers and service providers are used? (3.2.1)</v>
      </c>
      <c r="E22" s="359" t="str">
        <f>'L3 - Suppliermgt.'!F8</f>
        <v>n.e.</v>
      </c>
      <c r="F22" s="359"/>
      <c r="G22" s="366"/>
      <c r="H22" s="339"/>
      <c r="I22" s="90"/>
      <c r="K22" s="473"/>
      <c r="L22" s="473"/>
      <c r="M22" s="473"/>
      <c r="N22" s="473"/>
      <c r="O22" s="473"/>
      <c r="P22" s="473"/>
      <c r="Q22" s="473"/>
    </row>
    <row r="23" spans="1:17" ht="39.75" hidden="1" customHeight="1" outlineLevel="1">
      <c r="A23" s="204"/>
      <c r="B23" s="340" t="s">
        <v>439</v>
      </c>
      <c r="C23" s="247" t="s">
        <v>423</v>
      </c>
      <c r="D23" s="365" t="str">
        <f>'L3 - Suppliermgt.'!D10</f>
        <v>Is there a supplier and/or service contract, and are all binding obligations analyzed, taken into account and observed? (3.2.2)</v>
      </c>
      <c r="E23" s="359" t="str">
        <f>'L3 - Suppliermgt.'!F11</f>
        <v>n.e.</v>
      </c>
      <c r="F23" s="359"/>
      <c r="G23" s="366"/>
      <c r="H23" s="339"/>
      <c r="I23" s="90"/>
      <c r="K23" s="473"/>
      <c r="L23" s="473"/>
      <c r="M23" s="473"/>
      <c r="N23" s="473"/>
      <c r="O23" s="473"/>
      <c r="P23" s="473"/>
      <c r="Q23" s="473"/>
    </row>
    <row r="24" spans="1:17" ht="39.75" hidden="1" customHeight="1" outlineLevel="1">
      <c r="A24" s="204"/>
      <c r="B24" s="340" t="s">
        <v>440</v>
      </c>
      <c r="C24" s="247"/>
      <c r="D24" s="365" t="str">
        <f>'L3 - Suppliermgt.'!D13</f>
        <v>Has an emergency management plan been agreed with the supplier and/or the logistical service providers, and is it effectively implemented? (3.2.3)</v>
      </c>
      <c r="E24" s="359" t="str">
        <f>'L3 - Suppliermgt.'!F14</f>
        <v>n.e.</v>
      </c>
      <c r="F24" s="359"/>
      <c r="G24" s="366"/>
      <c r="H24" s="339"/>
      <c r="I24" s="90"/>
      <c r="K24" s="473"/>
      <c r="L24" s="473"/>
      <c r="M24" s="473"/>
      <c r="N24" s="473"/>
      <c r="O24" s="473"/>
      <c r="P24" s="473"/>
      <c r="Q24" s="473"/>
    </row>
    <row r="25" spans="1:17" ht="26.5" hidden="1" customHeight="1" outlineLevel="1">
      <c r="A25" s="204"/>
      <c r="B25" s="340" t="s">
        <v>441</v>
      </c>
      <c r="C25" s="247"/>
      <c r="D25" s="365" t="str">
        <f>'L3 - Suppliermgt.'!D16</f>
        <v>Is there a complaint process which has been coordinated with the supplier and/or the logistical service provider? (3.2.4)</v>
      </c>
      <c r="E25" s="359" t="str">
        <f>'L3 - Suppliermgt.'!F17</f>
        <v>n.e.</v>
      </c>
      <c r="F25" s="359"/>
      <c r="G25" s="366"/>
      <c r="H25" s="339"/>
      <c r="I25" s="90"/>
      <c r="K25" s="473"/>
      <c r="L25" s="473"/>
      <c r="M25" s="473"/>
      <c r="N25" s="473"/>
      <c r="O25" s="473"/>
      <c r="P25" s="473"/>
      <c r="Q25" s="473"/>
    </row>
    <row r="26" spans="1:17" ht="39.75" hidden="1" customHeight="1" outlineLevel="1">
      <c r="A26" s="204"/>
      <c r="B26" s="340" t="s">
        <v>442</v>
      </c>
      <c r="C26" s="247"/>
      <c r="D26" s="365" t="str">
        <f>'L3 - Suppliermgt.'!D19</f>
        <v>Has standardized communication been established between the organization and the supplier and/or service provider? (3.2.6)</v>
      </c>
      <c r="E26" s="359" t="str">
        <f>'L3 - Suppliermgt.'!F20</f>
        <v>n.e.</v>
      </c>
      <c r="F26" s="359"/>
      <c r="G26" s="366"/>
      <c r="H26" s="339"/>
      <c r="I26" s="90"/>
      <c r="K26" s="473"/>
      <c r="L26" s="473"/>
      <c r="M26" s="473"/>
      <c r="N26" s="473"/>
      <c r="O26" s="473"/>
      <c r="P26" s="473"/>
      <c r="Q26" s="473"/>
    </row>
    <row r="27" spans="1:17" ht="18" hidden="1" customHeight="1" outlineLevel="1">
      <c r="A27" s="204"/>
      <c r="B27" s="340" t="s">
        <v>443</v>
      </c>
      <c r="C27" s="247" t="s">
        <v>423</v>
      </c>
      <c r="D27" s="365" t="str">
        <f>'L3 - Suppliermgt.'!D22</f>
        <v>Is there a suitable pervasive IT infrastructure? (3.4.2)</v>
      </c>
      <c r="E27" s="359" t="str">
        <f>'L3 - Suppliermgt.'!F23</f>
        <v>n.e.</v>
      </c>
      <c r="F27" s="359"/>
      <c r="G27" s="366"/>
      <c r="H27" s="339"/>
      <c r="I27" s="90"/>
      <c r="K27" s="473"/>
      <c r="L27" s="473"/>
      <c r="M27" s="473"/>
      <c r="N27" s="473"/>
      <c r="O27" s="473"/>
      <c r="P27" s="473"/>
      <c r="Q27" s="473"/>
    </row>
    <row r="28" spans="1:17" ht="39.75" hidden="1" customHeight="1" outlineLevel="1">
      <c r="A28" s="204"/>
      <c r="B28" s="340" t="s">
        <v>444</v>
      </c>
      <c r="C28" s="247" t="s">
        <v>423</v>
      </c>
      <c r="D28" s="365" t="str">
        <f>'L3 - Suppliermgt.'!D25</f>
        <v>Are suitable KPIs available in the supplier and service provider management, incl. realistic target values? (3.5.1)</v>
      </c>
      <c r="E28" s="359" t="str">
        <f>'L3 - Suppliermgt.'!F26</f>
        <v>n.e.</v>
      </c>
      <c r="F28" s="359"/>
      <c r="G28" s="366"/>
      <c r="H28" s="339"/>
      <c r="I28" s="90"/>
      <c r="K28" s="473"/>
      <c r="L28" s="473"/>
      <c r="M28" s="473"/>
      <c r="N28" s="473"/>
      <c r="O28" s="473"/>
      <c r="P28" s="473"/>
      <c r="Q28" s="473"/>
    </row>
    <row r="29" spans="1:17" ht="26" customHeight="1" collapsed="1">
      <c r="A29" s="204"/>
      <c r="B29" s="334">
        <v>4</v>
      </c>
      <c r="C29" s="335"/>
      <c r="D29" s="367" t="s">
        <v>445</v>
      </c>
      <c r="E29" s="357">
        <f>SUM(E30:E38)</f>
        <v>0</v>
      </c>
      <c r="F29" s="357">
        <f>'L4 - Procurement logistics'!D34*10</f>
        <v>0</v>
      </c>
      <c r="G29" s="338" t="str">
        <f>'L4 - Procurement logistics'!F34</f>
        <v>n.e.</v>
      </c>
      <c r="H29" s="339"/>
      <c r="I29" s="90"/>
      <c r="K29" s="473"/>
      <c r="L29" s="473"/>
      <c r="M29" s="473"/>
      <c r="N29" s="473"/>
      <c r="O29" s="473"/>
      <c r="P29" s="473"/>
      <c r="Q29" s="473"/>
    </row>
    <row r="30" spans="1:17" ht="26.5" hidden="1" customHeight="1" outlineLevel="1">
      <c r="A30" s="204"/>
      <c r="B30" s="340" t="s">
        <v>446</v>
      </c>
      <c r="C30" s="247"/>
      <c r="D30" s="365" t="str">
        <f>'L4 - Procurement logistics'!D7</f>
        <v>Is the planned production volume integrated into material requirements planning?(4.1.4)</v>
      </c>
      <c r="E30" s="359" t="str">
        <f>'L4 - Procurement logistics'!F8</f>
        <v>n.e.</v>
      </c>
      <c r="F30" s="359"/>
      <c r="G30" s="366"/>
      <c r="H30" s="339"/>
      <c r="I30" s="90"/>
      <c r="K30" s="473"/>
      <c r="L30" s="473"/>
      <c r="M30" s="473"/>
      <c r="N30" s="473"/>
      <c r="O30" s="473"/>
      <c r="P30" s="473"/>
      <c r="Q30" s="473"/>
    </row>
    <row r="31" spans="1:17" ht="26.5" hidden="1" customHeight="1" outlineLevel="1">
      <c r="A31" s="204"/>
      <c r="B31" s="340" t="s">
        <v>447</v>
      </c>
      <c r="C31" s="247" t="s">
        <v>423</v>
      </c>
      <c r="D31" s="365" t="str">
        <f>'L4 - Procurement logistics'!D10</f>
        <v>Have processes been established for ensuring that materials are supplied in accordance with demand? (4.2.1)</v>
      </c>
      <c r="E31" s="359" t="str">
        <f>'L4 - Procurement logistics'!F11</f>
        <v>n.e.</v>
      </c>
      <c r="F31" s="359"/>
      <c r="G31" s="366"/>
      <c r="H31" s="339"/>
      <c r="I31" s="90"/>
      <c r="K31" s="473"/>
      <c r="L31" s="473"/>
      <c r="M31" s="473"/>
      <c r="N31" s="473"/>
      <c r="O31" s="473"/>
      <c r="P31" s="473"/>
      <c r="Q31" s="473"/>
    </row>
    <row r="32" spans="1:17" ht="26.5" hidden="1" customHeight="1" outlineLevel="1">
      <c r="A32" s="204"/>
      <c r="B32" s="340" t="s">
        <v>448</v>
      </c>
      <c r="C32" s="247"/>
      <c r="D32" s="365" t="str">
        <f>'L4 - Procurement logistics'!D13</f>
        <v>Has a container management system been established in accordance with demand and capacity? (4.2.2)</v>
      </c>
      <c r="E32" s="359" t="str">
        <f>'L4 - Procurement logistics'!F14</f>
        <v>n.e.</v>
      </c>
      <c r="F32" s="359"/>
      <c r="G32" s="366"/>
      <c r="H32" s="339"/>
      <c r="I32" s="90"/>
      <c r="K32" s="473"/>
      <c r="L32" s="473"/>
      <c r="M32" s="473"/>
      <c r="N32" s="473"/>
      <c r="O32" s="473"/>
      <c r="P32" s="473"/>
      <c r="Q32" s="473"/>
    </row>
    <row r="33" spans="1:17" ht="26.5" hidden="1" customHeight="1" outlineLevel="1">
      <c r="A33" s="204"/>
      <c r="B33" s="340" t="s">
        <v>449</v>
      </c>
      <c r="C33" s="247" t="s">
        <v>423</v>
      </c>
      <c r="D33" s="365" t="str">
        <f>'L4 - Procurement logistics'!D16</f>
        <v>Have processes and concepts (inventory types) been defined for systematic inventory audits and analyses? (4.2.3)</v>
      </c>
      <c r="E33" s="359" t="str">
        <f>'L4 - Procurement logistics'!F17</f>
        <v>n.e.</v>
      </c>
      <c r="F33" s="359"/>
      <c r="G33" s="366"/>
      <c r="H33" s="339"/>
      <c r="I33" s="90"/>
      <c r="K33" s="473"/>
      <c r="L33" s="473"/>
      <c r="M33" s="473"/>
      <c r="N33" s="473"/>
      <c r="O33" s="473"/>
      <c r="P33" s="473"/>
      <c r="Q33" s="473"/>
    </row>
    <row r="34" spans="1:17" ht="26.5" hidden="1" customHeight="1" outlineLevel="1">
      <c r="A34" s="204"/>
      <c r="B34" s="340" t="s">
        <v>450</v>
      </c>
      <c r="C34" s="247"/>
      <c r="D34" s="365" t="str">
        <f>'L4 - Procurement logistics'!D19</f>
        <v>Has an escalation process, including coordinated communication, been established, and is it effectively implemented? (4.2.4)</v>
      </c>
      <c r="E34" s="359" t="str">
        <f>'L4 - Procurement logistics'!F20</f>
        <v>n.e.</v>
      </c>
      <c r="F34" s="359"/>
      <c r="G34" s="366"/>
      <c r="H34" s="339"/>
      <c r="I34" s="90"/>
      <c r="K34" s="473"/>
      <c r="L34" s="473"/>
      <c r="M34" s="473"/>
      <c r="N34" s="473"/>
      <c r="O34" s="473"/>
      <c r="P34" s="473"/>
      <c r="Q34" s="473"/>
    </row>
    <row r="35" spans="1:17" ht="18" hidden="1" customHeight="1" outlineLevel="1">
      <c r="A35" s="204"/>
      <c r="B35" s="340" t="s">
        <v>451</v>
      </c>
      <c r="C35" s="247" t="s">
        <v>423</v>
      </c>
      <c r="D35" s="365" t="str">
        <f>'L4 - Procurement logistics'!D22</f>
        <v>Does production planning and control take place? (4.2.5)</v>
      </c>
      <c r="E35" s="359" t="str">
        <f>'L4 - Procurement logistics'!F23</f>
        <v>n.e.</v>
      </c>
      <c r="F35" s="359"/>
      <c r="G35" s="366"/>
      <c r="H35" s="339"/>
      <c r="I35" s="90"/>
      <c r="K35" s="473"/>
      <c r="L35" s="473"/>
      <c r="M35" s="473"/>
      <c r="N35" s="473"/>
      <c r="O35" s="473"/>
      <c r="P35" s="473"/>
      <c r="Q35" s="473"/>
    </row>
    <row r="36" spans="1:17" ht="18" hidden="1" customHeight="1" outlineLevel="1">
      <c r="A36" s="204"/>
      <c r="B36" s="340" t="s">
        <v>452</v>
      </c>
      <c r="C36" s="247" t="s">
        <v>423</v>
      </c>
      <c r="D36" s="365" t="str">
        <f>'L4 - Procurement logistics'!D25</f>
        <v xml:space="preserve"> Is there a suitable pervasive IT infrastructure? (4.4.2)</v>
      </c>
      <c r="E36" s="359" t="str">
        <f>'L4 - Procurement logistics'!F26</f>
        <v>n.e.</v>
      </c>
      <c r="F36" s="359"/>
      <c r="G36" s="366"/>
      <c r="H36" s="339"/>
      <c r="I36" s="90"/>
      <c r="K36" s="473"/>
      <c r="L36" s="473"/>
      <c r="M36" s="473"/>
      <c r="N36" s="473"/>
      <c r="O36" s="473"/>
      <c r="P36" s="473"/>
      <c r="Q36" s="473"/>
    </row>
    <row r="37" spans="1:17" ht="26.5" hidden="1" customHeight="1" outlineLevel="1">
      <c r="A37" s="204"/>
      <c r="B37" s="340" t="s">
        <v>453</v>
      </c>
      <c r="C37" s="247"/>
      <c r="D37" s="365" t="str">
        <f>'L4 - Procurement logistics'!D28</f>
        <v>Is the availability and corresponding use of the delivery schedule ensured with an EDI standard? (4.4.4)</v>
      </c>
      <c r="E37" s="359" t="str">
        <f>'L4 - Procurement logistics'!F29</f>
        <v>n.e.</v>
      </c>
      <c r="F37" s="359"/>
      <c r="G37" s="366"/>
      <c r="H37" s="339"/>
      <c r="I37" s="90"/>
      <c r="K37" s="473"/>
      <c r="L37" s="473"/>
      <c r="M37" s="473"/>
      <c r="N37" s="473"/>
      <c r="O37" s="473"/>
      <c r="P37" s="473"/>
      <c r="Q37" s="473"/>
    </row>
    <row r="38" spans="1:17" ht="26.5" hidden="1" customHeight="1" outlineLevel="1">
      <c r="A38" s="204"/>
      <c r="B38" s="340" t="s">
        <v>454</v>
      </c>
      <c r="C38" s="247" t="s">
        <v>423</v>
      </c>
      <c r="D38" s="365" t="str">
        <f>'L4 - Procurement logistics'!D31</f>
        <v>Are suitable KPIs available in procurement logistics, incl. realistic target values?  (4.5.1)</v>
      </c>
      <c r="E38" s="359" t="str">
        <f>'L4 - Procurement logistics'!F32</f>
        <v>n.e.</v>
      </c>
      <c r="F38" s="359"/>
      <c r="G38" s="366"/>
      <c r="H38" s="339"/>
      <c r="I38" s="90"/>
      <c r="K38" s="473"/>
      <c r="L38" s="473"/>
      <c r="M38" s="473"/>
      <c r="N38" s="473"/>
      <c r="O38" s="473"/>
      <c r="P38" s="473"/>
      <c r="Q38" s="473"/>
    </row>
    <row r="39" spans="1:17" ht="26" customHeight="1" collapsed="1">
      <c r="A39" s="204"/>
      <c r="B39" s="334">
        <v>5</v>
      </c>
      <c r="C39" s="335"/>
      <c r="D39" s="368" t="s">
        <v>455</v>
      </c>
      <c r="E39" s="357">
        <f>SUM(E40:E45)</f>
        <v>0</v>
      </c>
      <c r="F39" s="357">
        <f>'L5 - Transport logistics'!D22*10</f>
        <v>0</v>
      </c>
      <c r="G39" s="338" t="str">
        <f>'L5 - Transport logistics'!F22</f>
        <v>n.e.</v>
      </c>
      <c r="H39" s="369"/>
      <c r="I39" s="91"/>
      <c r="K39" s="473"/>
      <c r="L39" s="473"/>
      <c r="M39" s="473"/>
      <c r="N39" s="473"/>
      <c r="O39" s="473"/>
      <c r="P39" s="473"/>
      <c r="Q39" s="473"/>
    </row>
    <row r="40" spans="1:17" ht="23.5" hidden="1" customHeight="1" outlineLevel="1">
      <c r="A40" s="204"/>
      <c r="B40" s="467" t="s">
        <v>456</v>
      </c>
      <c r="C40" s="247"/>
      <c r="D40" s="365" t="str">
        <f>'L5 - Transport logistics'!D7</f>
        <v>Is the output of the upstream process integrated into transport logistics? (5.1.1)</v>
      </c>
      <c r="E40" s="357"/>
      <c r="F40" s="357"/>
      <c r="G40" s="370"/>
      <c r="H40" s="339"/>
      <c r="I40" s="90"/>
      <c r="K40" s="473"/>
      <c r="L40" s="473"/>
      <c r="M40" s="473"/>
      <c r="N40" s="473"/>
      <c r="O40" s="473"/>
      <c r="P40" s="473"/>
      <c r="Q40" s="473"/>
    </row>
    <row r="41" spans="1:17" ht="21" hidden="1" customHeight="1" outlineLevel="1">
      <c r="A41" s="204"/>
      <c r="B41" s="467"/>
      <c r="C41" s="247"/>
      <c r="D41" s="371" t="s">
        <v>726</v>
      </c>
      <c r="E41" s="359" t="str">
        <f>'L5 - Transport logistics'!F8</f>
        <v>n.e.</v>
      </c>
      <c r="F41" s="359"/>
      <c r="G41" s="366"/>
      <c r="H41" s="339"/>
      <c r="I41" s="90"/>
      <c r="K41" s="473"/>
      <c r="L41" s="473"/>
      <c r="M41" s="473"/>
      <c r="N41" s="473"/>
      <c r="O41" s="473"/>
      <c r="P41" s="473"/>
      <c r="Q41" s="473"/>
    </row>
    <row r="42" spans="1:17" ht="19.25" hidden="1" customHeight="1" outlineLevel="1">
      <c r="A42" s="204"/>
      <c r="B42" s="467"/>
      <c r="C42" s="247"/>
      <c r="D42" s="371" t="s">
        <v>963</v>
      </c>
      <c r="E42" s="359" t="str">
        <f>'L5 - Transport logistics'!F11</f>
        <v>n.e.</v>
      </c>
      <c r="F42" s="359"/>
      <c r="G42" s="366"/>
      <c r="H42" s="339"/>
      <c r="I42" s="90"/>
      <c r="K42" s="473"/>
      <c r="L42" s="473"/>
      <c r="M42" s="473"/>
      <c r="N42" s="473"/>
      <c r="O42" s="473"/>
      <c r="P42" s="473"/>
      <c r="Q42" s="473"/>
    </row>
    <row r="43" spans="1:17" ht="26.5" hidden="1" customHeight="1" outlineLevel="1">
      <c r="A43" s="204"/>
      <c r="B43" s="340" t="s">
        <v>457</v>
      </c>
      <c r="C43" s="247" t="s">
        <v>423</v>
      </c>
      <c r="D43" s="365" t="str">
        <f>'L5 - Transport logistics'!D13</f>
        <v>Is the cargo handled according to the requirements for transport? (5.2.1)</v>
      </c>
      <c r="E43" s="359" t="str">
        <f>'L5 - Transport logistics'!F14</f>
        <v>n.e.</v>
      </c>
      <c r="F43" s="359"/>
      <c r="G43" s="366"/>
      <c r="H43" s="339"/>
      <c r="I43" s="90"/>
      <c r="K43" s="473"/>
      <c r="L43" s="473"/>
      <c r="M43" s="473"/>
      <c r="N43" s="473"/>
      <c r="O43" s="473"/>
      <c r="P43" s="473"/>
      <c r="Q43" s="473"/>
    </row>
    <row r="44" spans="1:17" ht="26.5" hidden="1" customHeight="1" outlineLevel="1">
      <c r="A44" s="204"/>
      <c r="B44" s="340" t="s">
        <v>458</v>
      </c>
      <c r="C44" s="247" t="s">
        <v>423</v>
      </c>
      <c r="D44" s="372" t="str">
        <f>'L5 - Transport logistics'!D16</f>
        <v>Are all relevant specifications for carrying out transports fully documented and included in instructions? (5.2.4)</v>
      </c>
      <c r="E44" s="373" t="str">
        <f>'L5 - Transport logistics'!F17</f>
        <v>n.e.</v>
      </c>
      <c r="F44" s="373"/>
      <c r="G44" s="374"/>
      <c r="H44" s="339"/>
      <c r="I44" s="90"/>
      <c r="K44" s="473"/>
      <c r="L44" s="473"/>
      <c r="M44" s="473"/>
      <c r="N44" s="473"/>
      <c r="O44" s="473"/>
      <c r="P44" s="473"/>
      <c r="Q44" s="473"/>
    </row>
    <row r="45" spans="1:17" ht="26.5" hidden="1" customHeight="1" outlineLevel="1">
      <c r="A45" s="204"/>
      <c r="B45" s="351" t="s">
        <v>704</v>
      </c>
      <c r="C45" s="375" t="s">
        <v>423</v>
      </c>
      <c r="D45" s="376" t="str">
        <f>'L5 - Transport logistics'!D19</f>
        <v>Is there a suitable comprehensive emergency solution strategy? (5.4.1)</v>
      </c>
      <c r="E45" s="363" t="str">
        <f>'L5 - Transport logistics'!F20</f>
        <v>n.e.</v>
      </c>
      <c r="F45" s="363"/>
      <c r="G45" s="356"/>
      <c r="H45" s="339"/>
      <c r="I45" s="90"/>
      <c r="K45" s="473"/>
      <c r="L45" s="473"/>
      <c r="M45" s="473"/>
      <c r="N45" s="473"/>
      <c r="O45" s="473"/>
      <c r="P45" s="473"/>
      <c r="Q45" s="473"/>
    </row>
    <row r="46" spans="1:17" ht="26" customHeight="1" collapsed="1">
      <c r="A46" s="204"/>
      <c r="B46" s="334">
        <v>6</v>
      </c>
      <c r="C46" s="335"/>
      <c r="D46" s="336" t="s">
        <v>459</v>
      </c>
      <c r="E46" s="357">
        <f>SUM(E47:E66)</f>
        <v>0</v>
      </c>
      <c r="F46" s="357">
        <f>'L6 -  In-house logistics'!D64*10</f>
        <v>0</v>
      </c>
      <c r="G46" s="338" t="str">
        <f>'L6 -  In-house logistics'!F64</f>
        <v>n.e.</v>
      </c>
      <c r="H46" s="339"/>
      <c r="I46" s="90"/>
      <c r="K46" s="473"/>
      <c r="L46" s="473"/>
      <c r="M46" s="473"/>
      <c r="N46" s="473"/>
      <c r="O46" s="473"/>
      <c r="P46" s="473"/>
      <c r="Q46" s="473"/>
    </row>
    <row r="47" spans="1:17" ht="26.5" hidden="1" customHeight="1" outlineLevel="1">
      <c r="A47" s="204"/>
      <c r="B47" s="340" t="s">
        <v>460</v>
      </c>
      <c r="C47" s="247" t="s">
        <v>423</v>
      </c>
      <c r="D47" s="365" t="str">
        <f>'L6 -  In-house logistics'!D7</f>
        <v>Is the right order data prepared and processed in in-house logistics? (6.1.3)</v>
      </c>
      <c r="E47" s="359" t="str">
        <f>'L6 -  In-house logistics'!F8</f>
        <v>n.e.</v>
      </c>
      <c r="F47" s="359"/>
      <c r="G47" s="366"/>
      <c r="H47" s="339"/>
      <c r="I47" s="90"/>
      <c r="K47" s="473"/>
      <c r="L47" s="473"/>
      <c r="M47" s="473"/>
      <c r="N47" s="473"/>
      <c r="O47" s="473"/>
      <c r="P47" s="473"/>
      <c r="Q47" s="473"/>
    </row>
    <row r="48" spans="1:17" ht="26.5" hidden="1" customHeight="1" outlineLevel="1">
      <c r="A48" s="204"/>
      <c r="B48" s="340" t="s">
        <v>461</v>
      </c>
      <c r="C48" s="247" t="s">
        <v>423</v>
      </c>
      <c r="D48" s="365" t="str">
        <f>'L6 -  In-house logistics'!D10</f>
        <v>Are all relevant specifications for providing logistical services recorded and included in instructions? (6.2.1)</v>
      </c>
      <c r="E48" s="359" t="str">
        <f>'L6 -  In-house logistics'!F11</f>
        <v>n.e.</v>
      </c>
      <c r="F48" s="359"/>
      <c r="G48" s="366"/>
      <c r="H48" s="339"/>
      <c r="I48" s="90"/>
      <c r="K48" s="473"/>
      <c r="L48" s="473"/>
      <c r="M48" s="473"/>
      <c r="N48" s="473"/>
      <c r="O48" s="473"/>
      <c r="P48" s="473"/>
      <c r="Q48" s="473"/>
    </row>
    <row r="49" spans="1:17" ht="26.5" hidden="1" customHeight="1" outlineLevel="1">
      <c r="A49" s="204"/>
      <c r="B49" s="340" t="s">
        <v>462</v>
      </c>
      <c r="C49" s="247" t="s">
        <v>423</v>
      </c>
      <c r="D49" s="365" t="str">
        <f>'L6 -  In-house logistics'!D13</f>
        <v>Do the defined instructions contain the necessary checks? (6.2.3)</v>
      </c>
      <c r="E49" s="359" t="str">
        <f>'L6 -  In-house logistics'!F14</f>
        <v>n.e.</v>
      </c>
      <c r="F49" s="359"/>
      <c r="G49" s="366"/>
      <c r="H49" s="339"/>
      <c r="I49" s="90"/>
      <c r="K49" s="473"/>
      <c r="L49" s="473"/>
      <c r="M49" s="473"/>
      <c r="N49" s="473"/>
      <c r="O49" s="473"/>
      <c r="P49" s="473"/>
      <c r="Q49" s="473"/>
    </row>
    <row r="50" spans="1:17" ht="39.75" hidden="1" customHeight="1" outlineLevel="1">
      <c r="A50" s="204"/>
      <c r="B50" s="340" t="s">
        <v>463</v>
      </c>
      <c r="C50" s="247" t="s">
        <v>423</v>
      </c>
      <c r="D50" s="365" t="str">
        <f>'L6 -  In-house logistics'!D16</f>
        <v>Are potentially faulty and/or faulty goods or logistical processes identified and measures taken? (6.2.4)</v>
      </c>
      <c r="E50" s="359" t="str">
        <f>'L6 -  In-house logistics'!F17</f>
        <v>n.e.</v>
      </c>
      <c r="F50" s="359"/>
      <c r="G50" s="366"/>
      <c r="H50" s="339"/>
      <c r="I50" s="90"/>
      <c r="K50" s="473"/>
      <c r="L50" s="473"/>
      <c r="M50" s="473"/>
      <c r="N50" s="473"/>
      <c r="O50" s="473"/>
      <c r="P50" s="473"/>
      <c r="Q50" s="473"/>
    </row>
    <row r="51" spans="1:17" ht="39.75" hidden="1" customHeight="1" outlineLevel="1">
      <c r="A51" s="204"/>
      <c r="B51" s="340" t="s">
        <v>464</v>
      </c>
      <c r="C51" s="247"/>
      <c r="D51" s="365" t="str">
        <f>'L6 -  In-house logistics'!D19</f>
        <v>Is the flow of materials and parts secured against mixing/wrong items? (6.2.5)</v>
      </c>
      <c r="E51" s="359" t="str">
        <f>'L6 -  In-house logistics'!F20</f>
        <v>n.e.</v>
      </c>
      <c r="F51" s="359"/>
      <c r="G51" s="366"/>
      <c r="H51" s="339"/>
      <c r="I51" s="90"/>
      <c r="K51" s="473"/>
      <c r="L51" s="473"/>
      <c r="M51" s="473"/>
      <c r="N51" s="473"/>
      <c r="O51" s="473"/>
      <c r="P51" s="473"/>
      <c r="Q51" s="473"/>
    </row>
    <row r="52" spans="1:17" ht="26.5" hidden="1" customHeight="1" outlineLevel="1">
      <c r="A52" s="204"/>
      <c r="B52" s="467" t="s">
        <v>465</v>
      </c>
      <c r="C52" s="468" t="s">
        <v>423</v>
      </c>
      <c r="D52" s="365" t="str">
        <f>'L6 -  In-house logistics'!D22</f>
        <v>Have processes been established for controlling and monitoring the material flow? (6.2.6)</v>
      </c>
      <c r="E52" s="357"/>
      <c r="F52" s="357"/>
      <c r="G52" s="370"/>
      <c r="H52" s="339"/>
      <c r="I52" s="90"/>
      <c r="K52" s="473"/>
      <c r="L52" s="473"/>
      <c r="M52" s="473"/>
      <c r="N52" s="473"/>
      <c r="O52" s="473"/>
      <c r="P52" s="473"/>
      <c r="Q52" s="473"/>
    </row>
    <row r="53" spans="1:17" ht="26.5" hidden="1" customHeight="1" outlineLevel="1">
      <c r="A53" s="204"/>
      <c r="B53" s="467"/>
      <c r="C53" s="468"/>
      <c r="D53" s="371" t="s">
        <v>727</v>
      </c>
      <c r="E53" s="359" t="str">
        <f>'L6 -  In-house logistics'!F23</f>
        <v>n.e.</v>
      </c>
      <c r="F53" s="359"/>
      <c r="G53" s="366"/>
      <c r="H53" s="339"/>
      <c r="I53" s="90"/>
      <c r="K53" s="473"/>
      <c r="L53" s="473"/>
      <c r="M53" s="473"/>
      <c r="N53" s="473"/>
      <c r="O53" s="473"/>
      <c r="P53" s="473"/>
      <c r="Q53" s="473"/>
    </row>
    <row r="54" spans="1:17" ht="26.5" hidden="1" customHeight="1" outlineLevel="1">
      <c r="A54" s="204"/>
      <c r="B54" s="467"/>
      <c r="C54" s="468"/>
      <c r="D54" s="371" t="s">
        <v>966</v>
      </c>
      <c r="E54" s="359" t="str">
        <f>'L6 -  In-house logistics'!F26</f>
        <v>n.e.</v>
      </c>
      <c r="F54" s="359"/>
      <c r="G54" s="366"/>
      <c r="H54" s="339"/>
      <c r="I54" s="90"/>
      <c r="K54" s="473"/>
      <c r="L54" s="473"/>
      <c r="M54" s="473"/>
      <c r="N54" s="473"/>
      <c r="O54" s="473"/>
      <c r="P54" s="473"/>
      <c r="Q54" s="473"/>
    </row>
    <row r="55" spans="1:17" ht="26.5" hidden="1" customHeight="1" outlineLevel="1">
      <c r="A55" s="204"/>
      <c r="B55" s="467"/>
      <c r="C55" s="468"/>
      <c r="D55" s="371" t="s">
        <v>728</v>
      </c>
      <c r="E55" s="359" t="str">
        <f>'L6 -  In-house logistics'!F29</f>
        <v>n.e.</v>
      </c>
      <c r="F55" s="359"/>
      <c r="G55" s="366"/>
      <c r="H55" s="339"/>
      <c r="I55" s="90"/>
      <c r="K55" s="473"/>
      <c r="L55" s="473"/>
      <c r="M55" s="473"/>
      <c r="N55" s="473"/>
      <c r="O55" s="473"/>
      <c r="P55" s="473"/>
      <c r="Q55" s="473"/>
    </row>
    <row r="56" spans="1:17" ht="26.5" hidden="1" customHeight="1" outlineLevel="1">
      <c r="A56" s="204"/>
      <c r="B56" s="340" t="s">
        <v>466</v>
      </c>
      <c r="C56" s="247"/>
      <c r="D56" s="365" t="str">
        <f>'L6 -  In-house logistics'!D31</f>
        <v>Have processes been established for controlling and monitoring the transport equipment (container)? (6.2.7)</v>
      </c>
      <c r="E56" s="359" t="str">
        <f>'L6 -  In-house logistics'!F32</f>
        <v>n.e.</v>
      </c>
      <c r="F56" s="359"/>
      <c r="G56" s="366"/>
      <c r="H56" s="339"/>
      <c r="I56" s="90"/>
      <c r="K56" s="473"/>
      <c r="L56" s="473"/>
      <c r="M56" s="473"/>
      <c r="N56" s="473"/>
      <c r="O56" s="473"/>
      <c r="P56" s="473"/>
      <c r="Q56" s="473"/>
    </row>
    <row r="57" spans="1:17" ht="39.75" hidden="1" customHeight="1" outlineLevel="1">
      <c r="A57" s="204"/>
      <c r="B57" s="340" t="s">
        <v>467</v>
      </c>
      <c r="C57" s="247"/>
      <c r="D57" s="365" t="str">
        <f>'L6 -  In-house logistics'!D34</f>
        <v>Has a process been defined for continuous warehouse optimization, and are suitable optimization measures implemented? (6.2.8)</v>
      </c>
      <c r="E57" s="359" t="str">
        <f>'L6 -  In-house logistics'!F35</f>
        <v>n.e.</v>
      </c>
      <c r="F57" s="359"/>
      <c r="G57" s="366"/>
      <c r="H57" s="339"/>
      <c r="I57" s="90"/>
      <c r="K57" s="473"/>
      <c r="L57" s="473"/>
      <c r="M57" s="473"/>
      <c r="N57" s="473"/>
      <c r="O57" s="473"/>
      <c r="P57" s="473"/>
      <c r="Q57" s="473"/>
    </row>
    <row r="58" spans="1:17" ht="39.75" hidden="1" customHeight="1" outlineLevel="1">
      <c r="A58" s="204"/>
      <c r="B58" s="340" t="s">
        <v>468</v>
      </c>
      <c r="C58" s="247" t="s">
        <v>423</v>
      </c>
      <c r="D58" s="365" t="str">
        <f>'L6 -  In-house logistics'!D37</f>
        <v>Are the materials stored/handled appropriately in order to preserve the product characteristics? (6.2.9)</v>
      </c>
      <c r="E58" s="359" t="str">
        <f>'L6 -  In-house logistics'!F38</f>
        <v>n.e.</v>
      </c>
      <c r="F58" s="359"/>
      <c r="G58" s="366"/>
      <c r="H58" s="339"/>
      <c r="I58" s="90"/>
      <c r="K58" s="473"/>
      <c r="L58" s="473"/>
      <c r="M58" s="473"/>
      <c r="N58" s="473"/>
      <c r="O58" s="473"/>
      <c r="P58" s="473"/>
      <c r="Q58" s="473"/>
    </row>
    <row r="59" spans="1:17" ht="26.5" hidden="1" customHeight="1" outlineLevel="1">
      <c r="A59" s="204"/>
      <c r="B59" s="340" t="s">
        <v>469</v>
      </c>
      <c r="C59" s="247" t="s">
        <v>423</v>
      </c>
      <c r="D59" s="365" t="str">
        <f>'L6 -  In-house logistics'!D40</f>
        <v>Are the capacities and flexibilities planned and defined in accordance with customer requirements? (6.2.10)</v>
      </c>
      <c r="E59" s="359" t="str">
        <f>'L6 -  In-house logistics'!F41</f>
        <v>n.e.</v>
      </c>
      <c r="F59" s="359"/>
      <c r="G59" s="366"/>
      <c r="H59" s="339"/>
      <c r="I59" s="90"/>
      <c r="K59" s="473"/>
      <c r="L59" s="473"/>
      <c r="M59" s="473"/>
      <c r="N59" s="473"/>
      <c r="O59" s="473"/>
      <c r="P59" s="473"/>
      <c r="Q59" s="473"/>
    </row>
    <row r="60" spans="1:17" ht="26.5" hidden="1" customHeight="1" outlineLevel="1">
      <c r="A60" s="204"/>
      <c r="B60" s="340" t="s">
        <v>470</v>
      </c>
      <c r="C60" s="247" t="s">
        <v>423</v>
      </c>
      <c r="D60" s="365" t="str">
        <f>'L6 -  In-house logistics'!D43</f>
        <v>Is there a suitable comprehensive emergency solution strategy? (6.4.1)</v>
      </c>
      <c r="E60" s="359" t="str">
        <f>'L6 -  In-house logistics'!F44</f>
        <v>n.e.</v>
      </c>
      <c r="F60" s="359"/>
      <c r="G60" s="366"/>
      <c r="H60" s="339"/>
      <c r="I60" s="90"/>
      <c r="K60" s="473"/>
      <c r="L60" s="473"/>
      <c r="M60" s="473"/>
      <c r="N60" s="473"/>
      <c r="O60" s="473"/>
      <c r="P60" s="473"/>
      <c r="Q60" s="473"/>
    </row>
    <row r="61" spans="1:17" ht="18" hidden="1" customHeight="1" outlineLevel="1">
      <c r="A61" s="204"/>
      <c r="B61" s="340" t="s">
        <v>471</v>
      </c>
      <c r="C61" s="247" t="s">
        <v>423</v>
      </c>
      <c r="D61" s="365" t="str">
        <f>'L6 -  In-house logistics'!D46</f>
        <v>Is there a suitable pervasive IT infrastructure? (6.4.2)</v>
      </c>
      <c r="E61" s="359" t="str">
        <f>'L6 -  In-house logistics'!F47</f>
        <v>n.e.</v>
      </c>
      <c r="F61" s="359"/>
      <c r="G61" s="366"/>
      <c r="H61" s="339"/>
      <c r="I61" s="90"/>
      <c r="K61" s="473"/>
      <c r="L61" s="473"/>
      <c r="M61" s="473"/>
      <c r="N61" s="473"/>
      <c r="O61" s="473"/>
      <c r="P61" s="473"/>
      <c r="Q61" s="473"/>
    </row>
    <row r="62" spans="1:17" ht="39.75" hidden="1" customHeight="1" outlineLevel="1">
      <c r="A62" s="204"/>
      <c r="B62" s="340" t="s">
        <v>472</v>
      </c>
      <c r="C62" s="247"/>
      <c r="D62" s="365" t="str">
        <f>'L6 -  In-house logistics'!D49</f>
        <v>Are the workstations set up in accordance with ergonomic, product-specific and safety principles? (6.4.3)</v>
      </c>
      <c r="E62" s="359" t="str">
        <f>'L6 -  In-house logistics'!F50</f>
        <v>n.e.</v>
      </c>
      <c r="F62" s="359"/>
      <c r="G62" s="366"/>
      <c r="H62" s="339"/>
      <c r="I62" s="90"/>
      <c r="K62" s="473"/>
      <c r="L62" s="473"/>
      <c r="M62" s="473"/>
      <c r="N62" s="473"/>
      <c r="O62" s="473"/>
      <c r="P62" s="473"/>
      <c r="Q62" s="473"/>
    </row>
    <row r="63" spans="1:17" ht="26.5" hidden="1" customHeight="1" outlineLevel="1">
      <c r="A63" s="204"/>
      <c r="B63" s="340" t="s">
        <v>473</v>
      </c>
      <c r="C63" s="247" t="s">
        <v>423</v>
      </c>
      <c r="D63" s="365" t="str">
        <f>'L6 -  In-house logistics'!D52</f>
        <v>Is the logistical infrastructure capable of meeting the product and process-specific requirements? (6.4.4)</v>
      </c>
      <c r="E63" s="359" t="str">
        <f>'L6 -  In-house logistics'!F53</f>
        <v>n.e.</v>
      </c>
      <c r="F63" s="359"/>
      <c r="G63" s="366"/>
      <c r="H63" s="339"/>
      <c r="I63" s="90"/>
      <c r="K63" s="473"/>
      <c r="L63" s="473"/>
      <c r="M63" s="473"/>
      <c r="N63" s="473"/>
      <c r="O63" s="473"/>
      <c r="P63" s="473"/>
      <c r="Q63" s="473"/>
    </row>
    <row r="64" spans="1:17" ht="26.5" hidden="1" customHeight="1" outlineLevel="1">
      <c r="A64" s="204"/>
      <c r="B64" s="340" t="s">
        <v>474</v>
      </c>
      <c r="C64" s="247"/>
      <c r="D64" s="365" t="str">
        <f>'L6 -  In-house logistics'!D55</f>
        <v>Is the equipment available at the right location and in the right time, quantity and quality? (6.4.5)</v>
      </c>
      <c r="E64" s="359" t="str">
        <f>'L6 -  In-house logistics'!F56</f>
        <v>n.e.</v>
      </c>
      <c r="F64" s="359"/>
      <c r="G64" s="366"/>
      <c r="H64" s="339"/>
      <c r="I64" s="90"/>
      <c r="K64" s="473"/>
      <c r="L64" s="473"/>
      <c r="M64" s="473"/>
      <c r="N64" s="473"/>
      <c r="O64" s="473"/>
      <c r="P64" s="473"/>
      <c r="Q64" s="473"/>
    </row>
    <row r="65" spans="1:17" ht="26.5" hidden="1" customHeight="1" outlineLevel="1">
      <c r="A65" s="204"/>
      <c r="B65" s="340" t="s">
        <v>475</v>
      </c>
      <c r="C65" s="247"/>
      <c r="D65" s="365" t="str">
        <f>'L6 -  In-house logistics'!D58</f>
        <v>Is the availability of infrastructure and equipment ensured? (6.4.6)</v>
      </c>
      <c r="E65" s="359" t="str">
        <f>'L6 -  In-house logistics'!F59</f>
        <v>n.e.</v>
      </c>
      <c r="F65" s="359"/>
      <c r="G65" s="366"/>
      <c r="H65" s="339"/>
      <c r="I65" s="90"/>
      <c r="K65" s="473"/>
      <c r="L65" s="473"/>
      <c r="M65" s="473"/>
      <c r="N65" s="473"/>
      <c r="O65" s="473"/>
      <c r="P65" s="473"/>
      <c r="Q65" s="473"/>
    </row>
    <row r="66" spans="1:17" ht="26.5" hidden="1" customHeight="1" outlineLevel="1">
      <c r="A66" s="204"/>
      <c r="B66" s="340" t="s">
        <v>476</v>
      </c>
      <c r="C66" s="247" t="s">
        <v>423</v>
      </c>
      <c r="D66" s="365" t="str">
        <f>'L6 -  In-house logistics'!D61</f>
        <v>Have suitable KPIs been defined in in-house logistics, including target values, and are they applied? (6.5.1)</v>
      </c>
      <c r="E66" s="359" t="str">
        <f>'L6 -  In-house logistics'!F62</f>
        <v>n.e.</v>
      </c>
      <c r="F66" s="359"/>
      <c r="G66" s="366"/>
      <c r="H66" s="339"/>
      <c r="I66" s="90"/>
      <c r="K66" s="473"/>
      <c r="L66" s="473"/>
      <c r="M66" s="473"/>
      <c r="N66" s="473"/>
      <c r="O66" s="473"/>
      <c r="P66" s="473"/>
      <c r="Q66" s="473"/>
    </row>
    <row r="67" spans="1:17" ht="26" customHeight="1" collapsed="1">
      <c r="A67" s="204"/>
      <c r="B67" s="334">
        <v>7</v>
      </c>
      <c r="C67" s="335"/>
      <c r="D67" s="336" t="s">
        <v>477</v>
      </c>
      <c r="E67" s="357">
        <f>SUM(E68:E71)</f>
        <v>0</v>
      </c>
      <c r="F67" s="357">
        <f>'L7 - Customer management'!D19*10</f>
        <v>0</v>
      </c>
      <c r="G67" s="338" t="str">
        <f>'L7 - Customer management'!F19</f>
        <v>n.e.</v>
      </c>
      <c r="H67" s="339"/>
      <c r="I67" s="90"/>
      <c r="K67" s="473"/>
      <c r="L67" s="473"/>
      <c r="M67" s="473"/>
      <c r="N67" s="473"/>
      <c r="O67" s="473"/>
      <c r="P67" s="473"/>
      <c r="Q67" s="473"/>
    </row>
    <row r="68" spans="1:17" ht="26.5" hidden="1" customHeight="1" outlineLevel="1">
      <c r="A68" s="204"/>
      <c r="B68" s="340" t="s">
        <v>478</v>
      </c>
      <c r="C68" s="247" t="s">
        <v>423</v>
      </c>
      <c r="D68" s="365" t="str">
        <f>'L7 - Customer management'!D7</f>
        <v>Are all relevant specifications for customer management recorded and included in instructions? (7.2.1)</v>
      </c>
      <c r="E68" s="359" t="str">
        <f>'L7 - Customer management'!F8</f>
        <v>n.e.</v>
      </c>
      <c r="F68" s="359"/>
      <c r="G68" s="377"/>
      <c r="H68" s="339"/>
      <c r="I68" s="90"/>
      <c r="K68" s="473"/>
      <c r="L68" s="473"/>
      <c r="M68" s="473"/>
      <c r="N68" s="473"/>
      <c r="O68" s="473"/>
      <c r="P68" s="473"/>
      <c r="Q68" s="473"/>
    </row>
    <row r="69" spans="1:17" ht="26.5" hidden="1" customHeight="1" outlineLevel="1">
      <c r="A69" s="204"/>
      <c r="B69" s="340" t="s">
        <v>479</v>
      </c>
      <c r="C69" s="247" t="s">
        <v>423</v>
      </c>
      <c r="D69" s="365" t="str">
        <f>'L7 - Customer management'!D10</f>
        <v>Does proactive communication take place on all levels? (7.2.2)</v>
      </c>
      <c r="E69" s="359" t="str">
        <f>'L7 - Customer management'!F11</f>
        <v>n.e.</v>
      </c>
      <c r="F69" s="359"/>
      <c r="G69" s="377"/>
      <c r="H69" s="339"/>
      <c r="I69" s="90"/>
      <c r="K69" s="473"/>
      <c r="L69" s="473"/>
      <c r="M69" s="473"/>
      <c r="N69" s="473"/>
      <c r="O69" s="473"/>
      <c r="P69" s="473"/>
      <c r="Q69" s="473"/>
    </row>
    <row r="70" spans="1:17" ht="27.75" hidden="1" customHeight="1" outlineLevel="1">
      <c r="A70" s="204"/>
      <c r="B70" s="340" t="s">
        <v>480</v>
      </c>
      <c r="C70" s="247"/>
      <c r="D70" s="365" t="s">
        <v>481</v>
      </c>
      <c r="E70" s="359" t="str">
        <f>'L7 - Customer management'!F14</f>
        <v>n.e.</v>
      </c>
      <c r="F70" s="359"/>
      <c r="G70" s="377"/>
      <c r="H70" s="339"/>
      <c r="I70" s="90"/>
      <c r="K70" s="473"/>
      <c r="L70" s="473"/>
      <c r="M70" s="473"/>
      <c r="N70" s="473"/>
      <c r="O70" s="473"/>
      <c r="P70" s="473"/>
      <c r="Q70" s="473"/>
    </row>
    <row r="71" spans="1:17" ht="33" hidden="1" customHeight="1" outlineLevel="1">
      <c r="A71" s="204"/>
      <c r="B71" s="340" t="s">
        <v>482</v>
      </c>
      <c r="C71" s="247" t="s">
        <v>423</v>
      </c>
      <c r="D71" s="365" t="str">
        <f>'L7 - Customer management'!D16</f>
        <v xml:space="preserve">Have suitable KPIs been defined for customer management, including target values, and are they applied? (7.5.1)	</v>
      </c>
      <c r="E71" s="378" t="str">
        <f>'L7 - Customer management'!F17</f>
        <v>n.e.</v>
      </c>
      <c r="F71" s="378"/>
      <c r="G71" s="377"/>
      <c r="H71" s="339"/>
      <c r="I71" s="90"/>
      <c r="K71" s="473"/>
      <c r="L71" s="473"/>
      <c r="M71" s="473"/>
      <c r="N71" s="473"/>
      <c r="O71" s="473"/>
      <c r="P71" s="473"/>
      <c r="Q71" s="473"/>
    </row>
    <row r="72" spans="1:17" ht="17" collapsed="1">
      <c r="A72" s="204"/>
      <c r="B72" s="379"/>
      <c r="C72" s="379"/>
      <c r="D72" s="379"/>
      <c r="E72" s="380"/>
      <c r="F72" s="380"/>
      <c r="G72" s="380"/>
      <c r="H72" s="339"/>
      <c r="I72" s="90"/>
      <c r="K72" s="473"/>
      <c r="L72" s="473"/>
      <c r="M72" s="473"/>
      <c r="N72" s="473"/>
      <c r="O72" s="473"/>
      <c r="P72" s="473"/>
      <c r="Q72" s="473"/>
    </row>
    <row r="73" spans="1:17" ht="17">
      <c r="A73" s="204"/>
      <c r="B73" s="379"/>
      <c r="C73" s="379"/>
      <c r="D73" s="379"/>
      <c r="E73" s="380"/>
      <c r="F73" s="380"/>
      <c r="G73" s="380"/>
      <c r="H73" s="339"/>
      <c r="I73" s="90"/>
      <c r="K73" s="473"/>
      <c r="L73" s="473"/>
      <c r="M73" s="473"/>
      <c r="N73" s="473"/>
      <c r="O73" s="473"/>
      <c r="P73" s="473"/>
      <c r="Q73" s="473"/>
    </row>
    <row r="74" spans="1:17" ht="28.5" customHeight="1">
      <c r="A74" s="204"/>
      <c r="B74" s="341"/>
      <c r="C74" s="341"/>
      <c r="D74" s="341"/>
      <c r="E74" s="381" t="s">
        <v>483</v>
      </c>
      <c r="F74" s="381"/>
      <c r="G74" s="382" t="str">
        <f>IF(Source!F33="C","-",Source!B39)</f>
        <v>-</v>
      </c>
      <c r="H74" s="339"/>
      <c r="I74" s="90"/>
      <c r="K74" s="473"/>
      <c r="L74" s="473"/>
      <c r="M74" s="473"/>
      <c r="N74" s="473"/>
      <c r="O74" s="473"/>
      <c r="P74" s="473"/>
      <c r="Q74" s="473"/>
    </row>
    <row r="75" spans="1:17" ht="11.5" customHeight="1">
      <c r="A75" s="204"/>
      <c r="B75" s="119"/>
      <c r="C75" s="119"/>
      <c r="D75" s="119"/>
      <c r="E75" s="383"/>
      <c r="F75" s="487" t="str">
        <f>IF(Source!F33="C", "Downgrading rule applies","")</f>
        <v>Downgrading rule applies</v>
      </c>
      <c r="G75" s="487"/>
      <c r="H75" s="339"/>
      <c r="I75" s="90"/>
      <c r="K75" s="473"/>
      <c r="L75" s="473"/>
      <c r="M75" s="473"/>
      <c r="N75" s="473"/>
      <c r="O75" s="473"/>
      <c r="P75" s="473"/>
      <c r="Q75" s="473"/>
    </row>
    <row r="76" spans="1:17" ht="9.75" customHeight="1">
      <c r="A76" s="384"/>
      <c r="B76" s="385"/>
      <c r="C76" s="385"/>
      <c r="D76" s="385"/>
      <c r="E76" s="386"/>
      <c r="F76" s="386"/>
      <c r="G76" s="386"/>
      <c r="H76" s="387"/>
      <c r="I76" s="90"/>
      <c r="K76" s="473"/>
      <c r="L76" s="473"/>
      <c r="M76" s="473"/>
      <c r="N76" s="473"/>
      <c r="O76" s="473"/>
      <c r="P76" s="473"/>
      <c r="Q76" s="473"/>
    </row>
    <row r="77" spans="1:17" ht="32.5" customHeight="1">
      <c r="A77" s="204"/>
      <c r="B77" s="388"/>
      <c r="C77" s="478" t="s">
        <v>484</v>
      </c>
      <c r="D77" s="478"/>
      <c r="F77" s="474" t="str">
        <f>IF(Source!F35="No result (too many questions n.e.)","No result!",IF(G74&lt;80%,"C",IF(Source!F33="C","C",IF(Source!F33="B","B",IF(G74&gt;=90%,"A","B")))))</f>
        <v>No result!</v>
      </c>
      <c r="G77" s="474"/>
      <c r="H77" s="339"/>
      <c r="I77" s="90"/>
      <c r="K77" s="473"/>
      <c r="L77" s="473"/>
      <c r="M77" s="473"/>
      <c r="N77" s="473"/>
      <c r="O77" s="473"/>
      <c r="P77" s="473"/>
      <c r="Q77" s="473"/>
    </row>
    <row r="78" spans="1:17" ht="17.5" customHeight="1">
      <c r="A78" s="204"/>
      <c r="B78" s="119"/>
      <c r="C78" s="119"/>
      <c r="D78" s="389"/>
      <c r="E78" s="119"/>
      <c r="F78" s="479"/>
      <c r="G78" s="479"/>
      <c r="H78" s="339"/>
      <c r="I78" s="135"/>
      <c r="K78" s="473"/>
      <c r="L78" s="473"/>
      <c r="M78" s="473"/>
      <c r="N78" s="473"/>
      <c r="O78" s="473"/>
      <c r="P78" s="473"/>
      <c r="Q78" s="473"/>
    </row>
    <row r="79" spans="1:17" ht="26" customHeight="1">
      <c r="A79" s="204"/>
      <c r="B79" s="119"/>
      <c r="C79" s="119"/>
      <c r="D79" s="389"/>
      <c r="E79" s="119"/>
      <c r="F79" s="480" t="str">
        <f>IF(F77="No result!","",IF(OR(Source!B44="Downgrading rule applies",Source!C44="Downgrading rule applies"),"Downgrading rule applies",""))</f>
        <v/>
      </c>
      <c r="G79" s="480"/>
      <c r="H79" s="481"/>
      <c r="I79" s="90"/>
      <c r="K79" s="473"/>
      <c r="L79" s="473"/>
      <c r="M79" s="473"/>
      <c r="N79" s="473"/>
      <c r="O79" s="473"/>
      <c r="P79" s="473"/>
      <c r="Q79" s="473"/>
    </row>
    <row r="80" spans="1:17" ht="23" customHeight="1">
      <c r="A80" s="204"/>
      <c r="B80" s="119"/>
      <c r="C80" s="119"/>
      <c r="D80" s="389"/>
      <c r="E80" s="119"/>
      <c r="F80" s="482" t="str">
        <f>IF(F77="No result!","",Source!F45)</f>
        <v/>
      </c>
      <c r="G80" s="482"/>
      <c r="H80" s="483"/>
      <c r="I80" s="90"/>
      <c r="K80" s="473"/>
      <c r="L80" s="473"/>
      <c r="M80" s="473"/>
      <c r="N80" s="473"/>
      <c r="O80" s="473"/>
      <c r="P80" s="473"/>
      <c r="Q80" s="473"/>
    </row>
    <row r="81" spans="1:17" ht="20" customHeight="1">
      <c r="A81" s="204"/>
      <c r="B81" s="119"/>
      <c r="C81" s="119"/>
      <c r="D81" s="389"/>
      <c r="E81" s="119"/>
      <c r="F81" s="482" t="str">
        <f>IF(F77="No result!","",Source!F46)</f>
        <v/>
      </c>
      <c r="G81" s="482"/>
      <c r="H81" s="483"/>
      <c r="I81" s="90"/>
      <c r="K81" s="473"/>
      <c r="L81" s="473"/>
      <c r="M81" s="473"/>
      <c r="N81" s="473"/>
      <c r="O81" s="473"/>
      <c r="P81" s="473"/>
      <c r="Q81" s="473"/>
    </row>
    <row r="82" spans="1:17" ht="20.5" customHeight="1">
      <c r="A82" s="204"/>
      <c r="B82" s="119"/>
      <c r="C82" s="119"/>
      <c r="D82" s="389"/>
      <c r="E82" s="119"/>
      <c r="F82" s="482" t="str">
        <f>IF(F77="No result!","",Source!F47)</f>
        <v/>
      </c>
      <c r="G82" s="482"/>
      <c r="H82" s="483"/>
      <c r="I82" s="90"/>
      <c r="K82" s="473"/>
      <c r="L82" s="473"/>
      <c r="M82" s="473"/>
      <c r="N82" s="473"/>
      <c r="O82" s="473"/>
      <c r="P82" s="473"/>
      <c r="Q82" s="473"/>
    </row>
    <row r="83" spans="1:17" ht="27.75" customHeight="1">
      <c r="A83" s="260"/>
      <c r="B83" s="88"/>
      <c r="C83" s="88"/>
      <c r="D83" s="390"/>
      <c r="E83" s="88"/>
      <c r="F83" s="484" t="str">
        <f>IF(F77="No result!","",Source!F48)</f>
        <v/>
      </c>
      <c r="G83" s="484"/>
      <c r="H83" s="485"/>
      <c r="I83" s="90"/>
      <c r="K83" s="473"/>
      <c r="L83" s="473"/>
      <c r="M83" s="473"/>
      <c r="N83" s="473"/>
      <c r="O83" s="473"/>
      <c r="P83" s="473"/>
      <c r="Q83" s="473"/>
    </row>
    <row r="84" spans="1:17" ht="34.25" customHeight="1">
      <c r="A84" s="204"/>
      <c r="B84" s="388"/>
      <c r="C84" s="475" t="s">
        <v>972</v>
      </c>
      <c r="D84" s="475"/>
      <c r="E84" s="388"/>
      <c r="F84" s="388"/>
      <c r="G84" s="391"/>
      <c r="H84" s="339"/>
      <c r="I84" s="90"/>
      <c r="K84" s="473"/>
      <c r="L84" s="473"/>
      <c r="M84" s="473"/>
      <c r="N84" s="473"/>
      <c r="O84" s="473"/>
      <c r="P84" s="473"/>
      <c r="Q84" s="473"/>
    </row>
    <row r="85" spans="1:17" ht="120.75" customHeight="1">
      <c r="A85" s="204"/>
      <c r="B85" s="388"/>
      <c r="C85" s="476" t="s">
        <v>1103</v>
      </c>
      <c r="D85" s="477"/>
      <c r="E85" s="477"/>
      <c r="F85" s="477"/>
      <c r="G85" s="477"/>
      <c r="H85" s="339"/>
      <c r="I85" s="90"/>
      <c r="K85" s="392"/>
    </row>
    <row r="86" spans="1:17" ht="12" customHeight="1">
      <c r="A86" s="204"/>
      <c r="B86" s="119"/>
      <c r="C86" s="119"/>
      <c r="D86" s="393"/>
      <c r="E86" s="119"/>
      <c r="F86" s="119"/>
      <c r="G86" s="119"/>
      <c r="H86" s="339"/>
      <c r="I86" s="90"/>
    </row>
    <row r="87" spans="1:17" ht="24" customHeight="1">
      <c r="A87" s="384"/>
      <c r="B87" s="394"/>
      <c r="C87" s="469" t="s">
        <v>485</v>
      </c>
      <c r="D87" s="469"/>
      <c r="E87" s="395"/>
      <c r="F87" s="395"/>
      <c r="G87" s="395"/>
      <c r="H87" s="387"/>
      <c r="I87" s="90"/>
    </row>
    <row r="88" spans="1:17" ht="17">
      <c r="A88" s="204"/>
      <c r="B88" s="388"/>
      <c r="C88" s="388"/>
      <c r="D88" s="396" t="s">
        <v>486</v>
      </c>
      <c r="E88" s="397"/>
      <c r="F88" s="397"/>
      <c r="G88" s="398">
        <v>0.9</v>
      </c>
      <c r="H88" s="339"/>
      <c r="I88" s="90"/>
    </row>
    <row r="89" spans="1:17" ht="17">
      <c r="A89" s="204"/>
      <c r="B89" s="388"/>
      <c r="C89" s="388"/>
      <c r="D89" s="396" t="s">
        <v>487</v>
      </c>
      <c r="F89" s="399" t="s">
        <v>488</v>
      </c>
      <c r="G89" s="398">
        <v>0.8</v>
      </c>
      <c r="H89" s="339"/>
      <c r="I89" s="90"/>
    </row>
    <row r="90" spans="1:17" ht="17.5" customHeight="1">
      <c r="A90" s="204"/>
      <c r="B90" s="388"/>
      <c r="C90" s="388"/>
      <c r="D90" s="396" t="s">
        <v>489</v>
      </c>
      <c r="E90" s="397"/>
      <c r="F90" s="397"/>
      <c r="G90" s="400">
        <v>0.8</v>
      </c>
      <c r="H90" s="339"/>
      <c r="I90" s="90"/>
    </row>
    <row r="91" spans="1:17" ht="17">
      <c r="A91" s="260"/>
      <c r="B91" s="88"/>
      <c r="C91" s="88"/>
      <c r="D91" s="88"/>
      <c r="E91" s="88"/>
      <c r="F91" s="88"/>
      <c r="G91" s="88"/>
      <c r="H91" s="401"/>
      <c r="I91" s="90"/>
    </row>
    <row r="92" spans="1:17">
      <c r="B92" s="203"/>
      <c r="G92" s="203"/>
    </row>
    <row r="93" spans="1:17">
      <c r="B93" s="203"/>
      <c r="G93" s="203"/>
    </row>
  </sheetData>
  <mergeCells count="19">
    <mergeCell ref="K4:Q84"/>
    <mergeCell ref="F77:G77"/>
    <mergeCell ref="C84:D84"/>
    <mergeCell ref="C85:G85"/>
    <mergeCell ref="C77:D77"/>
    <mergeCell ref="F78:G78"/>
    <mergeCell ref="F79:H79"/>
    <mergeCell ref="F80:H80"/>
    <mergeCell ref="F81:H81"/>
    <mergeCell ref="F82:H82"/>
    <mergeCell ref="F83:H83"/>
    <mergeCell ref="C16:C18"/>
    <mergeCell ref="F75:G75"/>
    <mergeCell ref="B40:B42"/>
    <mergeCell ref="B52:B55"/>
    <mergeCell ref="C52:C55"/>
    <mergeCell ref="C87:D87"/>
    <mergeCell ref="A1:H1"/>
    <mergeCell ref="B16:B18"/>
  </mergeCells>
  <phoneticPr fontId="10" type="noConversion"/>
  <conditionalFormatting sqref="F77">
    <cfRule type="containsText" dxfId="328" priority="1" operator="containsText" text="No result!">
      <formula>NOT(ISERROR(SEARCH("No result!",F77)))</formula>
    </cfRule>
    <cfRule type="containsText" dxfId="327" priority="2" operator="containsText" text="B">
      <formula>NOT(ISERROR(SEARCH("B",F77)))</formula>
    </cfRule>
    <cfRule type="containsText" dxfId="326" priority="3" operator="containsText" text="A">
      <formula>NOT(ISERROR(SEARCH("A",F77)))</formula>
    </cfRule>
    <cfRule type="containsText" dxfId="325" priority="4" operator="containsText" text="C">
      <formula>NOT(ISERROR(SEARCH("C",F77)))</formula>
    </cfRule>
  </conditionalFormatting>
  <pageMargins left="0.70866141732283472" right="0.70866141732283472" top="0.78740157480314965" bottom="0.78740157480314965" header="0.31496062992125984" footer="0.31496062992125984"/>
  <pageSetup scale="79" fitToHeight="0" orientation="portrait" r:id="rId1"/>
  <headerFooter>
    <oddHeader>&amp;L&amp;"Calibri"&amp;10&amp;K000000 INTERNAL&amp;1#_x000D_</oddHeader>
    <oddFooter>&amp;L_x000D_&amp;1#&amp;"Calibri"&amp;10&amp;K000000 Internal</oddFooter>
  </headerFooter>
  <ignoredErrors>
    <ignoredError sqref="D24 D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72"/>
  <sheetViews>
    <sheetView zoomScaleNormal="100" workbookViewId="0">
      <pane ySplit="3" topLeftCell="A6" activePane="bottomLeft" state="frozen"/>
      <selection activeCell="I56" sqref="I56"/>
      <selection pane="bottomLeft" activeCell="H7" sqref="H7"/>
    </sheetView>
  </sheetViews>
  <sheetFormatPr baseColWidth="10" defaultColWidth="10.83203125" defaultRowHeight="16"/>
  <cols>
    <col min="1" max="1" width="3.33203125" style="203" customWidth="1"/>
    <col min="2" max="2" width="5.1640625" style="203" customWidth="1"/>
    <col min="3" max="3" width="8.33203125" style="226" customWidth="1"/>
    <col min="4" max="4" width="3" style="203" customWidth="1"/>
    <col min="5" max="5" width="54.83203125" style="265" customWidth="1"/>
    <col min="6" max="6" width="10.33203125" style="203" bestFit="1" customWidth="1"/>
    <col min="7" max="7" width="44.1640625" style="203" customWidth="1"/>
    <col min="8" max="9" width="3.5" style="203" customWidth="1"/>
    <col min="10" max="16384" width="10.83203125" style="203"/>
  </cols>
  <sheetData>
    <row r="1" spans="1:9" ht="15" customHeight="1">
      <c r="A1" s="491" t="s">
        <v>700</v>
      </c>
      <c r="B1" s="491"/>
      <c r="C1" s="491"/>
      <c r="D1" s="491"/>
      <c r="E1" s="491"/>
      <c r="F1" s="491"/>
      <c r="G1" s="491"/>
      <c r="H1" s="491"/>
      <c r="I1" s="492"/>
    </row>
    <row r="2" spans="1:9" ht="41" customHeight="1">
      <c r="A2" s="491"/>
      <c r="B2" s="491"/>
      <c r="C2" s="491"/>
      <c r="D2" s="491"/>
      <c r="E2" s="491"/>
      <c r="F2" s="491"/>
      <c r="G2" s="491"/>
      <c r="H2" s="491"/>
      <c r="I2" s="492"/>
    </row>
    <row r="3" spans="1:9" ht="24" customHeight="1">
      <c r="A3" s="204"/>
      <c r="B3" s="205" t="s">
        <v>417</v>
      </c>
      <c r="C3" s="206" t="s">
        <v>563</v>
      </c>
      <c r="D3" s="207"/>
      <c r="E3" s="205" t="s">
        <v>564</v>
      </c>
      <c r="F3" s="208" t="s">
        <v>492</v>
      </c>
      <c r="G3" s="488" t="s">
        <v>565</v>
      </c>
      <c r="H3" s="488"/>
      <c r="I3" s="209"/>
    </row>
    <row r="4" spans="1:9">
      <c r="A4" s="204"/>
      <c r="B4" s="489" t="s">
        <v>566</v>
      </c>
      <c r="C4" s="489"/>
      <c r="D4" s="489"/>
      <c r="E4" s="489"/>
      <c r="F4" s="489"/>
      <c r="G4" s="489"/>
      <c r="H4" s="489"/>
      <c r="I4" s="210"/>
    </row>
    <row r="5" spans="1:9" ht="34">
      <c r="A5" s="204"/>
      <c r="B5" s="211" t="s">
        <v>422</v>
      </c>
      <c r="C5" s="212" t="s">
        <v>567</v>
      </c>
      <c r="D5" s="213" t="s">
        <v>423</v>
      </c>
      <c r="E5" s="214" t="s">
        <v>635</v>
      </c>
      <c r="F5" s="215" t="str">
        <f>IF(Evaluationsheet!E5="nicht bewertet", "n.b.", Evaluationsheet!E5)</f>
        <v>n.e.</v>
      </c>
      <c r="G5" s="216"/>
      <c r="H5" s="217" t="s">
        <v>568</v>
      </c>
      <c r="I5" s="218"/>
    </row>
    <row r="6" spans="1:9" ht="34">
      <c r="A6" s="204"/>
      <c r="B6" s="219" t="s">
        <v>424</v>
      </c>
      <c r="C6" s="220" t="s">
        <v>569</v>
      </c>
      <c r="D6" s="221" t="s">
        <v>423</v>
      </c>
      <c r="E6" s="222" t="s">
        <v>636</v>
      </c>
      <c r="F6" s="223" t="str">
        <f>IF(Evaluationsheet!E6="nicht bewertet", "n.b.", Evaluationsheet!E6)</f>
        <v>n.e.</v>
      </c>
      <c r="G6" s="224"/>
      <c r="H6" s="225" t="s">
        <v>568</v>
      </c>
      <c r="I6" s="218"/>
    </row>
    <row r="7" spans="1:9" ht="34">
      <c r="A7" s="204"/>
      <c r="B7" s="219" t="s">
        <v>425</v>
      </c>
      <c r="C7" s="220" t="s">
        <v>570</v>
      </c>
      <c r="D7" s="221"/>
      <c r="E7" s="222" t="s">
        <v>638</v>
      </c>
      <c r="F7" s="223" t="str">
        <f>IF(Evaluationsheet!E7="nicht bewertet", "n.b.", Evaluationsheet!E7)</f>
        <v>n.e.</v>
      </c>
      <c r="G7" s="224"/>
      <c r="H7" s="225" t="s">
        <v>568</v>
      </c>
      <c r="I7" s="218"/>
    </row>
    <row r="8" spans="1:9" ht="34">
      <c r="A8" s="204"/>
      <c r="B8" s="211" t="s">
        <v>426</v>
      </c>
      <c r="C8" s="220" t="s">
        <v>571</v>
      </c>
      <c r="D8" s="221" t="s">
        <v>423</v>
      </c>
      <c r="E8" s="222" t="s">
        <v>637</v>
      </c>
      <c r="F8" s="223" t="str">
        <f>IF(Evaluationsheet!E8="nicht bewertet", "n.b.", Evaluationsheet!E8)</f>
        <v>n.e.</v>
      </c>
      <c r="G8" s="224"/>
      <c r="H8" s="225" t="s">
        <v>568</v>
      </c>
      <c r="I8" s="218"/>
    </row>
    <row r="9" spans="1:9" ht="34">
      <c r="A9" s="204"/>
      <c r="B9" s="219" t="s">
        <v>427</v>
      </c>
      <c r="C9" s="220" t="s">
        <v>572</v>
      </c>
      <c r="D9" s="221"/>
      <c r="E9" s="222" t="s">
        <v>640</v>
      </c>
      <c r="F9" s="223" t="str">
        <f>IF(Evaluationsheet!E9="nicht bewertet", "n.b.", Evaluationsheet!E9)</f>
        <v>n.e.</v>
      </c>
      <c r="G9" s="224"/>
      <c r="H9" s="225" t="s">
        <v>568</v>
      </c>
      <c r="I9" s="218"/>
    </row>
    <row r="10" spans="1:9" ht="17">
      <c r="A10" s="204"/>
      <c r="B10" s="219" t="s">
        <v>428</v>
      </c>
      <c r="C10" s="220" t="s">
        <v>573</v>
      </c>
      <c r="D10" s="221" t="s">
        <v>423</v>
      </c>
      <c r="E10" s="222" t="s">
        <v>641</v>
      </c>
      <c r="F10" s="223" t="str">
        <f>IF(Evaluationsheet!E10="nicht bewertet", "n.b.", Evaluationsheet!E10)</f>
        <v>n.e.</v>
      </c>
      <c r="G10" s="224"/>
      <c r="H10" s="225" t="s">
        <v>568</v>
      </c>
      <c r="I10" s="218"/>
    </row>
    <row r="11" spans="1:9" ht="34">
      <c r="A11" s="204"/>
      <c r="B11" s="211" t="s">
        <v>429</v>
      </c>
      <c r="C11" s="220" t="s">
        <v>574</v>
      </c>
      <c r="D11" s="221" t="s">
        <v>423</v>
      </c>
      <c r="E11" s="222" t="s">
        <v>642</v>
      </c>
      <c r="F11" s="223" t="str">
        <f>IF(Evaluationsheet!E11="nicht bewertet", "n.b.", Evaluationsheet!E11)</f>
        <v>n.e.</v>
      </c>
      <c r="G11" s="224"/>
      <c r="H11" s="225" t="s">
        <v>568</v>
      </c>
      <c r="I11" s="218"/>
    </row>
    <row r="12" spans="1:9" ht="17">
      <c r="A12" s="204"/>
      <c r="B12" s="219" t="s">
        <v>430</v>
      </c>
      <c r="C12" s="220" t="s">
        <v>575</v>
      </c>
      <c r="D12" s="221"/>
      <c r="E12" s="222" t="s">
        <v>643</v>
      </c>
      <c r="F12" s="223" t="str">
        <f>IF(Evaluationsheet!E12="nicht bewertet", "n.b.", Evaluationsheet!E12)</f>
        <v>n.e.</v>
      </c>
      <c r="G12" s="224"/>
      <c r="H12" s="225" t="s">
        <v>568</v>
      </c>
      <c r="I12" s="218"/>
    </row>
    <row r="13" spans="1:9" ht="17">
      <c r="A13" s="204"/>
      <c r="B13" s="219" t="s">
        <v>431</v>
      </c>
      <c r="C13" s="226" t="s">
        <v>576</v>
      </c>
      <c r="D13" s="227" t="s">
        <v>423</v>
      </c>
      <c r="E13" s="228" t="s">
        <v>644</v>
      </c>
      <c r="F13" s="229" t="str">
        <f>IF(Evaluationsheet!E13="nicht bewertet", "n.b.", Evaluationsheet!E13)</f>
        <v>n.e.</v>
      </c>
      <c r="G13" s="230"/>
      <c r="H13" s="231" t="s">
        <v>568</v>
      </c>
      <c r="I13" s="218"/>
    </row>
    <row r="14" spans="1:9" ht="19.25" customHeight="1">
      <c r="A14" s="204"/>
      <c r="B14" s="493" t="s">
        <v>577</v>
      </c>
      <c r="C14" s="493"/>
      <c r="D14" s="493"/>
      <c r="E14" s="493"/>
      <c r="F14" s="493"/>
      <c r="G14" s="493"/>
      <c r="H14" s="493"/>
      <c r="I14" s="232"/>
    </row>
    <row r="15" spans="1:9" ht="34">
      <c r="A15" s="204"/>
      <c r="B15" s="233" t="s">
        <v>433</v>
      </c>
      <c r="C15" s="220" t="s">
        <v>578</v>
      </c>
      <c r="D15" s="221" t="s">
        <v>423</v>
      </c>
      <c r="E15" s="222" t="s">
        <v>645</v>
      </c>
      <c r="F15" s="223" t="str">
        <f>IF(Evaluationsheet!E15="nicht bewertet", "n.b.", Evaluationsheet!E15)</f>
        <v>n.e.</v>
      </c>
      <c r="G15" s="224"/>
      <c r="H15" s="225" t="s">
        <v>568</v>
      </c>
      <c r="I15" s="218"/>
    </row>
    <row r="16" spans="1:9" ht="51">
      <c r="A16" s="204"/>
      <c r="B16" s="234" t="s">
        <v>434</v>
      </c>
      <c r="C16" s="235" t="s">
        <v>579</v>
      </c>
      <c r="D16" s="495" t="s">
        <v>423</v>
      </c>
      <c r="E16" s="236" t="s">
        <v>646</v>
      </c>
      <c r="F16" s="237"/>
      <c r="G16" s="238"/>
      <c r="H16" s="239"/>
      <c r="I16" s="218"/>
    </row>
    <row r="17" spans="1:9">
      <c r="A17" s="204"/>
      <c r="B17" s="240" t="s">
        <v>434</v>
      </c>
      <c r="C17" s="241" t="s">
        <v>579</v>
      </c>
      <c r="D17" s="468"/>
      <c r="E17" s="138" t="s">
        <v>962</v>
      </c>
      <c r="F17" s="223" t="str">
        <f>IF(Evaluationsheet!E17="nicht bewertet", "n.b.", Evaluationsheet!E17)</f>
        <v>n.e.</v>
      </c>
      <c r="G17" s="216"/>
      <c r="H17" s="231" t="s">
        <v>568</v>
      </c>
      <c r="I17" s="218"/>
    </row>
    <row r="18" spans="1:9">
      <c r="A18" s="204"/>
      <c r="B18" s="242" t="s">
        <v>434</v>
      </c>
      <c r="C18" s="243" t="s">
        <v>579</v>
      </c>
      <c r="D18" s="496"/>
      <c r="E18" s="137" t="s">
        <v>961</v>
      </c>
      <c r="F18" s="215" t="str">
        <f>IF(Evaluationsheet!E18="nicht bewertet", "n.b.", Evaluationsheet!E18)</f>
        <v>n.e.</v>
      </c>
      <c r="G18" s="230"/>
      <c r="H18" s="217" t="s">
        <v>568</v>
      </c>
      <c r="I18" s="218"/>
    </row>
    <row r="19" spans="1:9" ht="17">
      <c r="A19" s="204"/>
      <c r="B19" s="244" t="s">
        <v>435</v>
      </c>
      <c r="C19" s="220" t="s">
        <v>580</v>
      </c>
      <c r="D19" s="221" t="s">
        <v>423</v>
      </c>
      <c r="E19" s="222" t="s">
        <v>639</v>
      </c>
      <c r="F19" s="223" t="str">
        <f>IF(Evaluationsheet!E19="nicht bewertet", "n.b.", Evaluationsheet!E19)</f>
        <v>n.e.</v>
      </c>
      <c r="G19" s="224"/>
      <c r="H19" s="225" t="s">
        <v>568</v>
      </c>
      <c r="I19" s="218"/>
    </row>
    <row r="20" spans="1:9" ht="34">
      <c r="A20" s="204"/>
      <c r="B20" s="245" t="s">
        <v>436</v>
      </c>
      <c r="C20" s="226" t="s">
        <v>581</v>
      </c>
      <c r="D20" s="227" t="s">
        <v>423</v>
      </c>
      <c r="E20" s="246" t="s">
        <v>647</v>
      </c>
      <c r="F20" s="229" t="str">
        <f>IF(Evaluationsheet!E20="nicht bewertet", "n.b.", Evaluationsheet!E20)</f>
        <v>n.e.</v>
      </c>
      <c r="G20" s="230"/>
      <c r="H20" s="231" t="s">
        <v>568</v>
      </c>
      <c r="I20" s="218"/>
    </row>
    <row r="21" spans="1:9" ht="23" customHeight="1">
      <c r="A21" s="204"/>
      <c r="B21" s="493" t="s">
        <v>582</v>
      </c>
      <c r="C21" s="493"/>
      <c r="D21" s="493"/>
      <c r="E21" s="493"/>
      <c r="F21" s="493"/>
      <c r="G21" s="493"/>
      <c r="H21" s="493"/>
      <c r="I21" s="232"/>
    </row>
    <row r="22" spans="1:9" ht="34">
      <c r="A22" s="204"/>
      <c r="B22" s="211" t="s">
        <v>438</v>
      </c>
      <c r="C22" s="212" t="s">
        <v>583</v>
      </c>
      <c r="D22" s="213" t="s">
        <v>423</v>
      </c>
      <c r="E22" s="214" t="s">
        <v>648</v>
      </c>
      <c r="F22" s="215" t="str">
        <f>IF(Evaluationsheet!E22="nicht bewertet", "n.b.", Evaluationsheet!E22)</f>
        <v>n.e.</v>
      </c>
      <c r="G22" s="216"/>
      <c r="H22" s="217" t="s">
        <v>568</v>
      </c>
      <c r="I22" s="218"/>
    </row>
    <row r="23" spans="1:9" ht="34">
      <c r="A23" s="204"/>
      <c r="B23" s="219" t="s">
        <v>439</v>
      </c>
      <c r="C23" s="220" t="s">
        <v>584</v>
      </c>
      <c r="D23" s="221" t="s">
        <v>423</v>
      </c>
      <c r="E23" s="222" t="s">
        <v>649</v>
      </c>
      <c r="F23" s="223" t="str">
        <f>IF(Evaluationsheet!E23="nicht bewertet", "n.b.", Evaluationsheet!E23)</f>
        <v>n.e.</v>
      </c>
      <c r="G23" s="224"/>
      <c r="H23" s="225" t="s">
        <v>568</v>
      </c>
      <c r="I23" s="218"/>
    </row>
    <row r="24" spans="1:9" ht="51">
      <c r="A24" s="204"/>
      <c r="B24" s="219" t="s">
        <v>440</v>
      </c>
      <c r="C24" s="220" t="s">
        <v>585</v>
      </c>
      <c r="D24" s="221"/>
      <c r="E24" s="222" t="s">
        <v>651</v>
      </c>
      <c r="F24" s="223" t="str">
        <f>IF(Evaluationsheet!E24="nicht bewertet", "n.b.", Evaluationsheet!E24)</f>
        <v>n.e.</v>
      </c>
      <c r="G24" s="224"/>
      <c r="H24" s="225" t="s">
        <v>568</v>
      </c>
      <c r="I24" s="218"/>
    </row>
    <row r="25" spans="1:9" ht="34">
      <c r="A25" s="204"/>
      <c r="B25" s="219" t="s">
        <v>441</v>
      </c>
      <c r="C25" s="220" t="s">
        <v>586</v>
      </c>
      <c r="D25" s="221"/>
      <c r="E25" s="222" t="s">
        <v>650</v>
      </c>
      <c r="F25" s="223" t="str">
        <f>IF(Evaluationsheet!E25="nicht bewertet", "n.b.", Evaluationsheet!E25)</f>
        <v>n.e.</v>
      </c>
      <c r="G25" s="224"/>
      <c r="H25" s="225" t="s">
        <v>568</v>
      </c>
      <c r="I25" s="218"/>
    </row>
    <row r="26" spans="1:9" ht="34">
      <c r="A26" s="204"/>
      <c r="B26" s="211" t="s">
        <v>442</v>
      </c>
      <c r="C26" s="220" t="s">
        <v>587</v>
      </c>
      <c r="D26" s="221"/>
      <c r="E26" s="222" t="s">
        <v>652</v>
      </c>
      <c r="F26" s="223" t="str">
        <f>IF(Evaluationsheet!E26="nicht bewertet", "n.b.", Evaluationsheet!E26)</f>
        <v>n.e.</v>
      </c>
      <c r="G26" s="224"/>
      <c r="H26" s="225" t="s">
        <v>568</v>
      </c>
      <c r="I26" s="218"/>
    </row>
    <row r="27" spans="1:9" ht="17">
      <c r="A27" s="204"/>
      <c r="B27" s="219" t="s">
        <v>443</v>
      </c>
      <c r="C27" s="220" t="s">
        <v>588</v>
      </c>
      <c r="D27" s="221" t="s">
        <v>423</v>
      </c>
      <c r="E27" s="222" t="s">
        <v>641</v>
      </c>
      <c r="F27" s="223" t="str">
        <f>IF(Evaluationsheet!E27="nicht bewertet", "n.b.", Evaluationsheet!E27)</f>
        <v>n.e.</v>
      </c>
      <c r="G27" s="224"/>
      <c r="H27" s="225" t="s">
        <v>568</v>
      </c>
      <c r="I27" s="218"/>
    </row>
    <row r="28" spans="1:9" ht="34">
      <c r="A28" s="204"/>
      <c r="B28" s="219" t="s">
        <v>444</v>
      </c>
      <c r="C28" s="220" t="s">
        <v>589</v>
      </c>
      <c r="D28" s="221" t="s">
        <v>423</v>
      </c>
      <c r="E28" s="222" t="s">
        <v>653</v>
      </c>
      <c r="F28" s="223" t="str">
        <f>IF(Evaluationsheet!E28="nicht bewertet", "n.b.", Evaluationsheet!E28)</f>
        <v>n.e.</v>
      </c>
      <c r="G28" s="224"/>
      <c r="H28" s="225" t="s">
        <v>568</v>
      </c>
      <c r="I28" s="218"/>
    </row>
    <row r="29" spans="1:9">
      <c r="A29" s="204"/>
      <c r="B29" s="494" t="s">
        <v>590</v>
      </c>
      <c r="C29" s="494"/>
      <c r="D29" s="494"/>
      <c r="E29" s="494"/>
      <c r="F29" s="494"/>
      <c r="G29" s="494"/>
      <c r="H29" s="494"/>
      <c r="I29" s="232"/>
    </row>
    <row r="30" spans="1:9" ht="17">
      <c r="A30" s="204"/>
      <c r="B30" s="211" t="s">
        <v>446</v>
      </c>
      <c r="C30" s="212" t="s">
        <v>591</v>
      </c>
      <c r="D30" s="213"/>
      <c r="E30" s="214" t="s">
        <v>654</v>
      </c>
      <c r="F30" s="215" t="str">
        <f>IF(Evaluationsheet!E30="nicht bewertet", "n.b.", Evaluationsheet!E30)</f>
        <v>n.e.</v>
      </c>
      <c r="G30" s="216"/>
      <c r="H30" s="217" t="s">
        <v>568</v>
      </c>
      <c r="I30" s="218"/>
    </row>
    <row r="31" spans="1:9" ht="34">
      <c r="A31" s="204"/>
      <c r="B31" s="219" t="s">
        <v>447</v>
      </c>
      <c r="C31" s="220" t="s">
        <v>592</v>
      </c>
      <c r="D31" s="221" t="s">
        <v>423</v>
      </c>
      <c r="E31" s="222" t="s">
        <v>655</v>
      </c>
      <c r="F31" s="223" t="str">
        <f>IF(Evaluationsheet!E31="nicht bewertet", "n.b.", Evaluationsheet!E31)</f>
        <v>n.e.</v>
      </c>
      <c r="G31" s="224"/>
      <c r="H31" s="225" t="s">
        <v>568</v>
      </c>
      <c r="I31" s="218"/>
    </row>
    <row r="32" spans="1:9" ht="34">
      <c r="A32" s="204"/>
      <c r="B32" s="219" t="s">
        <v>448</v>
      </c>
      <c r="C32" s="220" t="s">
        <v>593</v>
      </c>
      <c r="D32" s="221"/>
      <c r="E32" s="222" t="s">
        <v>656</v>
      </c>
      <c r="F32" s="223" t="str">
        <f>IF(Evaluationsheet!E32="nicht bewertet", "n.b.", Evaluationsheet!E32)</f>
        <v>n.e.</v>
      </c>
      <c r="G32" s="224"/>
      <c r="H32" s="225" t="s">
        <v>568</v>
      </c>
      <c r="I32" s="218"/>
    </row>
    <row r="33" spans="1:9" ht="34">
      <c r="A33" s="204"/>
      <c r="B33" s="211" t="s">
        <v>449</v>
      </c>
      <c r="C33" s="212" t="s">
        <v>1080</v>
      </c>
      <c r="D33" s="213" t="s">
        <v>423</v>
      </c>
      <c r="E33" s="214" t="s">
        <v>525</v>
      </c>
      <c r="F33" s="215" t="str">
        <f>IF(Evaluationsheet!E33="nicht bewertet", "n.b.", Evaluationsheet!E33)</f>
        <v>n.e.</v>
      </c>
      <c r="G33" s="216"/>
      <c r="H33" s="217" t="s">
        <v>568</v>
      </c>
      <c r="I33" s="218"/>
    </row>
    <row r="34" spans="1:9" ht="34">
      <c r="A34" s="204"/>
      <c r="B34" s="211" t="s">
        <v>450</v>
      </c>
      <c r="C34" s="220" t="s">
        <v>594</v>
      </c>
      <c r="D34" s="221"/>
      <c r="E34" s="222" t="s">
        <v>638</v>
      </c>
      <c r="F34" s="223" t="str">
        <f>IF(Evaluationsheet!E34="nicht bewertet", "n.b.", Evaluationsheet!E34)</f>
        <v>n.e.</v>
      </c>
      <c r="G34" s="224"/>
      <c r="H34" s="225" t="s">
        <v>568</v>
      </c>
      <c r="I34" s="218"/>
    </row>
    <row r="35" spans="1:9" ht="17">
      <c r="A35" s="204"/>
      <c r="B35" s="219" t="s">
        <v>451</v>
      </c>
      <c r="C35" s="220" t="s">
        <v>595</v>
      </c>
      <c r="D35" s="221" t="s">
        <v>423</v>
      </c>
      <c r="E35" s="222" t="s">
        <v>657</v>
      </c>
      <c r="F35" s="223" t="str">
        <f>IF(Evaluationsheet!E35="nicht bewertet", "n.b.", Evaluationsheet!E35)</f>
        <v>n.e.</v>
      </c>
      <c r="G35" s="224"/>
      <c r="H35" s="225" t="s">
        <v>568</v>
      </c>
      <c r="I35" s="218"/>
    </row>
    <row r="36" spans="1:9" ht="17">
      <c r="A36" s="204"/>
      <c r="B36" s="219" t="s">
        <v>452</v>
      </c>
      <c r="C36" s="220" t="s">
        <v>596</v>
      </c>
      <c r="D36" s="221" t="s">
        <v>423</v>
      </c>
      <c r="E36" s="222" t="s">
        <v>658</v>
      </c>
      <c r="F36" s="223" t="str">
        <f>IF(Evaluationsheet!E36="nicht bewertet", "n.b.", Evaluationsheet!E36)</f>
        <v>n.e.</v>
      </c>
      <c r="G36" s="224"/>
      <c r="H36" s="225" t="s">
        <v>568</v>
      </c>
      <c r="I36" s="218"/>
    </row>
    <row r="37" spans="1:9" ht="34">
      <c r="A37" s="204"/>
      <c r="B37" s="211" t="s">
        <v>453</v>
      </c>
      <c r="C37" s="212" t="s">
        <v>597</v>
      </c>
      <c r="D37" s="221"/>
      <c r="E37" s="222" t="s">
        <v>659</v>
      </c>
      <c r="F37" s="223" t="str">
        <f>IF(Evaluationsheet!E37="nicht bewertet", "n.b.", Evaluationsheet!E37)</f>
        <v>n.e.</v>
      </c>
      <c r="G37" s="224"/>
      <c r="H37" s="225" t="s">
        <v>568</v>
      </c>
      <c r="I37" s="218"/>
    </row>
    <row r="38" spans="1:9" ht="34">
      <c r="A38" s="204"/>
      <c r="B38" s="211" t="s">
        <v>454</v>
      </c>
      <c r="C38" s="220" t="s">
        <v>598</v>
      </c>
      <c r="D38" s="221" t="s">
        <v>423</v>
      </c>
      <c r="E38" s="222" t="s">
        <v>660</v>
      </c>
      <c r="F38" s="223" t="str">
        <f>IF(Evaluationsheet!E38="nicht bewertet", "n.b.", Evaluationsheet!E38)</f>
        <v>n.e.</v>
      </c>
      <c r="G38" s="224"/>
      <c r="H38" s="225" t="s">
        <v>568</v>
      </c>
      <c r="I38" s="218"/>
    </row>
    <row r="39" spans="1:9">
      <c r="A39" s="204"/>
      <c r="B39" s="490" t="s">
        <v>599</v>
      </c>
      <c r="C39" s="490"/>
      <c r="D39" s="490"/>
      <c r="E39" s="490"/>
      <c r="F39" s="490"/>
      <c r="G39" s="490"/>
      <c r="H39" s="490"/>
      <c r="I39" s="232"/>
    </row>
    <row r="40" spans="1:9" ht="34">
      <c r="A40" s="204"/>
      <c r="B40" s="247" t="s">
        <v>456</v>
      </c>
      <c r="C40" s="248" t="s">
        <v>600</v>
      </c>
      <c r="D40" s="468"/>
      <c r="E40" s="249" t="s">
        <v>661</v>
      </c>
      <c r="F40" s="250"/>
      <c r="G40" s="251"/>
      <c r="H40" s="252"/>
      <c r="I40" s="218"/>
    </row>
    <row r="41" spans="1:9">
      <c r="A41" s="204"/>
      <c r="B41" s="253" t="s">
        <v>456</v>
      </c>
      <c r="C41" s="253" t="s">
        <v>600</v>
      </c>
      <c r="D41" s="468"/>
      <c r="E41" s="138" t="s">
        <v>726</v>
      </c>
      <c r="F41" s="215" t="str">
        <f>IF(Evaluationsheet!E41="nicht bewertet", "n.b.", Evaluationsheet!E41)</f>
        <v>n.e.</v>
      </c>
      <c r="G41" s="216"/>
      <c r="H41" s="217" t="s">
        <v>568</v>
      </c>
      <c r="I41" s="218"/>
    </row>
    <row r="42" spans="1:9">
      <c r="A42" s="204"/>
      <c r="B42" s="254" t="s">
        <v>456</v>
      </c>
      <c r="C42" s="254" t="s">
        <v>600</v>
      </c>
      <c r="D42" s="496"/>
      <c r="E42" s="137" t="s">
        <v>963</v>
      </c>
      <c r="F42" s="215" t="str">
        <f>IF(Evaluationsheet!E42="nicht bewertet", "n.b.", Evaluationsheet!E42)</f>
        <v>n.e.</v>
      </c>
      <c r="G42" s="216"/>
      <c r="H42" s="217" t="s">
        <v>568</v>
      </c>
      <c r="I42" s="218"/>
    </row>
    <row r="43" spans="1:9" ht="17">
      <c r="A43" s="204"/>
      <c r="B43" s="219" t="s">
        <v>457</v>
      </c>
      <c r="C43" s="220" t="s">
        <v>601</v>
      </c>
      <c r="D43" s="221" t="s">
        <v>423</v>
      </c>
      <c r="E43" s="222" t="s">
        <v>662</v>
      </c>
      <c r="F43" s="215" t="str">
        <f>IF(Evaluationsheet!E43="nicht bewertet", "n.b.", Evaluationsheet!E43)</f>
        <v>n.e.</v>
      </c>
      <c r="G43" s="224"/>
      <c r="H43" s="225" t="s">
        <v>568</v>
      </c>
      <c r="I43" s="218"/>
    </row>
    <row r="44" spans="1:9" ht="34">
      <c r="A44" s="204"/>
      <c r="B44" s="220" t="s">
        <v>458</v>
      </c>
      <c r="C44" s="220" t="s">
        <v>600</v>
      </c>
      <c r="D44" s="221" t="s">
        <v>423</v>
      </c>
      <c r="E44" s="222" t="s">
        <v>964</v>
      </c>
      <c r="F44" s="223" t="str">
        <f>IF(Evaluationsheet!E44="nicht bewertet", "n.b.", Evaluationsheet!E44)</f>
        <v>n.e.</v>
      </c>
      <c r="G44" s="224"/>
      <c r="H44" s="225" t="s">
        <v>568</v>
      </c>
      <c r="I44" s="218"/>
    </row>
    <row r="45" spans="1:9" ht="17">
      <c r="A45" s="204"/>
      <c r="B45" s="220" t="s">
        <v>704</v>
      </c>
      <c r="C45" s="220" t="s">
        <v>602</v>
      </c>
      <c r="D45" s="221" t="s">
        <v>423</v>
      </c>
      <c r="E45" s="222" t="s">
        <v>663</v>
      </c>
      <c r="F45" s="223" t="str">
        <f>IF(Evaluationsheet!E45="nicht bewertet", "n.b.", Evaluationsheet!E45)</f>
        <v>n.e.</v>
      </c>
      <c r="G45" s="224"/>
      <c r="H45" s="225" t="s">
        <v>568</v>
      </c>
      <c r="I45" s="218"/>
    </row>
    <row r="46" spans="1:9">
      <c r="A46" s="204"/>
      <c r="B46" s="490" t="s">
        <v>603</v>
      </c>
      <c r="C46" s="490"/>
      <c r="D46" s="490"/>
      <c r="E46" s="490"/>
      <c r="F46" s="490"/>
      <c r="G46" s="490"/>
      <c r="H46" s="490"/>
      <c r="I46" s="232"/>
    </row>
    <row r="47" spans="1:9" ht="17">
      <c r="A47" s="204"/>
      <c r="B47" s="211" t="s">
        <v>460</v>
      </c>
      <c r="C47" s="212" t="s">
        <v>604</v>
      </c>
      <c r="D47" s="213" t="s">
        <v>423</v>
      </c>
      <c r="E47" s="214" t="s">
        <v>664</v>
      </c>
      <c r="F47" s="215" t="str">
        <f>IF(Evaluationsheet!E47="nicht bewertet", "n.b.", Evaluationsheet!E47)</f>
        <v>n.e.</v>
      </c>
      <c r="G47" s="216"/>
      <c r="H47" s="217" t="s">
        <v>568</v>
      </c>
      <c r="I47" s="218"/>
    </row>
    <row r="48" spans="1:9" ht="34">
      <c r="A48" s="204"/>
      <c r="B48" s="219" t="s">
        <v>461</v>
      </c>
      <c r="C48" s="220" t="s">
        <v>605</v>
      </c>
      <c r="D48" s="221" t="s">
        <v>423</v>
      </c>
      <c r="E48" s="222" t="s">
        <v>665</v>
      </c>
      <c r="F48" s="215" t="str">
        <f>IF(Evaluationsheet!E48="nicht bewertet", "n.b.", Evaluationsheet!E48)</f>
        <v>n.e.</v>
      </c>
      <c r="G48" s="224"/>
      <c r="H48" s="225" t="s">
        <v>568</v>
      </c>
      <c r="I48" s="218"/>
    </row>
    <row r="49" spans="1:9" ht="17">
      <c r="A49" s="204"/>
      <c r="B49" s="219" t="s">
        <v>462</v>
      </c>
      <c r="C49" s="220" t="s">
        <v>606</v>
      </c>
      <c r="D49" s="221" t="s">
        <v>423</v>
      </c>
      <c r="E49" s="222" t="s">
        <v>666</v>
      </c>
      <c r="F49" s="215" t="str">
        <f>IF(Evaluationsheet!E49="nicht bewertet", "n.b.", Evaluationsheet!E49)</f>
        <v>n.e.</v>
      </c>
      <c r="G49" s="224"/>
      <c r="H49" s="225" t="s">
        <v>568</v>
      </c>
      <c r="I49" s="218"/>
    </row>
    <row r="50" spans="1:9" ht="34">
      <c r="A50" s="204"/>
      <c r="B50" s="219" t="s">
        <v>463</v>
      </c>
      <c r="C50" s="220" t="s">
        <v>607</v>
      </c>
      <c r="D50" s="221" t="s">
        <v>423</v>
      </c>
      <c r="E50" s="222" t="s">
        <v>667</v>
      </c>
      <c r="F50" s="215" t="str">
        <f>IF(Evaluationsheet!E50="nicht bewertet", "n.b.", Evaluationsheet!E50)</f>
        <v>n.e.</v>
      </c>
      <c r="G50" s="224"/>
      <c r="H50" s="225" t="s">
        <v>568</v>
      </c>
      <c r="I50" s="218"/>
    </row>
    <row r="51" spans="1:9" ht="34">
      <c r="A51" s="204"/>
      <c r="B51" s="219" t="s">
        <v>464</v>
      </c>
      <c r="C51" s="220" t="s">
        <v>608</v>
      </c>
      <c r="D51" s="221"/>
      <c r="E51" s="222" t="s">
        <v>668</v>
      </c>
      <c r="F51" s="215" t="str">
        <f>IF(Evaluationsheet!E51="nicht bewertet", "n.b.", Evaluationsheet!E51)</f>
        <v>n.e.</v>
      </c>
      <c r="G51" s="224"/>
      <c r="H51" s="225" t="s">
        <v>568</v>
      </c>
      <c r="I51" s="218"/>
    </row>
    <row r="52" spans="1:9" ht="34">
      <c r="A52" s="204"/>
      <c r="B52" s="255" t="s">
        <v>465</v>
      </c>
      <c r="C52" s="235" t="s">
        <v>609</v>
      </c>
      <c r="D52" s="497" t="s">
        <v>423</v>
      </c>
      <c r="E52" s="236" t="s">
        <v>669</v>
      </c>
      <c r="F52" s="250"/>
      <c r="G52" s="238"/>
      <c r="H52" s="256"/>
      <c r="I52" s="218"/>
    </row>
    <row r="53" spans="1:9">
      <c r="A53" s="204"/>
      <c r="B53" s="241" t="s">
        <v>465</v>
      </c>
      <c r="C53" s="241" t="s">
        <v>609</v>
      </c>
      <c r="D53" s="498"/>
      <c r="E53" s="137" t="s">
        <v>965</v>
      </c>
      <c r="F53" s="229" t="str">
        <f>IF(Evaluationsheet!E53="nicht bewertet", "n.b.", Evaluationsheet!E53)</f>
        <v>n.e.</v>
      </c>
      <c r="G53" s="257"/>
      <c r="H53" s="258" t="s">
        <v>568</v>
      </c>
      <c r="I53" s="218"/>
    </row>
    <row r="54" spans="1:9">
      <c r="A54" s="204"/>
      <c r="B54" s="241" t="s">
        <v>465</v>
      </c>
      <c r="C54" s="241" t="s">
        <v>609</v>
      </c>
      <c r="D54" s="498"/>
      <c r="E54" s="138" t="s">
        <v>966</v>
      </c>
      <c r="F54" s="223" t="str">
        <f>IF(Evaluationsheet!E54="nicht bewertet", "n.b.", Evaluationsheet!E54)</f>
        <v>n.e.</v>
      </c>
      <c r="G54" s="224"/>
      <c r="H54" s="225" t="s">
        <v>568</v>
      </c>
      <c r="I54" s="218"/>
    </row>
    <row r="55" spans="1:9">
      <c r="A55" s="204"/>
      <c r="B55" s="243" t="s">
        <v>465</v>
      </c>
      <c r="C55" s="243" t="s">
        <v>609</v>
      </c>
      <c r="D55" s="499"/>
      <c r="E55" s="139" t="s">
        <v>967</v>
      </c>
      <c r="F55" s="229" t="str">
        <f>IF(Evaluationsheet!E55="nicht bewertet", "n.b.", Evaluationsheet!E55)</f>
        <v>n.e.</v>
      </c>
      <c r="G55" s="216"/>
      <c r="H55" s="217" t="s">
        <v>568</v>
      </c>
      <c r="I55" s="218"/>
    </row>
    <row r="56" spans="1:9" ht="34">
      <c r="A56" s="204"/>
      <c r="B56" s="219" t="s">
        <v>466</v>
      </c>
      <c r="C56" s="220" t="s">
        <v>610</v>
      </c>
      <c r="D56" s="221"/>
      <c r="E56" s="222" t="s">
        <v>670</v>
      </c>
      <c r="F56" s="223" t="str">
        <f>IF(Evaluationsheet!E56="nicht bewertet", "n.b.", Evaluationsheet!E56)</f>
        <v>n.e.</v>
      </c>
      <c r="G56" s="224"/>
      <c r="H56" s="225" t="s">
        <v>568</v>
      </c>
      <c r="I56" s="218"/>
    </row>
    <row r="57" spans="1:9" ht="34">
      <c r="A57" s="204"/>
      <c r="B57" s="219" t="s">
        <v>467</v>
      </c>
      <c r="C57" s="220" t="s">
        <v>611</v>
      </c>
      <c r="D57" s="221"/>
      <c r="E57" s="222" t="s">
        <v>672</v>
      </c>
      <c r="F57" s="229" t="str">
        <f>IF(Evaluationsheet!E57="nicht bewertet", "n.b.", Evaluationsheet!E57)</f>
        <v>n.e.</v>
      </c>
      <c r="G57" s="224"/>
      <c r="H57" s="225" t="s">
        <v>568</v>
      </c>
      <c r="I57" s="218"/>
    </row>
    <row r="58" spans="1:9" ht="34">
      <c r="A58" s="204"/>
      <c r="B58" s="219" t="s">
        <v>468</v>
      </c>
      <c r="C58" s="220" t="s">
        <v>612</v>
      </c>
      <c r="D58" s="221" t="s">
        <v>423</v>
      </c>
      <c r="E58" s="222" t="s">
        <v>671</v>
      </c>
      <c r="F58" s="223" t="str">
        <f>IF(Evaluationsheet!E58="nicht bewertet", "n.b.", Evaluationsheet!E58)</f>
        <v>n.e.</v>
      </c>
      <c r="G58" s="224"/>
      <c r="H58" s="225" t="s">
        <v>568</v>
      </c>
      <c r="I58" s="218"/>
    </row>
    <row r="59" spans="1:9" ht="34">
      <c r="A59" s="204"/>
      <c r="B59" s="219" t="s">
        <v>469</v>
      </c>
      <c r="C59" s="220" t="s">
        <v>613</v>
      </c>
      <c r="D59" s="221" t="s">
        <v>423</v>
      </c>
      <c r="E59" s="222" t="s">
        <v>673</v>
      </c>
      <c r="F59" s="229" t="str">
        <f>IF(Evaluationsheet!E59="nicht bewertet", "n.b.", Evaluationsheet!E59)</f>
        <v>n.e.</v>
      </c>
      <c r="G59" s="224"/>
      <c r="H59" s="225" t="s">
        <v>568</v>
      </c>
      <c r="I59" s="218"/>
    </row>
    <row r="60" spans="1:9" ht="17">
      <c r="A60" s="204"/>
      <c r="B60" s="219" t="s">
        <v>470</v>
      </c>
      <c r="C60" s="220" t="s">
        <v>614</v>
      </c>
      <c r="D60" s="221" t="s">
        <v>423</v>
      </c>
      <c r="E60" s="222" t="s">
        <v>663</v>
      </c>
      <c r="F60" s="223" t="str">
        <f>IF(Evaluationsheet!E60="nicht bewertet", "n.b.", Evaluationsheet!E60)</f>
        <v>n.e.</v>
      </c>
      <c r="G60" s="224"/>
      <c r="H60" s="225" t="s">
        <v>568</v>
      </c>
      <c r="I60" s="218"/>
    </row>
    <row r="61" spans="1:9" ht="17">
      <c r="A61" s="204"/>
      <c r="B61" s="219" t="s">
        <v>471</v>
      </c>
      <c r="C61" s="220" t="s">
        <v>615</v>
      </c>
      <c r="D61" s="221" t="s">
        <v>423</v>
      </c>
      <c r="E61" s="222" t="s">
        <v>641</v>
      </c>
      <c r="F61" s="229" t="str">
        <f>IF(Evaluationsheet!E61="nicht bewertet", "n.b.", Evaluationsheet!E61)</f>
        <v>n.e.</v>
      </c>
      <c r="G61" s="224"/>
      <c r="H61" s="225" t="s">
        <v>568</v>
      </c>
      <c r="I61" s="218"/>
    </row>
    <row r="62" spans="1:9" ht="34">
      <c r="A62" s="204"/>
      <c r="B62" s="219" t="s">
        <v>472</v>
      </c>
      <c r="C62" s="220" t="s">
        <v>616</v>
      </c>
      <c r="D62" s="221"/>
      <c r="E62" s="222" t="s">
        <v>674</v>
      </c>
      <c r="F62" s="223" t="str">
        <f>IF(Evaluationsheet!E62="nicht bewertet", "n.b.", Evaluationsheet!E62)</f>
        <v>n.e.</v>
      </c>
      <c r="G62" s="224"/>
      <c r="H62" s="225" t="s">
        <v>568</v>
      </c>
      <c r="I62" s="218"/>
    </row>
    <row r="63" spans="1:9" ht="34">
      <c r="A63" s="204"/>
      <c r="B63" s="219" t="s">
        <v>473</v>
      </c>
      <c r="C63" s="220" t="s">
        <v>617</v>
      </c>
      <c r="D63" s="221" t="s">
        <v>423</v>
      </c>
      <c r="E63" s="222" t="s">
        <v>675</v>
      </c>
      <c r="F63" s="229" t="str">
        <f>IF(Evaluationsheet!E63="nicht bewertet", "n.b.", Evaluationsheet!E63)</f>
        <v>n.e.</v>
      </c>
      <c r="G63" s="224"/>
      <c r="H63" s="225" t="s">
        <v>568</v>
      </c>
      <c r="I63" s="218"/>
    </row>
    <row r="64" spans="1:9" ht="34">
      <c r="A64" s="204"/>
      <c r="B64" s="219" t="s">
        <v>474</v>
      </c>
      <c r="C64" s="220" t="s">
        <v>618</v>
      </c>
      <c r="D64" s="221"/>
      <c r="E64" s="222" t="s">
        <v>676</v>
      </c>
      <c r="F64" s="223" t="str">
        <f>IF(Evaluationsheet!E64="nicht bewertet", "n.b.", Evaluationsheet!E64)</f>
        <v>n.e.</v>
      </c>
      <c r="G64" s="224"/>
      <c r="H64" s="225" t="s">
        <v>568</v>
      </c>
      <c r="I64" s="218"/>
    </row>
    <row r="65" spans="1:10" ht="17">
      <c r="A65" s="204"/>
      <c r="B65" s="219" t="s">
        <v>475</v>
      </c>
      <c r="C65" s="220" t="s">
        <v>619</v>
      </c>
      <c r="D65" s="221"/>
      <c r="E65" s="222" t="s">
        <v>677</v>
      </c>
      <c r="F65" s="229" t="str">
        <f>IF(Evaluationsheet!E65="nicht bewertet", "n.b.", Evaluationsheet!E65)</f>
        <v>n.e.</v>
      </c>
      <c r="G65" s="224"/>
      <c r="H65" s="225" t="s">
        <v>568</v>
      </c>
      <c r="I65" s="218"/>
    </row>
    <row r="66" spans="1:10" ht="34">
      <c r="A66" s="204"/>
      <c r="B66" s="219" t="s">
        <v>476</v>
      </c>
      <c r="C66" s="220" t="s">
        <v>620</v>
      </c>
      <c r="D66" s="221" t="s">
        <v>423</v>
      </c>
      <c r="E66" s="222" t="s">
        <v>678</v>
      </c>
      <c r="F66" s="223" t="str">
        <f>IF(Evaluationsheet!E66="nicht bewertet", "n.b.", Evaluationsheet!E66)</f>
        <v>n.e.</v>
      </c>
      <c r="G66" s="224"/>
      <c r="H66" s="225" t="s">
        <v>568</v>
      </c>
      <c r="I66" s="218"/>
    </row>
    <row r="67" spans="1:10" ht="23" customHeight="1">
      <c r="A67" s="204"/>
      <c r="B67" s="490" t="s">
        <v>621</v>
      </c>
      <c r="C67" s="490"/>
      <c r="D67" s="490"/>
      <c r="E67" s="490"/>
      <c r="F67" s="490"/>
      <c r="G67" s="490"/>
      <c r="H67" s="490"/>
      <c r="I67" s="259"/>
    </row>
    <row r="68" spans="1:10" ht="34">
      <c r="A68" s="204"/>
      <c r="B68" s="211" t="s">
        <v>478</v>
      </c>
      <c r="C68" s="212" t="s">
        <v>622</v>
      </c>
      <c r="D68" s="213" t="s">
        <v>423</v>
      </c>
      <c r="E68" s="214" t="s">
        <v>679</v>
      </c>
      <c r="F68" s="215" t="str">
        <f>IF(Evaluationsheet!E68="nicht bewertet", "n.b.", Evaluationsheet!E68)</f>
        <v>n.e.</v>
      </c>
      <c r="G68" s="216"/>
      <c r="H68" s="217" t="s">
        <v>568</v>
      </c>
      <c r="I68" s="218"/>
    </row>
    <row r="69" spans="1:10" ht="34">
      <c r="A69" s="204"/>
      <c r="B69" s="219" t="s">
        <v>479</v>
      </c>
      <c r="C69" s="220" t="s">
        <v>623</v>
      </c>
      <c r="D69" s="221" t="s">
        <v>423</v>
      </c>
      <c r="E69" s="222" t="s">
        <v>680</v>
      </c>
      <c r="F69" s="223" t="str">
        <f>IF(Evaluationsheet!E69="nicht bewertet", "n.b.", Evaluationsheet!E69)</f>
        <v>n.e.</v>
      </c>
      <c r="G69" s="224"/>
      <c r="H69" s="225" t="s">
        <v>568</v>
      </c>
      <c r="I69" s="218"/>
    </row>
    <row r="70" spans="1:10" ht="34">
      <c r="A70" s="204"/>
      <c r="B70" s="219" t="s">
        <v>480</v>
      </c>
      <c r="C70" s="233" t="s">
        <v>971</v>
      </c>
      <c r="D70" s="221"/>
      <c r="E70" s="222" t="s">
        <v>481</v>
      </c>
      <c r="F70" s="223" t="str">
        <f>IF(Evaluationsheet!E70="nicht bewertet", "n.b.", Evaluationsheet!E70)</f>
        <v>n.e.</v>
      </c>
      <c r="G70" s="224"/>
      <c r="H70" s="225" t="s">
        <v>568</v>
      </c>
      <c r="I70" s="218"/>
    </row>
    <row r="71" spans="1:10" ht="34">
      <c r="A71" s="204"/>
      <c r="B71" s="219" t="s">
        <v>482</v>
      </c>
      <c r="C71" s="220" t="s">
        <v>1083</v>
      </c>
      <c r="D71" s="221" t="s">
        <v>423</v>
      </c>
      <c r="E71" s="222" t="s">
        <v>946</v>
      </c>
      <c r="F71" s="223" t="str">
        <f>IF(Evaluationsheet!E71="nicht bewertet", "n.b.", Evaluationsheet!E71)</f>
        <v>n.e.</v>
      </c>
      <c r="G71" s="224"/>
      <c r="H71" s="225" t="s">
        <v>568</v>
      </c>
      <c r="I71" s="218"/>
    </row>
    <row r="72" spans="1:10">
      <c r="A72" s="260"/>
      <c r="B72" s="261"/>
      <c r="C72" s="262"/>
      <c r="D72" s="261"/>
      <c r="E72" s="263"/>
      <c r="F72" s="261"/>
      <c r="G72" s="261"/>
      <c r="H72" s="261"/>
      <c r="I72" s="264"/>
      <c r="J72" s="204"/>
    </row>
  </sheetData>
  <mergeCells count="12">
    <mergeCell ref="G3:H3"/>
    <mergeCell ref="B4:H4"/>
    <mergeCell ref="B67:H67"/>
    <mergeCell ref="A1:I2"/>
    <mergeCell ref="B14:H14"/>
    <mergeCell ref="B21:H21"/>
    <mergeCell ref="B29:H29"/>
    <mergeCell ref="B39:H39"/>
    <mergeCell ref="D16:D18"/>
    <mergeCell ref="D40:D42"/>
    <mergeCell ref="D52:D55"/>
    <mergeCell ref="B46:H46"/>
  </mergeCells>
  <phoneticPr fontId="10" type="noConversion"/>
  <conditionalFormatting sqref="F3 F72:F1048576">
    <cfRule type="containsText" dxfId="324" priority="55" operator="containsText" text="n.b.">
      <formula>NOT(ISERROR(SEARCH("n.b.",F3)))</formula>
    </cfRule>
  </conditionalFormatting>
  <conditionalFormatting sqref="F15 F5:F13 F19:F20 F22:F28 F30:F38 F47:F51 F53:F66">
    <cfRule type="cellIs" dxfId="323" priority="54" operator="equal">
      <formula>10</formula>
    </cfRule>
  </conditionalFormatting>
  <conditionalFormatting sqref="F15 F5:F13 F19:F20 F22:F28 F30:F38 F47:F51 F53:F66">
    <cfRule type="cellIs" dxfId="322" priority="49" operator="equal">
      <formula>0</formula>
    </cfRule>
    <cfRule type="cellIs" dxfId="321" priority="51" operator="equal">
      <formula>4</formula>
    </cfRule>
  </conditionalFormatting>
  <conditionalFormatting sqref="F15 F5:F13 F19:F20 F22:F28 F30:F38 F47:F51 F53:F66">
    <cfRule type="cellIs" dxfId="320" priority="50" operator="equal">
      <formula>2</formula>
    </cfRule>
    <cfRule type="cellIs" dxfId="319" priority="53" operator="equal">
      <formula>8</formula>
    </cfRule>
  </conditionalFormatting>
  <conditionalFormatting sqref="F15 F5:F13 F19:F20 F22:F28 F30:F38 F47:F51 F53:F66">
    <cfRule type="cellIs" dxfId="318" priority="52" operator="equal">
      <formula>6</formula>
    </cfRule>
  </conditionalFormatting>
  <conditionalFormatting sqref="F41:F45">
    <cfRule type="cellIs" dxfId="317" priority="30" operator="equal">
      <formula>10</formula>
    </cfRule>
  </conditionalFormatting>
  <conditionalFormatting sqref="F41:F45">
    <cfRule type="cellIs" dxfId="316" priority="25" operator="equal">
      <formula>0</formula>
    </cfRule>
    <cfRule type="cellIs" dxfId="315" priority="27" operator="equal">
      <formula>4</formula>
    </cfRule>
  </conditionalFormatting>
  <conditionalFormatting sqref="F41:F45">
    <cfRule type="cellIs" dxfId="314" priority="26" operator="equal">
      <formula>2</formula>
    </cfRule>
    <cfRule type="cellIs" dxfId="313" priority="29" operator="equal">
      <formula>8</formula>
    </cfRule>
  </conditionalFormatting>
  <conditionalFormatting sqref="F41:F45">
    <cfRule type="cellIs" dxfId="312" priority="28" operator="equal">
      <formula>6</formula>
    </cfRule>
  </conditionalFormatting>
  <conditionalFormatting sqref="F68:F71">
    <cfRule type="cellIs" dxfId="311" priority="18" operator="equal">
      <formula>10</formula>
    </cfRule>
  </conditionalFormatting>
  <conditionalFormatting sqref="F68:F71">
    <cfRule type="cellIs" dxfId="310" priority="13" operator="equal">
      <formula>0</formula>
    </cfRule>
    <cfRule type="cellIs" dxfId="309" priority="15" operator="equal">
      <formula>4</formula>
    </cfRule>
  </conditionalFormatting>
  <conditionalFormatting sqref="F68:F71">
    <cfRule type="cellIs" dxfId="308" priority="14" operator="equal">
      <formula>2</formula>
    </cfRule>
    <cfRule type="cellIs" dxfId="307" priority="17" operator="equal">
      <formula>8</formula>
    </cfRule>
  </conditionalFormatting>
  <conditionalFormatting sqref="F68:F71">
    <cfRule type="cellIs" dxfId="306" priority="16" operator="equal">
      <formula>6</formula>
    </cfRule>
  </conditionalFormatting>
  <conditionalFormatting sqref="H5:I5">
    <cfRule type="containsText" dxfId="305" priority="12" operator="containsText" text="🔙">
      <formula>NOT(ISERROR(SEARCH("🔙",H5)))</formula>
    </cfRule>
  </conditionalFormatting>
  <conditionalFormatting sqref="F17:F18">
    <cfRule type="cellIs" dxfId="304" priority="5" operator="equal">
      <formula>10</formula>
    </cfRule>
  </conditionalFormatting>
  <conditionalFormatting sqref="F17:F18">
    <cfRule type="cellIs" dxfId="303" priority="2" operator="equal">
      <formula>4</formula>
    </cfRule>
  </conditionalFormatting>
  <conditionalFormatting sqref="F17:F18">
    <cfRule type="cellIs" dxfId="302" priority="1" operator="equal">
      <formula>2</formula>
    </cfRule>
    <cfRule type="cellIs" dxfId="301" priority="4" operator="equal">
      <formula>8</formula>
    </cfRule>
  </conditionalFormatting>
  <conditionalFormatting sqref="F17:F18">
    <cfRule type="cellIs" dxfId="30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CC26597A-D547-4F67-B44D-61D5F0A32476}"/>
    <hyperlink ref="H10" location="'L1 - Project management'!F23" display="🔙" xr:uid="{6839218D-9CA4-402A-BF8C-84BFDD414B1C}"/>
    <hyperlink ref="H11" location="'L1 - Project management'!F27" display="🔙" xr:uid="{B6FAE3A8-3E00-4536-8071-3BB266FC4A54}"/>
    <hyperlink ref="H12" location="'L1 - Project management'!F29" display="🔙" xr:uid="{0588CDDD-C505-495A-B3A6-88A5E1E7470A}"/>
    <hyperlink ref="H13" location="'L1 - Project management'!F32" display="🔙" xr:uid="{5B15AB08-CB44-4F07-84BC-C44C9432D1A5}"/>
    <hyperlink ref="H15" location="'L2 - Planning'!F8" display="🔙" xr:uid="{3D5E6C0F-BA99-4073-8460-F59401F4DB3A}"/>
    <hyperlink ref="H19" location="'L2 - Planning'!F17" display="🔙" xr:uid="{F74FE2BE-CE29-4032-AE49-BFA5D8752498}"/>
    <hyperlink ref="H20" location="'L2 - Planning'!F20" display="🔙" xr:uid="{0D50820C-A06C-4B29-B357-C8B5DEF4D6FF}"/>
    <hyperlink ref="H22" location="'L3 - Suppliermgt.'!F8" display="🔙" xr:uid="{C587FF24-2332-4A4B-A0E0-1E71D8F9A988}"/>
    <hyperlink ref="H24" location="'L3 - Suppliermgt.'!F14" display="🔙" xr:uid="{B911DBE1-7972-43DD-AAD1-A1B84D65F2A7}"/>
    <hyperlink ref="H23" location="'L3 - Suppliermgt.'!F11" display="🔙" xr:uid="{5068DD7D-59EB-482A-926E-A09280CB6FC6}"/>
    <hyperlink ref="H25" location="'L3 - Suppliermgt.'!F17" display="🔙" xr:uid="{3BA43A6A-92BC-44FA-A138-3CF747488E12}"/>
    <hyperlink ref="H26" location="'L3 - Suppliermgt.'!F20" display="🔙" xr:uid="{D17BB696-D46D-4AA8-B928-0E45D6467872}"/>
    <hyperlink ref="H28" location="'L3 - Suppliermgt.'!F26" display="🔙" xr:uid="{95CEE1C6-0A12-4E55-BB28-02AF0AE5A0FA}"/>
    <hyperlink ref="H27" location="'L3 - Suppliermgt.'!F23" display="🔙" xr:uid="{BEC3957D-29F9-4374-9A35-2373BC7F0D2C}"/>
    <hyperlink ref="H30" location="'L4 - Procurement logistics'!F8" display="🔙" xr:uid="{8B17095C-35BF-4CEB-B272-A7FA5F18057A}"/>
    <hyperlink ref="H31:H38" location="'L4 - Beschaffungslogisitk'!F9" display="🔙" xr:uid="{FBFF7219-1D79-4AA6-8919-D8232F4DF072}"/>
    <hyperlink ref="H31" location="'L4 - Procurement logistics'!F11" display="🔙" xr:uid="{2AEB1E89-68A1-49EA-B3DE-8B157C1EC2DD}"/>
    <hyperlink ref="H32" location="'L4 - Procurement logistics'!F14" display="🔙" xr:uid="{154336F2-B220-4955-A0DE-A6C442297715}"/>
    <hyperlink ref="H33" location="'L4 - Procurement logistics'!F17" display="🔙" xr:uid="{A066D52D-3FB0-49A9-96DB-4F9B3C553BE1}"/>
    <hyperlink ref="H34" location="'L4 - Procurement logistics'!F20" display="🔙" xr:uid="{806F4774-45D3-4642-A590-0369ECD58036}"/>
    <hyperlink ref="H35" location="'L4 - Procurement logistics'!F23" display="🔙" xr:uid="{69D7E2FA-C556-4476-B286-1278808C6371}"/>
    <hyperlink ref="H36" location="'L4 - Procurement logistics'!F26" display="🔙" xr:uid="{A0147E1B-2BB6-45E5-B89C-4FE5304566DA}"/>
    <hyperlink ref="H37" location="'L4 - Procurement logistics'!F29" display="🔙" xr:uid="{D20D4741-A12A-4BB7-BD7C-1616E0E0B265}"/>
    <hyperlink ref="H38" location="'L4 - Procurement logistics'!F32" display="🔙" xr:uid="{C0932AA5-1E45-4AA1-9E18-02FD828ECE59}"/>
    <hyperlink ref="H43" location="'L5 - Transport logistics'!F14" display="🔙" xr:uid="{65196097-0818-41B5-ABEA-DC911CBD286E}"/>
    <hyperlink ref="H47" location="'L6 -  In-house logistics'!F8" display="🔙" xr:uid="{2B2EF013-A492-417F-8A11-56DDA928CE8B}"/>
    <hyperlink ref="H45" location="'L5 - Transport logistics'!F20" display="🔙" xr:uid="{4B1AB4B7-4F98-48D9-A831-6C790AE459C3}"/>
    <hyperlink ref="H48" location="'L6 -  In-house logistics'!F11" display="🔙" xr:uid="{C37E3F14-5706-486F-B32A-19B218715F3F}"/>
    <hyperlink ref="H49" location="'L6 -  In-house logistics'!F14" display="🔙" xr:uid="{B5C5C737-95C7-43C8-B192-EDBE76645A89}"/>
    <hyperlink ref="H50" location="'L6 -  In-house logistics'!F17" display="🔙" xr:uid="{D9317DBD-CC99-4098-B42F-1CBC06929428}"/>
    <hyperlink ref="H51" location="'L6 -  In-house logistics'!F20" display="🔙" xr:uid="{726139B3-B4F7-4890-B2E0-8F5C7CD8C07D}"/>
    <hyperlink ref="H56" location="'L6 -  In-house logistics'!F31" display="🔙" xr:uid="{AFE03EC3-4360-40A6-A839-43B5421EEA83}"/>
    <hyperlink ref="H57" location="'L6 -  In-house logistics'!F34" display="🔙" xr:uid="{89223333-5C6B-4791-B336-30D9FBEA3119}"/>
    <hyperlink ref="H58" location="'L6 -  In-house logistics'!F37" display="🔙" xr:uid="{E985CD2B-5316-4114-9CE4-7CCB6A12F0C6}"/>
    <hyperlink ref="H59" location="'L6 -  In-house logistics'!F40" display="🔙" xr:uid="{5AAB8852-CF76-46F9-B5DB-F2FEBE6DB757}"/>
    <hyperlink ref="H60" location="'L6 -  In-house logistics'!F43" display="🔙" xr:uid="{2AFB9FB5-0B66-47D6-BAFA-3D8BD8E1F133}"/>
    <hyperlink ref="H61" location="'L6 -  In-house logistics'!F46" display="🔙" xr:uid="{E5F02851-62A9-4603-83B5-DCEF1992865B}"/>
    <hyperlink ref="H62" location="'L6 -  In-house logistics'!F49" display="🔙" xr:uid="{BCFC3BE6-75B0-4C90-9A1A-F84123F46BE7}"/>
    <hyperlink ref="H63" location="'L6 -  In-house logistics'!F52" display="🔙" xr:uid="{60E61BB3-85A4-41A7-913D-CB375F81BB3E}"/>
    <hyperlink ref="H64" location="'L6 -  In-house logistics'!F55" display="🔙" xr:uid="{0BF4EE6D-122B-4546-988F-32F207B7697E}"/>
    <hyperlink ref="H65" location="'L6 -  In-house logistics'!F58" display="🔙" xr:uid="{C62D1803-E794-4F8A-9DF6-7EA478874433}"/>
    <hyperlink ref="H66" location="'L6 -  In-house logistics'!F61" display="🔙" xr:uid="{1479BBAD-9F02-4835-80B0-CBCAAF30B419}"/>
    <hyperlink ref="H68" location="'L7 - Customer management'!F8" display="🔙" xr:uid="{448F1E8D-7AF8-4CF1-860A-25DDBA48A0FB}"/>
    <hyperlink ref="H69" location="'L7 - Customer management'!F11" display="🔙" xr:uid="{86343C90-066F-4903-A7C2-BD763739680D}"/>
    <hyperlink ref="H70" location="'L7 - Customer management'!F14" display="🔙" xr:uid="{B4C1882D-90A0-42FE-A4F2-AF81F67C3674}"/>
    <hyperlink ref="H71" location="'L7 - Customer management'!F17" display="🔙" xr:uid="{A9300C92-62BA-41EC-811F-622F17B09FAB}"/>
    <hyperlink ref="H17" location="'L2 - Planning'!F11" display="🔙" xr:uid="{7827965A-0344-44EC-8DF2-82A9388851FD}"/>
    <hyperlink ref="H18" location="'L2 - Planning'!F14" display="🔙" xr:uid="{98196BA1-8B4A-4CCB-B3E1-EAE3616E5AEC}"/>
    <hyperlink ref="H44" location="'L5 - Transport logistics'!F17" display="🔙" xr:uid="{E27B3577-B329-4288-86D1-9C3E0DAF6C1E}"/>
    <hyperlink ref="H41" location="'L5 - Transport logistics'!F8" display="🔙" xr:uid="{594AECDD-D4DB-4375-9795-113ACFC08DA3}"/>
    <hyperlink ref="H42" location="'L5 - Transport logistics'!F11" display="🔙" xr:uid="{C7F629C0-6894-44AA-B686-F057EA3706CA}"/>
    <hyperlink ref="H55" location="'L6 -  In-house logistics'!F28" display="🔙" xr:uid="{CA673546-7048-4498-8CBD-883757FE68CB}"/>
    <hyperlink ref="H54" location="'L6 -  In-house logistics'!F26" display="🔙" xr:uid="{5BB41662-DEF0-4E8F-9D00-676C74908F34}"/>
    <hyperlink ref="H53" location="'L6 -  In-house logistics'!F23" display="🔙" xr:uid="{D1E1753A-BFBD-469D-B80C-A81801407050}"/>
  </hyperlinks>
  <pageMargins left="0.7" right="0.7" top="0.78740157499999996" bottom="0.78740157499999996" header="0.3" footer="0.3"/>
  <pageSetup paperSize="9" scale="54" fitToHeight="0" orientation="portrait" r:id="rId1"/>
  <headerFooter>
    <oddHeader>&amp;L&amp;"Calibri"&amp;10&amp;K000000 INTERNAL&amp;1#_x000D_</oddHeader>
    <oddFooter>&amp;L_x000D_&amp;1#&amp;"Calibri"&amp;10&amp;K000000 Internal</oddFooter>
  </headerFooter>
  <rowBreaks count="1" manualBreakCount="1">
    <brk id="32" max="8" man="1"/>
  </rowBreaks>
  <ignoredErrors>
    <ignoredError sqref="C45 C56:C59 C68:C69 C15 C5:C13 C19:C20 C22:C28 C30:C32 C40:C44 C47:C52 C60:C66 C16:C18 C53:C55 C34:C38" twoDigitTextYea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abSelected="1" topLeftCell="A24" zoomScale="125" zoomScaleNormal="85" workbookViewId="0">
      <selection activeCell="C50" sqref="C50"/>
    </sheetView>
  </sheetViews>
  <sheetFormatPr baseColWidth="10" defaultColWidth="11.5" defaultRowHeight="16"/>
  <cols>
    <col min="1" max="1" width="8.5" bestFit="1" customWidth="1"/>
    <col min="2" max="2" width="30.5" bestFit="1" customWidth="1"/>
    <col min="3" max="3" width="28.5" bestFit="1" customWidth="1"/>
    <col min="4" max="4" width="38.5" bestFit="1" customWidth="1"/>
    <col min="5" max="5" width="19.5" bestFit="1" customWidth="1"/>
    <col min="6" max="6" width="36.83203125" bestFit="1" customWidth="1"/>
    <col min="7" max="7" width="19.33203125" bestFit="1" customWidth="1"/>
    <col min="8" max="8" width="31.1640625" bestFit="1" customWidth="1"/>
    <col min="10" max="10" width="15.83203125" customWidth="1"/>
  </cols>
  <sheetData>
    <row r="1" spans="1:11" ht="36.75" customHeight="1">
      <c r="A1" s="500" t="s">
        <v>0</v>
      </c>
      <c r="B1" s="501"/>
      <c r="C1" s="501"/>
      <c r="D1" s="501"/>
      <c r="E1" s="501"/>
      <c r="F1" s="501"/>
      <c r="G1" s="501"/>
      <c r="H1" s="501"/>
      <c r="I1" s="502"/>
      <c r="J1" s="35"/>
      <c r="K1" s="4"/>
    </row>
    <row r="2" spans="1:11" ht="15" customHeight="1">
      <c r="A2" s="503"/>
      <c r="B2" s="504"/>
      <c r="C2" s="504"/>
      <c r="D2" s="504"/>
      <c r="E2" s="504"/>
      <c r="F2" s="504"/>
      <c r="G2" s="504"/>
      <c r="H2" s="504"/>
      <c r="I2" s="505"/>
      <c r="J2" s="512" t="s">
        <v>1</v>
      </c>
      <c r="K2" s="512"/>
    </row>
    <row r="3" spans="1:11" ht="15" customHeight="1" thickBot="1">
      <c r="A3" s="506"/>
      <c r="B3" s="507"/>
      <c r="C3" s="507"/>
      <c r="D3" s="507"/>
      <c r="E3" s="507"/>
      <c r="F3" s="507"/>
      <c r="G3" s="507"/>
      <c r="H3" s="507"/>
      <c r="I3" s="508"/>
      <c r="J3" s="4"/>
      <c r="K3" s="4"/>
    </row>
    <row r="4" spans="1:11" ht="29" thickBot="1">
      <c r="A4" s="44"/>
      <c r="B4" s="2" t="s">
        <v>2</v>
      </c>
      <c r="C4" s="2" t="s">
        <v>3</v>
      </c>
      <c r="D4" s="3" t="s">
        <v>4</v>
      </c>
      <c r="E4" s="2" t="s">
        <v>5</v>
      </c>
      <c r="F4" s="2" t="s">
        <v>6</v>
      </c>
      <c r="G4" s="2" t="s">
        <v>7</v>
      </c>
      <c r="H4" s="2" t="s">
        <v>8</v>
      </c>
      <c r="I4" s="513"/>
      <c r="J4" s="36" t="s">
        <v>9</v>
      </c>
      <c r="K4" s="36" t="s">
        <v>10</v>
      </c>
    </row>
    <row r="5" spans="1:11">
      <c r="A5" s="45"/>
      <c r="B5" s="39" t="str">
        <f>'L1 - Project management'!F34</f>
        <v>n.e.</v>
      </c>
      <c r="C5" s="39" t="str">
        <f>'L2 - Planning'!F22</f>
        <v>n.e.</v>
      </c>
      <c r="D5" s="39" t="str">
        <f>'L3 - Suppliermgt.'!F28</f>
        <v>n.e.</v>
      </c>
      <c r="E5" s="39" t="str">
        <f>'L4 - Procurement logistics'!F34</f>
        <v>n.e.</v>
      </c>
      <c r="F5" s="39" t="str">
        <f>'L5 - Transport logistics'!F22</f>
        <v>n.e.</v>
      </c>
      <c r="G5" s="39" t="str">
        <f>'L6 -  In-house logistics'!F64</f>
        <v>n.e.</v>
      </c>
      <c r="H5" s="39" t="str">
        <f>'L7 - Customer management'!F19</f>
        <v>n.e.</v>
      </c>
      <c r="I5" s="514"/>
      <c r="J5" s="37" t="s">
        <v>11</v>
      </c>
      <c r="K5" s="36" t="s">
        <v>12</v>
      </c>
    </row>
    <row r="6" spans="1:11">
      <c r="A6" s="45"/>
      <c r="B6" s="40" t="s">
        <v>13</v>
      </c>
      <c r="C6" s="40" t="s">
        <v>14</v>
      </c>
      <c r="D6" s="40" t="s">
        <v>15</v>
      </c>
      <c r="E6" s="40" t="s">
        <v>16</v>
      </c>
      <c r="F6" s="40" t="s">
        <v>17</v>
      </c>
      <c r="G6" s="40" t="s">
        <v>18</v>
      </c>
      <c r="H6" s="40" t="s">
        <v>19</v>
      </c>
      <c r="I6" s="514"/>
      <c r="J6" s="37"/>
      <c r="K6" s="36"/>
    </row>
    <row r="7" spans="1:11">
      <c r="A7" s="45"/>
      <c r="B7" s="316" t="str">
        <f>Evaluationsheet!E5</f>
        <v>n.e.</v>
      </c>
      <c r="C7" s="316"/>
      <c r="D7" s="316" t="str">
        <f>Evaluationsheet!E22</f>
        <v>n.e.</v>
      </c>
      <c r="E7" s="316" t="str">
        <f>Evaluationsheet!E31</f>
        <v>n.e.</v>
      </c>
      <c r="F7" s="316" t="str">
        <f>Evaluationsheet!E43</f>
        <v>n.e.</v>
      </c>
      <c r="G7" s="316" t="str">
        <f>Evaluationsheet!E47</f>
        <v>n.e.</v>
      </c>
      <c r="H7" s="316" t="str">
        <f>Evaluationsheet!E68</f>
        <v>n.e.</v>
      </c>
      <c r="I7" s="514"/>
      <c r="J7" t="s">
        <v>806</v>
      </c>
      <c r="K7" s="38" t="s">
        <v>20</v>
      </c>
    </row>
    <row r="8" spans="1:11">
      <c r="A8" s="45"/>
      <c r="B8" s="316" t="str">
        <f>Evaluationsheet!E6</f>
        <v>n.e.</v>
      </c>
      <c r="C8" s="316" t="str">
        <f>Evaluationsheet!E15</f>
        <v>n.e.</v>
      </c>
      <c r="D8" s="316" t="str">
        <f>Evaluationsheet!E23</f>
        <v>n.e.</v>
      </c>
      <c r="E8" s="316" t="str">
        <f>Evaluationsheet!E33</f>
        <v>n.e.</v>
      </c>
      <c r="F8" s="316" t="str">
        <f>Evaluationsheet!E44</f>
        <v>n.e.</v>
      </c>
      <c r="G8" s="316" t="str">
        <f>Evaluationsheet!E48</f>
        <v>n.e.</v>
      </c>
      <c r="H8" s="316" t="str">
        <f>Evaluationsheet!E69</f>
        <v>n.e.</v>
      </c>
      <c r="I8" s="514"/>
      <c r="J8" t="s">
        <v>734</v>
      </c>
      <c r="K8" s="38" t="s">
        <v>21</v>
      </c>
    </row>
    <row r="9" spans="1:11" ht="17">
      <c r="A9" s="45"/>
      <c r="B9" s="115" t="str">
        <f>Evaluationsheet!E8</f>
        <v>n.e.</v>
      </c>
      <c r="C9" s="316" t="str">
        <f>Evaluationsheet!E17</f>
        <v>n.e.</v>
      </c>
      <c r="D9" s="316"/>
      <c r="E9" s="316" t="str">
        <f>Evaluationsheet!E35</f>
        <v>n.e.</v>
      </c>
      <c r="F9" s="316" t="str">
        <f>Evaluationsheet!E45</f>
        <v>n.e.</v>
      </c>
      <c r="G9" s="316" t="str">
        <f>Evaluationsheet!E49</f>
        <v>n.e.</v>
      </c>
      <c r="H9" s="316" t="str">
        <f>Evaluationsheet!E71</f>
        <v>n.e.</v>
      </c>
      <c r="I9" s="514"/>
      <c r="J9" t="s">
        <v>735</v>
      </c>
      <c r="K9" s="38" t="s">
        <v>22</v>
      </c>
    </row>
    <row r="10" spans="1:11">
      <c r="A10" s="45"/>
      <c r="B10" s="316"/>
      <c r="C10" s="316" t="str">
        <f>Evaluationsheet!E18</f>
        <v>n.e.</v>
      </c>
      <c r="D10" s="316"/>
      <c r="E10" s="316"/>
      <c r="F10" s="39" t="s">
        <v>23</v>
      </c>
      <c r="G10" s="316" t="str">
        <f>Evaluationsheet!E50</f>
        <v>n.e.</v>
      </c>
      <c r="H10" s="48"/>
      <c r="I10" s="514"/>
      <c r="J10" t="s">
        <v>807</v>
      </c>
      <c r="K10" s="38" t="s">
        <v>24</v>
      </c>
    </row>
    <row r="11" spans="1:11">
      <c r="A11" s="45"/>
      <c r="B11" s="316" t="str">
        <f>Evaluationsheet!E10</f>
        <v>n.e.</v>
      </c>
      <c r="C11" s="316" t="str">
        <f>Evaluationsheet!E19</f>
        <v>n.e.</v>
      </c>
      <c r="D11" s="316" t="str">
        <f>Evaluationsheet!E27</f>
        <v>n.e.</v>
      </c>
      <c r="E11" s="316"/>
      <c r="G11" s="316" t="str">
        <f>Evaluationsheet!E53</f>
        <v>n.e.</v>
      </c>
      <c r="H11" s="39" t="s">
        <v>23</v>
      </c>
      <c r="I11" s="514"/>
      <c r="J11" t="s">
        <v>736</v>
      </c>
      <c r="K11" s="38" t="s">
        <v>25</v>
      </c>
    </row>
    <row r="12" spans="1:11">
      <c r="A12" s="45"/>
      <c r="B12" s="316" t="str">
        <f>Evaluationsheet!E11</f>
        <v>n.e.</v>
      </c>
      <c r="C12" s="316"/>
      <c r="D12" s="316" t="str">
        <f>Evaluationsheet!E28</f>
        <v>n.e.</v>
      </c>
      <c r="E12" s="316" t="str">
        <f>Evaluationsheet!E36</f>
        <v>n.e.</v>
      </c>
      <c r="G12" s="316" t="str">
        <f>Evaluationsheet!E54</f>
        <v>n.e.</v>
      </c>
      <c r="I12" s="514"/>
      <c r="J12" t="s">
        <v>808</v>
      </c>
      <c r="K12" s="38" t="s">
        <v>26</v>
      </c>
    </row>
    <row r="13" spans="1:11">
      <c r="A13" s="45"/>
      <c r="B13" s="316" t="str">
        <f>Evaluationsheet!E13</f>
        <v>n.e.</v>
      </c>
      <c r="C13" s="316" t="str">
        <f>Evaluationsheet!E20</f>
        <v>n.e.</v>
      </c>
      <c r="D13" s="316"/>
      <c r="E13" s="316" t="str">
        <f>Evaluationsheet!E38</f>
        <v>n.e.</v>
      </c>
      <c r="G13" s="316" t="str">
        <f>Evaluationsheet!E55</f>
        <v>n.e.</v>
      </c>
      <c r="I13" s="514"/>
      <c r="J13" t="s">
        <v>737</v>
      </c>
      <c r="K13" s="38" t="s">
        <v>27</v>
      </c>
    </row>
    <row r="14" spans="1:11">
      <c r="A14" s="45"/>
      <c r="B14" s="39" t="s">
        <v>28</v>
      </c>
      <c r="C14" s="39" t="s">
        <v>729</v>
      </c>
      <c r="D14" s="39" t="s">
        <v>730</v>
      </c>
      <c r="E14" s="48"/>
      <c r="G14" s="316" t="str">
        <f>Evaluationsheet!E58</f>
        <v>n.e.</v>
      </c>
      <c r="I14" s="514"/>
      <c r="J14" t="s">
        <v>738</v>
      </c>
      <c r="K14" s="38" t="s">
        <v>29</v>
      </c>
    </row>
    <row r="15" spans="1:11">
      <c r="A15" s="45"/>
      <c r="E15" s="39" t="s">
        <v>729</v>
      </c>
      <c r="G15" s="316" t="str">
        <f>Evaluationsheet!E59</f>
        <v>n.e.</v>
      </c>
      <c r="I15" s="514"/>
      <c r="J15" t="s">
        <v>809</v>
      </c>
      <c r="K15" s="38" t="s">
        <v>30</v>
      </c>
    </row>
    <row r="16" spans="1:11">
      <c r="A16" s="45"/>
      <c r="G16" s="316" t="str">
        <f>Evaluationsheet!E60</f>
        <v>n.e.</v>
      </c>
      <c r="I16" s="514"/>
      <c r="J16" t="s">
        <v>810</v>
      </c>
      <c r="K16" s="38" t="s">
        <v>31</v>
      </c>
    </row>
    <row r="17" spans="1:11">
      <c r="A17" s="45"/>
      <c r="G17" s="316" t="str">
        <f>Evaluationsheet!E61</f>
        <v>n.e.</v>
      </c>
      <c r="I17" s="514"/>
      <c r="J17" t="s">
        <v>739</v>
      </c>
      <c r="K17" s="38" t="s">
        <v>32</v>
      </c>
    </row>
    <row r="18" spans="1:11">
      <c r="A18" s="45"/>
      <c r="G18" s="316" t="str">
        <f>Evaluationsheet!E63</f>
        <v>n.e.</v>
      </c>
      <c r="I18" s="514"/>
      <c r="J18" t="s">
        <v>811</v>
      </c>
      <c r="K18" s="38" t="s">
        <v>33</v>
      </c>
    </row>
    <row r="19" spans="1:11">
      <c r="A19" s="45"/>
      <c r="G19" s="316" t="str">
        <f>Evaluationsheet!E66</f>
        <v>n.e.</v>
      </c>
      <c r="I19" s="514"/>
      <c r="J19" t="s">
        <v>812</v>
      </c>
      <c r="K19" s="38" t="s">
        <v>34</v>
      </c>
    </row>
    <row r="20" spans="1:11">
      <c r="A20" s="45"/>
      <c r="B20" s="1"/>
      <c r="G20" s="48"/>
      <c r="I20" s="514"/>
      <c r="K20" s="38"/>
    </row>
    <row r="21" spans="1:11">
      <c r="A21" s="45"/>
      <c r="B21" s="49"/>
      <c r="C21" s="23"/>
      <c r="D21" s="23"/>
      <c r="E21" s="23"/>
      <c r="F21" s="23"/>
      <c r="G21" s="39" t="s">
        <v>731</v>
      </c>
      <c r="H21" s="23"/>
      <c r="I21" s="514"/>
      <c r="J21" t="s">
        <v>35</v>
      </c>
      <c r="K21" s="38" t="s">
        <v>36</v>
      </c>
    </row>
    <row r="22" spans="1:11">
      <c r="A22" s="45"/>
      <c r="B22" s="134"/>
      <c r="C22" s="130"/>
      <c r="D22" s="130"/>
      <c r="E22" s="130"/>
      <c r="F22" s="130"/>
      <c r="G22" s="130"/>
      <c r="H22" s="130"/>
      <c r="I22" s="514"/>
      <c r="J22" t="s">
        <v>813</v>
      </c>
      <c r="K22" s="38" t="s">
        <v>37</v>
      </c>
    </row>
    <row r="23" spans="1:11" ht="51">
      <c r="A23" s="45"/>
      <c r="B23" s="41" t="s">
        <v>38</v>
      </c>
      <c r="C23" s="41" t="s">
        <v>38</v>
      </c>
      <c r="D23" s="41" t="s">
        <v>38</v>
      </c>
      <c r="E23" s="41" t="s">
        <v>38</v>
      </c>
      <c r="F23" s="41" t="s">
        <v>38</v>
      </c>
      <c r="G23" s="41" t="s">
        <v>38</v>
      </c>
      <c r="H23" s="41" t="s">
        <v>38</v>
      </c>
      <c r="I23" s="514"/>
      <c r="J23" t="s">
        <v>814</v>
      </c>
      <c r="K23" s="38" t="s">
        <v>39</v>
      </c>
    </row>
    <row r="24" spans="1:11">
      <c r="A24" s="45"/>
      <c r="B24" s="39">
        <f>COUNTIF(B7:B13, "n.e.")</f>
        <v>6</v>
      </c>
      <c r="C24" s="39">
        <f>COUNTIF(C7:C13, "n.e.")</f>
        <v>5</v>
      </c>
      <c r="D24" s="39">
        <f>COUNTIF(D7:D13, "n.e.")</f>
        <v>4</v>
      </c>
      <c r="E24" s="39">
        <f>COUNTIF(E7:E14, "n.e.")</f>
        <v>5</v>
      </c>
      <c r="F24" s="39">
        <f>COUNTIF(F7:F9, "n.e.")</f>
        <v>3</v>
      </c>
      <c r="G24" s="39">
        <f>COUNTIF(G7:G20, "n.e.")</f>
        <v>13</v>
      </c>
      <c r="H24" s="39">
        <f>COUNTIF(H7:H10, "n.e.")</f>
        <v>3</v>
      </c>
      <c r="I24" s="514"/>
      <c r="J24" t="s">
        <v>815</v>
      </c>
      <c r="K24" s="38" t="s">
        <v>40</v>
      </c>
    </row>
    <row r="25" spans="1:11">
      <c r="A25" s="45"/>
      <c r="I25" s="514"/>
      <c r="J25" t="s">
        <v>41</v>
      </c>
      <c r="K25" s="38" t="s">
        <v>42</v>
      </c>
    </row>
    <row r="26" spans="1:11">
      <c r="A26" s="45"/>
      <c r="B26" s="130"/>
      <c r="C26" s="130"/>
      <c r="D26" s="130"/>
      <c r="E26" s="130"/>
      <c r="F26" s="130"/>
      <c r="G26" s="130"/>
      <c r="H26" s="130"/>
      <c r="I26" s="514"/>
      <c r="J26" t="s">
        <v>43</v>
      </c>
      <c r="K26" s="38" t="s">
        <v>44</v>
      </c>
    </row>
    <row r="27" spans="1:11">
      <c r="A27" s="45"/>
      <c r="G27" t="s">
        <v>45</v>
      </c>
      <c r="H27" t="s">
        <v>46</v>
      </c>
      <c r="I27" s="514"/>
      <c r="J27" t="s">
        <v>47</v>
      </c>
      <c r="K27" s="38" t="s">
        <v>48</v>
      </c>
    </row>
    <row r="28" spans="1:11">
      <c r="A28" s="45"/>
      <c r="B28" s="116" t="s">
        <v>49</v>
      </c>
      <c r="D28" s="116" t="s">
        <v>50</v>
      </c>
      <c r="G28">
        <f>'L1 - Project management'!D34*10</f>
        <v>0</v>
      </c>
      <c r="H28">
        <f>Evaluationsheet!E4</f>
        <v>0</v>
      </c>
      <c r="I28" s="514"/>
      <c r="J28" t="s">
        <v>816</v>
      </c>
      <c r="K28" s="38" t="s">
        <v>51</v>
      </c>
    </row>
    <row r="29" spans="1:11">
      <c r="A29" s="45"/>
      <c r="B29" s="52">
        <f>MIN(B5:E5,G5)</f>
        <v>0</v>
      </c>
      <c r="C29" t="str">
        <f>IF(B29&gt;=0.8,"A",IF(B29&lt;0.7,"C","B"))</f>
        <v>C</v>
      </c>
      <c r="D29">
        <f>MIN(Evaluationsheet!E4:E71)</f>
        <v>0</v>
      </c>
      <c r="E29" t="str">
        <f>IF(D29&gt;1,"A",IF(D29&lt;1,"B"))</f>
        <v>B</v>
      </c>
      <c r="G29">
        <f>'L2 - Planning'!D22*10</f>
        <v>0</v>
      </c>
      <c r="H29">
        <f>Evaluationsheet!E14</f>
        <v>0</v>
      </c>
      <c r="I29" s="514"/>
      <c r="J29" t="s">
        <v>817</v>
      </c>
      <c r="K29" s="38" t="s">
        <v>52</v>
      </c>
    </row>
    <row r="30" spans="1:11">
      <c r="A30" s="45"/>
      <c r="G30">
        <f>'L3 - Suppliermgt.'!D28*10</f>
        <v>0</v>
      </c>
      <c r="H30">
        <f>Evaluationsheet!E21</f>
        <v>0</v>
      </c>
      <c r="I30" s="514"/>
      <c r="J30" t="s">
        <v>818</v>
      </c>
      <c r="K30" s="38" t="s">
        <v>53</v>
      </c>
    </row>
    <row r="31" spans="1:11">
      <c r="A31" s="45"/>
      <c r="B31" s="116" t="s">
        <v>54</v>
      </c>
      <c r="G31">
        <f>'L4 - Procurement logistics'!D34*10</f>
        <v>0</v>
      </c>
      <c r="H31">
        <f>Evaluationsheet!E29</f>
        <v>0</v>
      </c>
      <c r="I31" s="514"/>
      <c r="J31" t="s">
        <v>819</v>
      </c>
      <c r="K31" s="38" t="s">
        <v>55</v>
      </c>
    </row>
    <row r="32" spans="1:11">
      <c r="A32" s="45"/>
      <c r="B32" s="52">
        <f>MIN(B7:B13,C7:C13,D7:D13,E7:E14,F7:F9,G7:G20,H7:H10)</f>
        <v>0</v>
      </c>
      <c r="C32" t="str">
        <f>IF(B32=0,"C",IF(B32=4,"B","A"))</f>
        <v>C</v>
      </c>
      <c r="D32" s="116" t="s">
        <v>56</v>
      </c>
      <c r="G32">
        <f>'L5 - Transport logistics'!D22*10</f>
        <v>0</v>
      </c>
      <c r="H32">
        <f>Evaluationsheet!E39</f>
        <v>0</v>
      </c>
      <c r="I32" s="514"/>
      <c r="J32" t="s">
        <v>820</v>
      </c>
      <c r="K32" s="38" t="s">
        <v>57</v>
      </c>
    </row>
    <row r="33" spans="1:11">
      <c r="A33" s="45"/>
      <c r="F33" t="str">
        <f>IF(C29="C","C",IF(C32="C","C",IF(C35="C","C",IF(C29="B","B",IF(C32="B","B",IF(C35="B","B",IF(E29="B","B","A")))))))</f>
        <v>C</v>
      </c>
      <c r="G33">
        <f>'L6 -  In-house logistics'!D64*10</f>
        <v>0</v>
      </c>
      <c r="H33">
        <f>Evaluationsheet!E46</f>
        <v>0</v>
      </c>
      <c r="I33" s="514"/>
      <c r="J33" t="s">
        <v>58</v>
      </c>
      <c r="K33" s="38" t="s">
        <v>59</v>
      </c>
    </row>
    <row r="34" spans="1:11">
      <c r="A34" s="45"/>
      <c r="B34" s="116" t="s">
        <v>60</v>
      </c>
      <c r="G34">
        <f>'L7 - Customer management'!D19*10</f>
        <v>0</v>
      </c>
      <c r="H34">
        <f>Evaluationsheet!E67</f>
        <v>0</v>
      </c>
      <c r="I34" s="514"/>
      <c r="J34" t="s">
        <v>821</v>
      </c>
      <c r="K34" s="38" t="s">
        <v>61</v>
      </c>
    </row>
    <row r="35" spans="1:11">
      <c r="A35" s="45"/>
      <c r="B35" t="str">
        <f>IF(SUM(B7:B13,C8:C13,D7:D13,E7:E14,F7:F9,G7:G20,H7:H9)=0,"n.b.",AVERAGE(B7:B13,C8:C13,D7:D13,E7:E14,F7:F9,G7:G20,H7:H9))</f>
        <v>n.b.</v>
      </c>
      <c r="C35" t="str">
        <f>IF(B35&lt;7,"C",IF(B35&gt;=8,"A","B"))</f>
        <v>A</v>
      </c>
      <c r="D35" s="116" t="s">
        <v>62</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514"/>
      <c r="J35" t="s">
        <v>822</v>
      </c>
      <c r="K35" s="38" t="s">
        <v>63</v>
      </c>
    </row>
    <row r="36" spans="1:11">
      <c r="A36" s="45"/>
      <c r="I36" s="514"/>
      <c r="J36" t="s">
        <v>823</v>
      </c>
      <c r="K36" s="38" t="s">
        <v>64</v>
      </c>
    </row>
    <row r="37" spans="1:11">
      <c r="A37" s="45"/>
      <c r="D37" s="47"/>
      <c r="I37" s="514"/>
      <c r="J37" t="s">
        <v>65</v>
      </c>
      <c r="K37" s="38" t="s">
        <v>66</v>
      </c>
    </row>
    <row r="38" spans="1:11">
      <c r="A38" s="45"/>
      <c r="B38" s="43" t="s">
        <v>693</v>
      </c>
      <c r="C38" s="50" t="s">
        <v>67</v>
      </c>
      <c r="F38" s="50" t="s">
        <v>68</v>
      </c>
      <c r="I38" s="514"/>
      <c r="J38" t="s">
        <v>69</v>
      </c>
      <c r="K38" s="38" t="s">
        <v>70</v>
      </c>
    </row>
    <row r="39" spans="1:11">
      <c r="A39" s="45"/>
      <c r="B39" s="51" t="str" cm="1">
        <f t="array" ref="B39">IF(SUM(G28:G34)=0,"n.e.",ROUND(SUM((H28:H34)/SUM(G28:G34)),2))</f>
        <v>n.e.</v>
      </c>
      <c r="C39" s="51" t="e">
        <f>SUM(B7:B13,C7:C13,D7:D13,E7:E14,F7:F9,G7:G20,H7:H10) / ((39-F39)*10)</f>
        <v>#DIV/0!</v>
      </c>
      <c r="F39" s="39">
        <f>COUNTIF(B7:B13, "n.e.") + COUNTIF(C7:C13, "n.e.") + COUNTIF(D7:D13, "n.e.") + COUNTIF(E7:E14, "n.e.") + COUNTIF(F7:F9, "n.e.") + COUNTIF(G7:G20, "n.e.") + COUNTIF(H7:H10, "n.e.")</f>
        <v>39</v>
      </c>
      <c r="I39" s="514"/>
      <c r="J39" t="s">
        <v>71</v>
      </c>
      <c r="K39" s="38" t="s">
        <v>72</v>
      </c>
    </row>
    <row r="40" spans="1:11">
      <c r="A40" s="45"/>
      <c r="B40" s="51"/>
      <c r="C40" s="51"/>
      <c r="F40" s="39"/>
      <c r="H40" s="9"/>
      <c r="I40" s="122"/>
      <c r="J40" t="s">
        <v>73</v>
      </c>
      <c r="K40" s="38" t="s">
        <v>74</v>
      </c>
    </row>
    <row r="41" spans="1:11">
      <c r="A41" s="45"/>
      <c r="B41" s="129"/>
      <c r="C41" s="129"/>
      <c r="D41" s="130"/>
      <c r="E41" s="130"/>
      <c r="F41" s="131"/>
      <c r="G41" s="130"/>
      <c r="H41" s="132"/>
      <c r="I41" s="122"/>
      <c r="J41" t="s">
        <v>75</v>
      </c>
      <c r="K41" s="38" t="s">
        <v>76</v>
      </c>
    </row>
    <row r="42" spans="1:11">
      <c r="A42" s="45"/>
      <c r="B42" s="515" t="s">
        <v>687</v>
      </c>
      <c r="C42" s="515"/>
      <c r="F42" s="39"/>
      <c r="H42" s="9"/>
      <c r="I42" s="122"/>
      <c r="J42" t="s">
        <v>824</v>
      </c>
      <c r="K42" s="38" t="s">
        <v>77</v>
      </c>
    </row>
    <row r="43" spans="1:11">
      <c r="A43" s="45"/>
      <c r="B43" s="123" t="s">
        <v>688</v>
      </c>
      <c r="C43" s="123" t="s">
        <v>689</v>
      </c>
      <c r="D43" t="s">
        <v>690</v>
      </c>
      <c r="E43" t="s">
        <v>691</v>
      </c>
      <c r="F43" s="116" t="s">
        <v>692</v>
      </c>
      <c r="H43" s="9"/>
      <c r="I43" s="122"/>
      <c r="J43" t="s">
        <v>78</v>
      </c>
      <c r="K43" s="38" t="s">
        <v>79</v>
      </c>
    </row>
    <row r="44" spans="1:11">
      <c r="A44" s="45"/>
      <c r="B44" s="39" t="str">
        <f>IF(AND(Source!F33="B",B39&gt;=0.9),"Downgrading rule applies","")</f>
        <v/>
      </c>
      <c r="C44" s="51" t="str">
        <f>IF(AND(Source!F33="C",B39&gt;=0.8),"Downgrading rule applies","")</f>
        <v>Downgrading rule applies</v>
      </c>
      <c r="D44" s="124"/>
      <c r="E44" s="124"/>
      <c r="F44" s="124"/>
      <c r="H44" s="9"/>
      <c r="I44" s="122"/>
      <c r="J44" t="s">
        <v>825</v>
      </c>
      <c r="K44" s="38" t="s">
        <v>82</v>
      </c>
    </row>
    <row r="45" spans="1:11">
      <c r="A45" s="45"/>
      <c r="B45" s="125" t="str">
        <f>IF(Source!E29="B","non *-question(s) 0 points","")</f>
        <v>non *-question(s) 0 points</v>
      </c>
      <c r="C45" s="126"/>
      <c r="D45" t="str">
        <f>IF(B44="Downgrading rule applies",B45,"")</f>
        <v/>
      </c>
      <c r="E45" s="127"/>
      <c r="F45" t="str">
        <f>D45</f>
        <v/>
      </c>
      <c r="H45" s="9"/>
      <c r="I45" s="122"/>
      <c r="J45" t="s">
        <v>826</v>
      </c>
      <c r="K45" s="38" t="s">
        <v>86</v>
      </c>
    </row>
    <row r="46" spans="1:11">
      <c r="A46" s="45"/>
      <c r="B46" s="125" t="str">
        <f>IF(Source!C35="B","*-questions &lt; 80%","")</f>
        <v/>
      </c>
      <c r="C46" t="str">
        <f>IF(Source!C35="C","*-questions &lt; 70%","")</f>
        <v/>
      </c>
      <c r="D46" s="128" t="str">
        <f>IF(B44="Downgrading rule applies",B46,"")</f>
        <v/>
      </c>
      <c r="E46" s="128" t="str">
        <f>IF(C44="Downgrading rule applies",C46,"")</f>
        <v/>
      </c>
      <c r="F46" s="51" t="str">
        <f>D46&amp;E46</f>
        <v/>
      </c>
      <c r="H46" s="9"/>
      <c r="I46" s="122"/>
      <c r="J46" t="s">
        <v>827</v>
      </c>
      <c r="K46" s="38" t="s">
        <v>88</v>
      </c>
    </row>
    <row r="47" spans="1:11">
      <c r="A47" s="45"/>
      <c r="B47" s="125" t="str">
        <f>IF(Source!C32="B","*-question(s) 4 points","")</f>
        <v/>
      </c>
      <c r="C47" s="51" t="str">
        <f>IF(Source!C32="C","*-question(s) 0 points","")</f>
        <v>*-question(s) 0 points</v>
      </c>
      <c r="D47" s="128" t="str">
        <f>IF(B44="Downgrading rule applies",B47,"")</f>
        <v/>
      </c>
      <c r="E47" s="128" t="str">
        <f>IF(C44="Downgrading rule applies",C47,"")</f>
        <v>*-question(s) 0 points</v>
      </c>
      <c r="F47" s="51" t="str">
        <f>D47&amp;E47</f>
        <v>*-question(s) 0 points</v>
      </c>
      <c r="H47" s="9"/>
      <c r="I47" s="122"/>
      <c r="J47" t="s">
        <v>828</v>
      </c>
      <c r="K47" s="38" t="s">
        <v>92</v>
      </c>
    </row>
    <row r="48" spans="1:11">
      <c r="A48" s="45"/>
      <c r="B48" s="51" t="str">
        <f>IF(Source!C29="B","process element(s) &lt;80%","")</f>
        <v/>
      </c>
      <c r="C48" s="51" t="str">
        <f>IF(Source!C29="C","process element(s) &lt;70%","")</f>
        <v>process element(s) &lt;70%</v>
      </c>
      <c r="D48" s="128" t="str">
        <f>IF(B44="Downgrading rule applies",B48,"")</f>
        <v/>
      </c>
      <c r="E48" s="128" t="str">
        <f>IF(C44="Downgrading rule applies",C48,"")</f>
        <v>process element(s) &lt;70%</v>
      </c>
      <c r="F48" s="51" t="str">
        <f>D48&amp;E48</f>
        <v>process element(s) &lt;70%</v>
      </c>
      <c r="H48" s="9"/>
      <c r="I48" s="122"/>
      <c r="J48" t="s">
        <v>829</v>
      </c>
      <c r="K48" s="38" t="s">
        <v>96</v>
      </c>
    </row>
    <row r="49" spans="1:11">
      <c r="A49" s="45"/>
      <c r="B49" s="51"/>
      <c r="C49" s="51"/>
      <c r="F49" s="39"/>
      <c r="H49" s="9"/>
      <c r="I49" s="122"/>
      <c r="J49" t="s">
        <v>830</v>
      </c>
      <c r="K49" s="38" t="s">
        <v>100</v>
      </c>
    </row>
    <row r="50" spans="1:11">
      <c r="A50" s="45"/>
      <c r="B50" s="51"/>
      <c r="C50" s="51"/>
      <c r="F50" s="39"/>
      <c r="H50" s="9"/>
      <c r="I50" s="122"/>
      <c r="J50" t="s">
        <v>104</v>
      </c>
      <c r="K50" s="38" t="s">
        <v>105</v>
      </c>
    </row>
    <row r="51" spans="1:11">
      <c r="A51" s="45"/>
      <c r="B51" s="51"/>
      <c r="C51" s="51"/>
      <c r="F51" s="39"/>
      <c r="H51" s="9"/>
      <c r="I51" s="122"/>
      <c r="J51" t="s">
        <v>831</v>
      </c>
      <c r="K51" s="38" t="s">
        <v>108</v>
      </c>
    </row>
    <row r="52" spans="1:11" ht="17" thickBot="1">
      <c r="A52" s="46"/>
      <c r="B52" s="51"/>
      <c r="C52" s="51"/>
      <c r="F52" s="39"/>
      <c r="H52" s="133"/>
      <c r="I52" s="122"/>
      <c r="J52" t="s">
        <v>113</v>
      </c>
      <c r="K52" s="38" t="s">
        <v>114</v>
      </c>
    </row>
    <row r="53" spans="1:11">
      <c r="A53" s="500"/>
      <c r="B53" s="501"/>
      <c r="C53" s="501"/>
      <c r="D53" s="501"/>
      <c r="E53" s="501"/>
      <c r="F53" s="501"/>
      <c r="G53" s="501"/>
      <c r="H53" s="501"/>
      <c r="I53" s="502"/>
      <c r="J53" t="s">
        <v>116</v>
      </c>
      <c r="K53" s="38" t="s">
        <v>117</v>
      </c>
    </row>
    <row r="54" spans="1:11">
      <c r="A54" s="503"/>
      <c r="B54" s="504"/>
      <c r="C54" s="504"/>
      <c r="D54" s="504"/>
      <c r="E54" s="504"/>
      <c r="F54" s="504"/>
      <c r="G54" s="504"/>
      <c r="H54" s="504"/>
      <c r="I54" s="505"/>
      <c r="J54" t="s">
        <v>119</v>
      </c>
      <c r="K54" s="38" t="s">
        <v>120</v>
      </c>
    </row>
    <row r="55" spans="1:11" ht="17" thickBot="1">
      <c r="A55" s="506"/>
      <c r="B55" s="507"/>
      <c r="C55" s="507"/>
      <c r="D55" s="507"/>
      <c r="E55" s="507"/>
      <c r="F55" s="507"/>
      <c r="G55" s="507"/>
      <c r="H55" s="507"/>
      <c r="I55" s="508"/>
      <c r="J55" t="s">
        <v>832</v>
      </c>
      <c r="K55" s="38" t="s">
        <v>122</v>
      </c>
    </row>
    <row r="56" spans="1:11" ht="17" thickBot="1">
      <c r="J56" t="s">
        <v>124</v>
      </c>
      <c r="K56" s="38" t="s">
        <v>125</v>
      </c>
    </row>
    <row r="57" spans="1:11" ht="19" thickBot="1">
      <c r="B57" s="509" t="s">
        <v>80</v>
      </c>
      <c r="C57" s="510"/>
      <c r="D57" s="511"/>
      <c r="E57" s="7"/>
      <c r="F57" s="509" t="s">
        <v>81</v>
      </c>
      <c r="G57" s="510"/>
      <c r="H57" s="8"/>
      <c r="J57" t="s">
        <v>833</v>
      </c>
      <c r="K57" s="38" t="s">
        <v>127</v>
      </c>
    </row>
    <row r="58" spans="1:11" ht="18" thickBot="1">
      <c r="B58" s="10" t="s">
        <v>83</v>
      </c>
      <c r="C58" s="11" t="s">
        <v>84</v>
      </c>
      <c r="D58" s="12" t="s">
        <v>85</v>
      </c>
      <c r="E58" s="9"/>
      <c r="F58" s="115" t="s">
        <v>11</v>
      </c>
      <c r="G58" s="28"/>
      <c r="J58" t="s">
        <v>834</v>
      </c>
      <c r="K58" s="38" t="s">
        <v>129</v>
      </c>
    </row>
    <row r="59" spans="1:11">
      <c r="B59" s="8"/>
      <c r="D59" s="9"/>
      <c r="E59" s="24"/>
      <c r="F59" s="29" t="s">
        <v>87</v>
      </c>
      <c r="G59" s="30"/>
      <c r="J59" t="s">
        <v>835</v>
      </c>
      <c r="K59" s="38" t="s">
        <v>130</v>
      </c>
    </row>
    <row r="60" spans="1:11" ht="17">
      <c r="B60" s="14" t="s">
        <v>89</v>
      </c>
      <c r="C60" s="14">
        <v>10</v>
      </c>
      <c r="D60" s="15" t="s">
        <v>90</v>
      </c>
      <c r="E60" s="25"/>
      <c r="F60" s="31" t="s">
        <v>91</v>
      </c>
      <c r="G60" s="32"/>
      <c r="J60" t="s">
        <v>836</v>
      </c>
      <c r="K60" s="38" t="s">
        <v>131</v>
      </c>
    </row>
    <row r="61" spans="1:11" ht="17">
      <c r="B61" s="14" t="s">
        <v>93</v>
      </c>
      <c r="C61" s="14">
        <v>8</v>
      </c>
      <c r="D61" s="15" t="s">
        <v>94</v>
      </c>
      <c r="E61" s="25"/>
      <c r="F61" s="31" t="s">
        <v>95</v>
      </c>
      <c r="G61" s="32"/>
      <c r="J61" t="s">
        <v>132</v>
      </c>
      <c r="K61" s="38" t="s">
        <v>133</v>
      </c>
    </row>
    <row r="62" spans="1:11" ht="17">
      <c r="B62" s="14" t="s">
        <v>97</v>
      </c>
      <c r="C62" s="14">
        <v>6</v>
      </c>
      <c r="D62" s="15" t="s">
        <v>98</v>
      </c>
      <c r="E62" s="26"/>
      <c r="F62" s="31" t="s">
        <v>99</v>
      </c>
      <c r="G62" s="32"/>
      <c r="J62" t="s">
        <v>134</v>
      </c>
      <c r="K62" s="38" t="s">
        <v>135</v>
      </c>
    </row>
    <row r="63" spans="1:11" ht="17">
      <c r="B63" s="14" t="s">
        <v>101</v>
      </c>
      <c r="C63" s="14">
        <v>4</v>
      </c>
      <c r="D63" s="15" t="s">
        <v>102</v>
      </c>
      <c r="E63" s="25"/>
      <c r="F63" s="31" t="s">
        <v>103</v>
      </c>
      <c r="G63" s="32"/>
      <c r="J63" t="s">
        <v>837</v>
      </c>
      <c r="K63" s="38" t="s">
        <v>136</v>
      </c>
    </row>
    <row r="64" spans="1:11" ht="17">
      <c r="B64" s="14" t="s">
        <v>106</v>
      </c>
      <c r="C64" s="14">
        <v>0</v>
      </c>
      <c r="D64" s="15" t="s">
        <v>102</v>
      </c>
      <c r="E64" s="25"/>
      <c r="F64" s="31" t="s">
        <v>107</v>
      </c>
      <c r="G64" s="32"/>
      <c r="J64" t="s">
        <v>138</v>
      </c>
      <c r="K64" s="38" t="s">
        <v>139</v>
      </c>
    </row>
    <row r="65" spans="1:11" ht="17">
      <c r="B65" s="13" t="s">
        <v>109</v>
      </c>
      <c r="C65" s="16" t="s">
        <v>110</v>
      </c>
      <c r="D65" s="15" t="s">
        <v>111</v>
      </c>
      <c r="E65" s="27"/>
      <c r="F65" s="31" t="s">
        <v>112</v>
      </c>
      <c r="G65" s="32"/>
      <c r="J65" t="s">
        <v>838</v>
      </c>
      <c r="K65" s="38" t="s">
        <v>140</v>
      </c>
    </row>
    <row r="66" spans="1:11" ht="17">
      <c r="B66" s="17" t="b">
        <v>1</v>
      </c>
      <c r="C66" s="18" t="b">
        <v>1</v>
      </c>
      <c r="D66" s="15" t="s">
        <v>90</v>
      </c>
      <c r="E66" s="9"/>
      <c r="F66" s="31" t="s">
        <v>115</v>
      </c>
      <c r="G66" s="32"/>
      <c r="J66" t="s">
        <v>839</v>
      </c>
      <c r="K66" s="38" t="s">
        <v>141</v>
      </c>
    </row>
    <row r="67" spans="1:11" ht="18" thickBot="1">
      <c r="B67" s="19" t="b">
        <v>0</v>
      </c>
      <c r="C67" s="20" t="b">
        <v>0</v>
      </c>
      <c r="D67" s="21" t="s">
        <v>102</v>
      </c>
      <c r="E67" s="25"/>
      <c r="F67" s="31" t="s">
        <v>118</v>
      </c>
      <c r="G67" s="32"/>
      <c r="J67" t="s">
        <v>840</v>
      </c>
      <c r="K67" s="38" t="s">
        <v>142</v>
      </c>
    </row>
    <row r="68" spans="1:11">
      <c r="E68" s="9"/>
      <c r="F68" s="31" t="s">
        <v>121</v>
      </c>
      <c r="G68" s="32"/>
      <c r="J68" t="s">
        <v>841</v>
      </c>
      <c r="K68" s="38" t="s">
        <v>143</v>
      </c>
    </row>
    <row r="69" spans="1:11">
      <c r="F69" s="31" t="s">
        <v>123</v>
      </c>
      <c r="G69" s="32"/>
      <c r="J69" t="s">
        <v>842</v>
      </c>
      <c r="K69" s="38" t="s">
        <v>144</v>
      </c>
    </row>
    <row r="70" spans="1:11">
      <c r="F70" s="31" t="s">
        <v>126</v>
      </c>
      <c r="G70" s="32"/>
      <c r="J70" t="s">
        <v>843</v>
      </c>
      <c r="K70" s="38" t="s">
        <v>145</v>
      </c>
    </row>
    <row r="71" spans="1:11">
      <c r="F71" s="31" t="s">
        <v>733</v>
      </c>
      <c r="G71" s="32"/>
      <c r="K71" s="38"/>
    </row>
    <row r="72" spans="1:11">
      <c r="F72" s="31" t="s">
        <v>732</v>
      </c>
      <c r="G72" s="32"/>
      <c r="K72" s="38"/>
    </row>
    <row r="73" spans="1:11" ht="17" thickBot="1">
      <c r="F73" s="33" t="s">
        <v>128</v>
      </c>
      <c r="G73" s="32"/>
      <c r="K73" s="38"/>
    </row>
    <row r="74" spans="1:11" ht="16.5" customHeight="1">
      <c r="F74" s="31"/>
      <c r="G74" s="32"/>
      <c r="K74" s="38"/>
    </row>
    <row r="75" spans="1:11" ht="39" customHeight="1" thickBot="1">
      <c r="G75" s="34"/>
      <c r="J75" t="s">
        <v>844</v>
      </c>
      <c r="K75" s="38" t="s">
        <v>146</v>
      </c>
    </row>
    <row r="76" spans="1:11" ht="32.25" customHeight="1">
      <c r="A76" s="500"/>
      <c r="B76" s="501"/>
      <c r="C76" s="501"/>
      <c r="D76" s="501"/>
      <c r="E76" s="501"/>
      <c r="F76" s="501"/>
      <c r="G76" s="501"/>
      <c r="H76" s="501"/>
      <c r="I76" s="502"/>
      <c r="J76" t="s">
        <v>845</v>
      </c>
      <c r="K76" s="38" t="s">
        <v>147</v>
      </c>
    </row>
    <row r="77" spans="1:11">
      <c r="A77" s="503"/>
      <c r="B77" s="504" t="s">
        <v>2</v>
      </c>
      <c r="C77" s="504" t="s">
        <v>3</v>
      </c>
      <c r="D77" s="504" t="s">
        <v>4</v>
      </c>
      <c r="E77" s="504" t="s">
        <v>5</v>
      </c>
      <c r="F77" s="504" t="s">
        <v>6</v>
      </c>
      <c r="G77" s="504" t="s">
        <v>7</v>
      </c>
      <c r="H77" s="504" t="s">
        <v>8</v>
      </c>
      <c r="I77" s="505"/>
      <c r="J77" t="s">
        <v>846</v>
      </c>
      <c r="K77" s="38" t="s">
        <v>148</v>
      </c>
    </row>
    <row r="78" spans="1:11" ht="17" thickBot="1">
      <c r="A78" s="506"/>
      <c r="B78" s="507"/>
      <c r="C78" s="507"/>
      <c r="D78" s="507"/>
      <c r="E78" s="507"/>
      <c r="F78" s="507"/>
      <c r="G78" s="507"/>
      <c r="H78" s="507"/>
      <c r="I78" s="508"/>
      <c r="J78" t="s">
        <v>149</v>
      </c>
      <c r="K78" s="38" t="s">
        <v>150</v>
      </c>
    </row>
    <row r="79" spans="1:11" ht="29" thickBot="1">
      <c r="A79" s="45"/>
      <c r="B79" s="2" t="s">
        <v>2</v>
      </c>
      <c r="C79" s="2" t="s">
        <v>3</v>
      </c>
      <c r="D79" s="3" t="s">
        <v>4</v>
      </c>
      <c r="E79" s="2" t="s">
        <v>5</v>
      </c>
      <c r="F79" s="2" t="s">
        <v>6</v>
      </c>
      <c r="G79" s="2" t="s">
        <v>7</v>
      </c>
      <c r="H79" s="2" t="s">
        <v>8</v>
      </c>
      <c r="I79" s="45"/>
      <c r="J79" t="s">
        <v>847</v>
      </c>
      <c r="K79" s="38" t="s">
        <v>151</v>
      </c>
    </row>
    <row r="80" spans="1:11">
      <c r="A80" s="45"/>
      <c r="B80">
        <f>COUNTIF(Evaluationsheet!E5:E13, "n.e.")</f>
        <v>9</v>
      </c>
      <c r="C80">
        <f>COUNTIF(Evaluationsheet!E15:E20, "n.e.")</f>
        <v>5</v>
      </c>
      <c r="D80">
        <f>COUNTIF(Evaluationsheet!E22:E28, "n.e.")</f>
        <v>7</v>
      </c>
      <c r="E80">
        <f>COUNTIF(Evaluationsheet!E30:E38, "n.e.")</f>
        <v>9</v>
      </c>
      <c r="F80">
        <f>COUNTIF(Evaluationsheet!E40:E45, "n.e.")</f>
        <v>5</v>
      </c>
      <c r="G80">
        <f>COUNTIF(Evaluationsheet!E47:E66, "n.e.")</f>
        <v>19</v>
      </c>
      <c r="H80">
        <f>COUNTIF(Evaluationsheet!E68:E71, "n.e.")</f>
        <v>4</v>
      </c>
      <c r="I80" s="45"/>
      <c r="J80" t="s">
        <v>152</v>
      </c>
      <c r="K80" s="38" t="s">
        <v>153</v>
      </c>
    </row>
    <row r="81" spans="1:11">
      <c r="A81" s="45"/>
      <c r="B81" t="s">
        <v>137</v>
      </c>
      <c r="C81" t="s">
        <v>137</v>
      </c>
      <c r="D81" t="s">
        <v>137</v>
      </c>
      <c r="E81" t="s">
        <v>137</v>
      </c>
      <c r="F81" t="s">
        <v>137</v>
      </c>
      <c r="G81" t="s">
        <v>137</v>
      </c>
      <c r="H81" t="s">
        <v>137</v>
      </c>
      <c r="I81" s="45"/>
      <c r="J81" t="s">
        <v>154</v>
      </c>
      <c r="K81" s="38" t="s">
        <v>155</v>
      </c>
    </row>
    <row r="82" spans="1:11">
      <c r="A82" s="45"/>
      <c r="B82">
        <v>6</v>
      </c>
      <c r="C82">
        <v>3</v>
      </c>
      <c r="D82">
        <v>5</v>
      </c>
      <c r="E82">
        <v>6</v>
      </c>
      <c r="F82">
        <v>3</v>
      </c>
      <c r="G82">
        <v>13</v>
      </c>
      <c r="H82">
        <v>3</v>
      </c>
      <c r="I82" s="45"/>
      <c r="J82" t="s">
        <v>156</v>
      </c>
      <c r="K82" s="38" t="s">
        <v>157</v>
      </c>
    </row>
    <row r="83" spans="1:11">
      <c r="A83" s="45"/>
      <c r="I83" s="45"/>
      <c r="J83" t="s">
        <v>848</v>
      </c>
      <c r="K83" s="38" t="s">
        <v>158</v>
      </c>
    </row>
    <row r="84" spans="1:11">
      <c r="A84" s="45"/>
      <c r="B84" t="str">
        <f>IF(9-B80&lt;B82, "No result (too many questions n.e.)")</f>
        <v>No result (too many questions n.e.)</v>
      </c>
      <c r="C84" t="str">
        <f>IF(5-C80&lt;C82, "No result (too many questions n.e.)")</f>
        <v>No result (too many questions n.e.)</v>
      </c>
      <c r="D84" t="str">
        <f>IF(7-D80&lt;D82, "No result (too many questions n.e.)")</f>
        <v>No result (too many questions n.e.)</v>
      </c>
      <c r="E84" t="str">
        <f>IF(12-E80&lt;E82, "No result (too many questions n.e.)")</f>
        <v>No result (too many questions n.e.)</v>
      </c>
      <c r="F84" t="str">
        <f>IF(3-F80&lt;F82, "No result (too many questions n.e.)")</f>
        <v>No result (too many questions n.e.)</v>
      </c>
      <c r="G84" t="str">
        <f>IF(20-G80&lt;G82, "No result (too many questions n.e.)")</f>
        <v>No result (too many questions n.e.)</v>
      </c>
      <c r="H84" t="str">
        <f>IF(4-H80&lt;H82, "No result (too many questions n.e.)")</f>
        <v>No result (too many questions n.e.)</v>
      </c>
      <c r="I84" s="45"/>
      <c r="J84" t="s">
        <v>849</v>
      </c>
      <c r="K84" s="38" t="s">
        <v>159</v>
      </c>
    </row>
    <row r="85" spans="1:11">
      <c r="A85" s="45"/>
      <c r="I85" s="45"/>
      <c r="J85" t="s">
        <v>850</v>
      </c>
      <c r="K85" s="38" t="s">
        <v>160</v>
      </c>
    </row>
    <row r="86" spans="1:11">
      <c r="A86" s="45"/>
      <c r="I86" s="45"/>
      <c r="J86" t="s">
        <v>161</v>
      </c>
      <c r="K86" s="38" t="s">
        <v>162</v>
      </c>
    </row>
    <row r="87" spans="1:11">
      <c r="A87" s="45"/>
      <c r="I87" s="45"/>
      <c r="J87" t="s">
        <v>163</v>
      </c>
      <c r="K87" s="38" t="s">
        <v>164</v>
      </c>
    </row>
    <row r="88" spans="1:11">
      <c r="A88" s="45"/>
      <c r="I88" s="45"/>
      <c r="J88" t="s">
        <v>165</v>
      </c>
      <c r="K88" s="38" t="s">
        <v>166</v>
      </c>
    </row>
    <row r="89" spans="1:11">
      <c r="A89" s="45"/>
      <c r="I89" s="45"/>
      <c r="J89" t="s">
        <v>167</v>
      </c>
      <c r="K89" s="38" t="s">
        <v>168</v>
      </c>
    </row>
    <row r="90" spans="1:11">
      <c r="J90" t="s">
        <v>851</v>
      </c>
      <c r="K90" s="38" t="s">
        <v>169</v>
      </c>
    </row>
    <row r="91" spans="1:11">
      <c r="J91" t="s">
        <v>170</v>
      </c>
      <c r="K91" s="38" t="s">
        <v>171</v>
      </c>
    </row>
    <row r="92" spans="1:11">
      <c r="J92" t="s">
        <v>172</v>
      </c>
      <c r="K92" s="38" t="s">
        <v>173</v>
      </c>
    </row>
    <row r="93" spans="1:11">
      <c r="J93" t="s">
        <v>852</v>
      </c>
      <c r="K93" s="38" t="s">
        <v>174</v>
      </c>
    </row>
    <row r="94" spans="1:11">
      <c r="J94" t="s">
        <v>175</v>
      </c>
      <c r="K94" s="38" t="s">
        <v>176</v>
      </c>
    </row>
    <row r="95" spans="1:11" ht="18.75" customHeight="1">
      <c r="J95" t="s">
        <v>177</v>
      </c>
      <c r="K95" s="38" t="s">
        <v>178</v>
      </c>
    </row>
    <row r="96" spans="1:11">
      <c r="J96" t="s">
        <v>853</v>
      </c>
      <c r="K96" s="38" t="s">
        <v>179</v>
      </c>
    </row>
    <row r="97" spans="10:11">
      <c r="J97" t="s">
        <v>854</v>
      </c>
      <c r="K97" s="38" t="s">
        <v>180</v>
      </c>
    </row>
    <row r="98" spans="10:11">
      <c r="J98" t="s">
        <v>855</v>
      </c>
      <c r="K98" s="38" t="s">
        <v>181</v>
      </c>
    </row>
    <row r="99" spans="10:11">
      <c r="J99" t="s">
        <v>182</v>
      </c>
      <c r="K99" s="38" t="s">
        <v>183</v>
      </c>
    </row>
    <row r="100" spans="10:11">
      <c r="J100" t="s">
        <v>856</v>
      </c>
      <c r="K100" s="38" t="s">
        <v>184</v>
      </c>
    </row>
    <row r="101" spans="10:11">
      <c r="J101" t="s">
        <v>857</v>
      </c>
      <c r="K101" s="38" t="s">
        <v>185</v>
      </c>
    </row>
    <row r="102" spans="10:11">
      <c r="J102" t="s">
        <v>186</v>
      </c>
      <c r="K102" s="38" t="s">
        <v>187</v>
      </c>
    </row>
    <row r="103" spans="10:11">
      <c r="J103" t="s">
        <v>858</v>
      </c>
      <c r="K103" s="38" t="s">
        <v>188</v>
      </c>
    </row>
    <row r="104" spans="10:11">
      <c r="J104" t="s">
        <v>189</v>
      </c>
      <c r="K104" s="38" t="s">
        <v>190</v>
      </c>
    </row>
    <row r="105" spans="10:11">
      <c r="J105" t="s">
        <v>859</v>
      </c>
      <c r="K105" s="38" t="s">
        <v>191</v>
      </c>
    </row>
    <row r="106" spans="10:11">
      <c r="J106" t="s">
        <v>860</v>
      </c>
      <c r="K106" s="38" t="s">
        <v>192</v>
      </c>
    </row>
    <row r="107" spans="10:11">
      <c r="J107" t="s">
        <v>861</v>
      </c>
      <c r="K107" s="38" t="s">
        <v>193</v>
      </c>
    </row>
    <row r="108" spans="10:11">
      <c r="J108" t="s">
        <v>862</v>
      </c>
      <c r="K108" s="38" t="s">
        <v>194</v>
      </c>
    </row>
    <row r="109" spans="10:11">
      <c r="J109" t="s">
        <v>863</v>
      </c>
      <c r="K109" s="38" t="s">
        <v>195</v>
      </c>
    </row>
    <row r="110" spans="10:11">
      <c r="J110" t="s">
        <v>864</v>
      </c>
      <c r="K110" s="38" t="s">
        <v>196</v>
      </c>
    </row>
    <row r="111" spans="10:11">
      <c r="J111" t="s">
        <v>865</v>
      </c>
      <c r="K111" s="38" t="s">
        <v>197</v>
      </c>
    </row>
    <row r="112" spans="10:11">
      <c r="J112" t="s">
        <v>866</v>
      </c>
      <c r="K112" s="38" t="s">
        <v>198</v>
      </c>
    </row>
    <row r="113" spans="10:11">
      <c r="J113" t="s">
        <v>867</v>
      </c>
      <c r="K113" s="38" t="s">
        <v>199</v>
      </c>
    </row>
    <row r="114" spans="10:11">
      <c r="J114" t="s">
        <v>868</v>
      </c>
      <c r="K114" s="38" t="s">
        <v>200</v>
      </c>
    </row>
    <row r="115" spans="10:11">
      <c r="J115" t="s">
        <v>869</v>
      </c>
      <c r="K115" s="38" t="s">
        <v>201</v>
      </c>
    </row>
    <row r="116" spans="10:11">
      <c r="J116" t="s">
        <v>202</v>
      </c>
      <c r="K116" s="38" t="s">
        <v>203</v>
      </c>
    </row>
    <row r="117" spans="10:11">
      <c r="J117" t="s">
        <v>870</v>
      </c>
      <c r="K117" s="38" t="s">
        <v>204</v>
      </c>
    </row>
    <row r="118" spans="10:11">
      <c r="J118" t="s">
        <v>871</v>
      </c>
      <c r="K118" s="38" t="s">
        <v>205</v>
      </c>
    </row>
    <row r="119" spans="10:11">
      <c r="J119" t="s">
        <v>872</v>
      </c>
      <c r="K119" s="38" t="s">
        <v>206</v>
      </c>
    </row>
    <row r="120" spans="10:11">
      <c r="J120" t="s">
        <v>873</v>
      </c>
      <c r="K120" s="38" t="s">
        <v>207</v>
      </c>
    </row>
    <row r="121" spans="10:11" ht="52.5" customHeight="1">
      <c r="J121" s="197" t="s">
        <v>874</v>
      </c>
      <c r="K121" s="38" t="s">
        <v>208</v>
      </c>
    </row>
    <row r="122" spans="10:11">
      <c r="J122" t="s">
        <v>875</v>
      </c>
      <c r="K122" s="38" t="s">
        <v>209</v>
      </c>
    </row>
    <row r="123" spans="10:11">
      <c r="J123" t="s">
        <v>876</v>
      </c>
      <c r="K123" s="38" t="s">
        <v>210</v>
      </c>
    </row>
    <row r="124" spans="10:11">
      <c r="J124" t="s">
        <v>211</v>
      </c>
      <c r="K124" s="38" t="s">
        <v>212</v>
      </c>
    </row>
    <row r="125" spans="10:11">
      <c r="J125" t="s">
        <v>213</v>
      </c>
      <c r="K125" s="38" t="s">
        <v>214</v>
      </c>
    </row>
    <row r="126" spans="10:11">
      <c r="J126" t="s">
        <v>215</v>
      </c>
      <c r="K126" s="38" t="s">
        <v>216</v>
      </c>
    </row>
    <row r="127" spans="10:11">
      <c r="J127" t="s">
        <v>877</v>
      </c>
      <c r="K127" s="38" t="s">
        <v>217</v>
      </c>
    </row>
    <row r="128" spans="10:11">
      <c r="J128" t="s">
        <v>878</v>
      </c>
      <c r="K128" s="38" t="s">
        <v>218</v>
      </c>
    </row>
    <row r="129" spans="10:11">
      <c r="J129" t="s">
        <v>219</v>
      </c>
      <c r="K129" s="38" t="s">
        <v>220</v>
      </c>
    </row>
    <row r="130" spans="10:11">
      <c r="J130" t="s">
        <v>879</v>
      </c>
      <c r="K130" s="38" t="s">
        <v>221</v>
      </c>
    </row>
    <row r="131" spans="10:11">
      <c r="J131" t="s">
        <v>222</v>
      </c>
      <c r="K131" s="38" t="s">
        <v>223</v>
      </c>
    </row>
    <row r="132" spans="10:11">
      <c r="J132" t="s">
        <v>880</v>
      </c>
      <c r="K132" s="38" t="s">
        <v>224</v>
      </c>
    </row>
    <row r="133" spans="10:11">
      <c r="J133" t="s">
        <v>881</v>
      </c>
      <c r="K133" s="38" t="s">
        <v>225</v>
      </c>
    </row>
    <row r="134" spans="10:11">
      <c r="J134" t="s">
        <v>882</v>
      </c>
      <c r="K134" s="38" t="s">
        <v>226</v>
      </c>
    </row>
    <row r="135" spans="10:11">
      <c r="J135" t="s">
        <v>883</v>
      </c>
      <c r="K135" s="38" t="s">
        <v>227</v>
      </c>
    </row>
    <row r="136" spans="10:11">
      <c r="J136" t="s">
        <v>228</v>
      </c>
      <c r="K136" s="38" t="s">
        <v>229</v>
      </c>
    </row>
    <row r="137" spans="10:11">
      <c r="J137" t="s">
        <v>230</v>
      </c>
      <c r="K137" s="38" t="s">
        <v>231</v>
      </c>
    </row>
    <row r="138" spans="10:11">
      <c r="J138" t="s">
        <v>884</v>
      </c>
      <c r="K138" s="38" t="s">
        <v>232</v>
      </c>
    </row>
    <row r="139" spans="10:11">
      <c r="J139" t="s">
        <v>233</v>
      </c>
      <c r="K139" s="38" t="s">
        <v>234</v>
      </c>
    </row>
    <row r="140" spans="10:11">
      <c r="J140" t="s">
        <v>235</v>
      </c>
      <c r="K140" s="38" t="s">
        <v>236</v>
      </c>
    </row>
    <row r="141" spans="10:11">
      <c r="J141" t="s">
        <v>885</v>
      </c>
      <c r="K141" s="38" t="s">
        <v>237</v>
      </c>
    </row>
    <row r="142" spans="10:11">
      <c r="J142" t="s">
        <v>886</v>
      </c>
      <c r="K142" s="38" t="s">
        <v>238</v>
      </c>
    </row>
    <row r="143" spans="10:11">
      <c r="J143" t="s">
        <v>887</v>
      </c>
      <c r="K143" s="38" t="s">
        <v>239</v>
      </c>
    </row>
    <row r="144" spans="10:11">
      <c r="J144" t="s">
        <v>240</v>
      </c>
      <c r="K144" s="38" t="s">
        <v>241</v>
      </c>
    </row>
    <row r="145" spans="10:11">
      <c r="J145" t="s">
        <v>888</v>
      </c>
      <c r="K145" s="38" t="s">
        <v>242</v>
      </c>
    </row>
    <row r="146" spans="10:11">
      <c r="J146" t="s">
        <v>243</v>
      </c>
      <c r="K146" s="38" t="s">
        <v>244</v>
      </c>
    </row>
    <row r="147" spans="10:11">
      <c r="J147" t="s">
        <v>245</v>
      </c>
      <c r="K147" s="38" t="s">
        <v>246</v>
      </c>
    </row>
    <row r="148" spans="10:11">
      <c r="J148" t="s">
        <v>889</v>
      </c>
      <c r="K148" s="38" t="s">
        <v>247</v>
      </c>
    </row>
    <row r="149" spans="10:11">
      <c r="J149" t="s">
        <v>890</v>
      </c>
      <c r="K149" s="38" t="s">
        <v>248</v>
      </c>
    </row>
    <row r="150" spans="10:11">
      <c r="J150" t="s">
        <v>891</v>
      </c>
      <c r="K150" s="38" t="s">
        <v>249</v>
      </c>
    </row>
    <row r="151" spans="10:11">
      <c r="J151" t="s">
        <v>892</v>
      </c>
      <c r="K151" s="38" t="s">
        <v>250</v>
      </c>
    </row>
    <row r="152" spans="10:11">
      <c r="J152" t="s">
        <v>893</v>
      </c>
      <c r="K152" s="38" t="s">
        <v>251</v>
      </c>
    </row>
    <row r="153" spans="10:11">
      <c r="J153" t="s">
        <v>252</v>
      </c>
      <c r="K153" s="38" t="s">
        <v>253</v>
      </c>
    </row>
    <row r="154" spans="10:11">
      <c r="J154" t="s">
        <v>894</v>
      </c>
      <c r="K154" s="38" t="s">
        <v>254</v>
      </c>
    </row>
    <row r="155" spans="10:11">
      <c r="J155" t="s">
        <v>255</v>
      </c>
      <c r="K155" s="38" t="s">
        <v>256</v>
      </c>
    </row>
    <row r="156" spans="10:11">
      <c r="J156" t="s">
        <v>257</v>
      </c>
      <c r="K156" s="38" t="s">
        <v>258</v>
      </c>
    </row>
    <row r="157" spans="10:11">
      <c r="J157" t="s">
        <v>259</v>
      </c>
      <c r="K157" s="38" t="s">
        <v>260</v>
      </c>
    </row>
    <row r="158" spans="10:11">
      <c r="J158" t="s">
        <v>261</v>
      </c>
      <c r="K158" s="38" t="s">
        <v>262</v>
      </c>
    </row>
    <row r="159" spans="10:11">
      <c r="J159" t="s">
        <v>895</v>
      </c>
      <c r="K159" s="38" t="s">
        <v>263</v>
      </c>
    </row>
    <row r="160" spans="10:11">
      <c r="J160" t="s">
        <v>896</v>
      </c>
      <c r="K160" s="38" t="s">
        <v>264</v>
      </c>
    </row>
    <row r="161" spans="10:11">
      <c r="J161" t="s">
        <v>265</v>
      </c>
      <c r="K161" s="38" t="s">
        <v>266</v>
      </c>
    </row>
    <row r="162" spans="10:11">
      <c r="J162" t="s">
        <v>897</v>
      </c>
      <c r="K162" s="38" t="s">
        <v>267</v>
      </c>
    </row>
    <row r="163" spans="10:11">
      <c r="J163" t="s">
        <v>268</v>
      </c>
      <c r="K163" s="38" t="s">
        <v>269</v>
      </c>
    </row>
    <row r="164" spans="10:11">
      <c r="J164" t="s">
        <v>270</v>
      </c>
      <c r="K164" s="38" t="s">
        <v>271</v>
      </c>
    </row>
    <row r="165" spans="10:11">
      <c r="J165" t="s">
        <v>272</v>
      </c>
      <c r="K165" s="38" t="s">
        <v>273</v>
      </c>
    </row>
    <row r="166" spans="10:11">
      <c r="J166" t="s">
        <v>898</v>
      </c>
      <c r="K166" s="38" t="s">
        <v>274</v>
      </c>
    </row>
    <row r="167" spans="10:11">
      <c r="J167" t="s">
        <v>899</v>
      </c>
      <c r="K167" s="38" t="s">
        <v>275</v>
      </c>
    </row>
    <row r="168" spans="10:11">
      <c r="J168" t="s">
        <v>900</v>
      </c>
      <c r="K168" s="38" t="s">
        <v>276</v>
      </c>
    </row>
    <row r="169" spans="10:11">
      <c r="J169" t="s">
        <v>277</v>
      </c>
      <c r="K169" s="38" t="s">
        <v>278</v>
      </c>
    </row>
    <row r="170" spans="10:11">
      <c r="J170" t="s">
        <v>279</v>
      </c>
      <c r="K170" s="38" t="s">
        <v>280</v>
      </c>
    </row>
    <row r="171" spans="10:11">
      <c r="J171" t="s">
        <v>901</v>
      </c>
      <c r="K171" s="38" t="s">
        <v>281</v>
      </c>
    </row>
    <row r="172" spans="10:11">
      <c r="J172" t="s">
        <v>282</v>
      </c>
      <c r="K172" s="38" t="s">
        <v>283</v>
      </c>
    </row>
    <row r="173" spans="10:11">
      <c r="J173" t="s">
        <v>284</v>
      </c>
      <c r="K173" s="38" t="s">
        <v>285</v>
      </c>
    </row>
    <row r="174" spans="10:11">
      <c r="J174" t="s">
        <v>902</v>
      </c>
      <c r="K174" s="38" t="s">
        <v>286</v>
      </c>
    </row>
    <row r="175" spans="10:11">
      <c r="J175" t="s">
        <v>287</v>
      </c>
      <c r="K175" s="38" t="s">
        <v>288</v>
      </c>
    </row>
    <row r="176" spans="10:11">
      <c r="J176" t="s">
        <v>289</v>
      </c>
      <c r="K176" s="38" t="s">
        <v>290</v>
      </c>
    </row>
    <row r="177" spans="10:11">
      <c r="J177" t="s">
        <v>903</v>
      </c>
      <c r="K177" s="38" t="s">
        <v>291</v>
      </c>
    </row>
    <row r="178" spans="10:11">
      <c r="J178" t="s">
        <v>292</v>
      </c>
      <c r="K178" s="38" t="s">
        <v>293</v>
      </c>
    </row>
    <row r="179" spans="10:11">
      <c r="J179" t="s">
        <v>294</v>
      </c>
      <c r="K179" s="38" t="s">
        <v>295</v>
      </c>
    </row>
    <row r="180" spans="10:11">
      <c r="J180" t="s">
        <v>296</v>
      </c>
      <c r="K180" s="38" t="s">
        <v>297</v>
      </c>
    </row>
    <row r="181" spans="10:11">
      <c r="J181" t="s">
        <v>298</v>
      </c>
      <c r="K181" s="38" t="s">
        <v>299</v>
      </c>
    </row>
    <row r="182" spans="10:11">
      <c r="J182" t="s">
        <v>904</v>
      </c>
      <c r="K182" s="38" t="s">
        <v>300</v>
      </c>
    </row>
    <row r="183" spans="10:11">
      <c r="J183" t="s">
        <v>905</v>
      </c>
      <c r="K183" s="38" t="s">
        <v>301</v>
      </c>
    </row>
    <row r="184" spans="10:11">
      <c r="J184" t="s">
        <v>906</v>
      </c>
      <c r="K184" s="38" t="s">
        <v>302</v>
      </c>
    </row>
    <row r="185" spans="10:11">
      <c r="J185" t="s">
        <v>303</v>
      </c>
      <c r="K185" s="38" t="s">
        <v>304</v>
      </c>
    </row>
    <row r="186" spans="10:11">
      <c r="J186" t="s">
        <v>907</v>
      </c>
      <c r="K186" s="38" t="s">
        <v>305</v>
      </c>
    </row>
    <row r="187" spans="10:11">
      <c r="J187" t="s">
        <v>306</v>
      </c>
      <c r="K187" s="38" t="s">
        <v>307</v>
      </c>
    </row>
    <row r="188" spans="10:11">
      <c r="J188" t="s">
        <v>306</v>
      </c>
      <c r="K188" s="38" t="s">
        <v>308</v>
      </c>
    </row>
    <row r="189" spans="10:11">
      <c r="J189" t="s">
        <v>309</v>
      </c>
      <c r="K189" s="38" t="s">
        <v>310</v>
      </c>
    </row>
    <row r="190" spans="10:11">
      <c r="J190" t="s">
        <v>908</v>
      </c>
      <c r="K190" s="38" t="s">
        <v>311</v>
      </c>
    </row>
    <row r="191" spans="10:11">
      <c r="J191" t="s">
        <v>909</v>
      </c>
      <c r="K191" s="38" t="s">
        <v>312</v>
      </c>
    </row>
    <row r="192" spans="10:11">
      <c r="J192" t="s">
        <v>910</v>
      </c>
      <c r="K192" s="38" t="s">
        <v>313</v>
      </c>
    </row>
    <row r="193" spans="10:11">
      <c r="J193" t="s">
        <v>911</v>
      </c>
      <c r="K193" s="38" t="s">
        <v>314</v>
      </c>
    </row>
    <row r="194" spans="10:11">
      <c r="J194" t="s">
        <v>315</v>
      </c>
      <c r="K194" s="38" t="s">
        <v>316</v>
      </c>
    </row>
    <row r="195" spans="10:11">
      <c r="J195" t="s">
        <v>912</v>
      </c>
      <c r="K195" s="38" t="s">
        <v>317</v>
      </c>
    </row>
    <row r="196" spans="10:11">
      <c r="J196" t="s">
        <v>913</v>
      </c>
      <c r="K196" s="38" t="s">
        <v>318</v>
      </c>
    </row>
    <row r="197" spans="10:11">
      <c r="J197" t="s">
        <v>319</v>
      </c>
      <c r="K197" s="38" t="s">
        <v>320</v>
      </c>
    </row>
    <row r="198" spans="10:11">
      <c r="J198" t="s">
        <v>914</v>
      </c>
      <c r="K198" s="38" t="s">
        <v>321</v>
      </c>
    </row>
    <row r="199" spans="10:11">
      <c r="J199" t="s">
        <v>915</v>
      </c>
      <c r="K199" s="38" t="s">
        <v>322</v>
      </c>
    </row>
    <row r="200" spans="10:11">
      <c r="J200" t="s">
        <v>916</v>
      </c>
      <c r="K200" s="38" t="s">
        <v>323</v>
      </c>
    </row>
    <row r="201" spans="10:11">
      <c r="J201" t="s">
        <v>324</v>
      </c>
      <c r="K201" s="38" t="s">
        <v>325</v>
      </c>
    </row>
    <row r="202" spans="10:11">
      <c r="J202" t="s">
        <v>917</v>
      </c>
      <c r="K202" s="38" t="s">
        <v>326</v>
      </c>
    </row>
    <row r="203" spans="10:11">
      <c r="J203" t="s">
        <v>327</v>
      </c>
      <c r="K203" s="38" t="s">
        <v>328</v>
      </c>
    </row>
    <row r="204" spans="10:11">
      <c r="J204" t="s">
        <v>918</v>
      </c>
      <c r="K204" s="38" t="s">
        <v>329</v>
      </c>
    </row>
    <row r="205" spans="10:11">
      <c r="J205" t="s">
        <v>919</v>
      </c>
      <c r="K205" s="38" t="s">
        <v>330</v>
      </c>
    </row>
    <row r="206" spans="10:11">
      <c r="J206" t="s">
        <v>920</v>
      </c>
      <c r="K206" s="38" t="s">
        <v>331</v>
      </c>
    </row>
    <row r="207" spans="10:11">
      <c r="J207" t="s">
        <v>921</v>
      </c>
      <c r="K207" s="38" t="s">
        <v>332</v>
      </c>
    </row>
    <row r="208" spans="10:11">
      <c r="J208" t="s">
        <v>922</v>
      </c>
      <c r="K208" s="38" t="s">
        <v>333</v>
      </c>
    </row>
    <row r="209" spans="10:11">
      <c r="J209" t="s">
        <v>923</v>
      </c>
      <c r="K209" s="38" t="s">
        <v>334</v>
      </c>
    </row>
    <row r="210" spans="10:11">
      <c r="J210" t="s">
        <v>335</v>
      </c>
      <c r="K210" s="38" t="s">
        <v>336</v>
      </c>
    </row>
    <row r="211" spans="10:11">
      <c r="J211" t="s">
        <v>924</v>
      </c>
      <c r="K211" s="38" t="s">
        <v>337</v>
      </c>
    </row>
    <row r="212" spans="10:11">
      <c r="J212" t="s">
        <v>925</v>
      </c>
      <c r="K212" s="38" t="s">
        <v>338</v>
      </c>
    </row>
    <row r="213" spans="10:11">
      <c r="J213" t="s">
        <v>926</v>
      </c>
      <c r="K213" s="38" t="s">
        <v>339</v>
      </c>
    </row>
    <row r="214" spans="10:11">
      <c r="J214" t="s">
        <v>927</v>
      </c>
      <c r="K214" s="38" t="s">
        <v>340</v>
      </c>
    </row>
    <row r="215" spans="10:11">
      <c r="J215" t="s">
        <v>928</v>
      </c>
      <c r="K215" s="38" t="s">
        <v>341</v>
      </c>
    </row>
    <row r="216" spans="10:11">
      <c r="J216" t="s">
        <v>342</v>
      </c>
      <c r="K216" s="38" t="s">
        <v>343</v>
      </c>
    </row>
    <row r="217" spans="10:11">
      <c r="J217" t="s">
        <v>929</v>
      </c>
      <c r="K217" s="38" t="s">
        <v>344</v>
      </c>
    </row>
    <row r="218" spans="10:11">
      <c r="J218" t="s">
        <v>345</v>
      </c>
      <c r="K218" s="38" t="s">
        <v>346</v>
      </c>
    </row>
    <row r="219" spans="10:11">
      <c r="J219" t="s">
        <v>347</v>
      </c>
      <c r="K219" s="38" t="s">
        <v>348</v>
      </c>
    </row>
    <row r="220" spans="10:11">
      <c r="J220" t="s">
        <v>349</v>
      </c>
      <c r="K220" s="38" t="s">
        <v>350</v>
      </c>
    </row>
    <row r="221" spans="10:11">
      <c r="J221" t="s">
        <v>351</v>
      </c>
      <c r="K221" s="38" t="s">
        <v>352</v>
      </c>
    </row>
    <row r="222" spans="10:11">
      <c r="J222" t="s">
        <v>353</v>
      </c>
      <c r="K222" s="38" t="s">
        <v>354</v>
      </c>
    </row>
    <row r="223" spans="10:11">
      <c r="J223" t="s">
        <v>930</v>
      </c>
      <c r="K223" s="38" t="s">
        <v>355</v>
      </c>
    </row>
    <row r="224" spans="10:11">
      <c r="J224" t="s">
        <v>931</v>
      </c>
      <c r="K224" s="38" t="s">
        <v>356</v>
      </c>
    </row>
    <row r="225" spans="10:11">
      <c r="J225" t="s">
        <v>932</v>
      </c>
      <c r="K225" s="38" t="s">
        <v>357</v>
      </c>
    </row>
    <row r="226" spans="10:11">
      <c r="J226" t="s">
        <v>933</v>
      </c>
      <c r="K226" s="38" t="s">
        <v>358</v>
      </c>
    </row>
    <row r="227" spans="10:11">
      <c r="J227" t="s">
        <v>359</v>
      </c>
      <c r="K227" s="38" t="s">
        <v>360</v>
      </c>
    </row>
    <row r="228" spans="10:11">
      <c r="J228" t="s">
        <v>934</v>
      </c>
      <c r="K228" s="38" t="s">
        <v>361</v>
      </c>
    </row>
    <row r="229" spans="10:11">
      <c r="J229" t="s">
        <v>362</v>
      </c>
      <c r="K229" s="38" t="s">
        <v>363</v>
      </c>
    </row>
    <row r="230" spans="10:11">
      <c r="J230" t="s">
        <v>364</v>
      </c>
      <c r="K230" s="38" t="s">
        <v>365</v>
      </c>
    </row>
    <row r="231" spans="10:11">
      <c r="J231" t="s">
        <v>366</v>
      </c>
      <c r="K231" s="38" t="s">
        <v>367</v>
      </c>
    </row>
    <row r="232" spans="10:11">
      <c r="J232" t="s">
        <v>368</v>
      </c>
      <c r="K232" s="38" t="s">
        <v>369</v>
      </c>
    </row>
    <row r="233" spans="10:11">
      <c r="J233" t="s">
        <v>935</v>
      </c>
      <c r="K233" s="38" t="s">
        <v>370</v>
      </c>
    </row>
    <row r="234" spans="10:11">
      <c r="J234" t="s">
        <v>371</v>
      </c>
      <c r="K234" s="38" t="s">
        <v>372</v>
      </c>
    </row>
    <row r="235" spans="10:11">
      <c r="J235" t="s">
        <v>936</v>
      </c>
      <c r="K235" s="38" t="s">
        <v>373</v>
      </c>
    </row>
    <row r="236" spans="10:11">
      <c r="J236" t="s">
        <v>374</v>
      </c>
      <c r="K236" s="38" t="s">
        <v>375</v>
      </c>
    </row>
    <row r="237" spans="10:11">
      <c r="J237" t="s">
        <v>937</v>
      </c>
      <c r="K237" s="38" t="s">
        <v>376</v>
      </c>
    </row>
    <row r="238" spans="10:11">
      <c r="J238" t="s">
        <v>938</v>
      </c>
      <c r="K238" s="38" t="s">
        <v>377</v>
      </c>
    </row>
    <row r="239" spans="10:11">
      <c r="J239" t="s">
        <v>378</v>
      </c>
      <c r="K239" s="38" t="s">
        <v>379</v>
      </c>
    </row>
    <row r="240" spans="10:11">
      <c r="J240" t="s">
        <v>939</v>
      </c>
      <c r="K240" s="38" t="s">
        <v>380</v>
      </c>
    </row>
    <row r="241" spans="10:11">
      <c r="J241" t="s">
        <v>940</v>
      </c>
      <c r="K241" s="38" t="s">
        <v>381</v>
      </c>
    </row>
    <row r="242" spans="10:11">
      <c r="J242" t="s">
        <v>941</v>
      </c>
      <c r="K242" s="38" t="s">
        <v>382</v>
      </c>
    </row>
    <row r="243" spans="10:11">
      <c r="J243" t="s">
        <v>942</v>
      </c>
      <c r="K243" s="38" t="s">
        <v>383</v>
      </c>
    </row>
    <row r="244" spans="10:11">
      <c r="J244" t="s">
        <v>943</v>
      </c>
      <c r="K244" s="38" t="s">
        <v>384</v>
      </c>
    </row>
    <row r="245" spans="10:11">
      <c r="J245" t="s">
        <v>944</v>
      </c>
      <c r="K245" s="38" t="s">
        <v>385</v>
      </c>
    </row>
    <row r="246" spans="10:11">
      <c r="J246" t="s">
        <v>386</v>
      </c>
      <c r="K246" s="38" t="s">
        <v>387</v>
      </c>
    </row>
    <row r="247" spans="10:11">
      <c r="J247" t="s">
        <v>945</v>
      </c>
      <c r="K247" s="38" t="s">
        <v>388</v>
      </c>
    </row>
    <row r="292" spans="1:1">
      <c r="A292" s="116"/>
    </row>
    <row r="467" spans="1:1">
      <c r="A467" s="116" t="s">
        <v>389</v>
      </c>
    </row>
  </sheetData>
  <mergeCells count="8">
    <mergeCell ref="A76:I78"/>
    <mergeCell ref="B57:D57"/>
    <mergeCell ref="F57:G57"/>
    <mergeCell ref="J2:K2"/>
    <mergeCell ref="A53:I55"/>
    <mergeCell ref="A1:I3"/>
    <mergeCell ref="I4:I39"/>
    <mergeCell ref="B42:C42"/>
  </mergeCells>
  <phoneticPr fontId="77" type="noConversion"/>
  <pageMargins left="0.7" right="0.7" top="0.78740157499999996" bottom="0.78740157499999996" header="0.3" footer="0.3"/>
  <headerFooter>
    <oddHeader>&amp;L&amp;"Calibri"&amp;10&amp;K000000 INTERNAL&amp;1#_x000D_</oddHeader>
    <oddFooter>&amp;L_x000D_&amp;1#&amp;"Calibri"&amp;10&amp;K000000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G43"/>
  <sheetViews>
    <sheetView topLeftCell="E11" zoomScaleNormal="100" workbookViewId="0">
      <selection activeCell="I14" sqref="I14"/>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7" ht="38.25" customHeight="1">
      <c r="A1" s="544" t="s">
        <v>566</v>
      </c>
      <c r="B1" s="544"/>
      <c r="C1" s="544"/>
      <c r="D1" s="544"/>
      <c r="E1" s="544"/>
      <c r="F1" s="544"/>
      <c r="G1" s="545"/>
    </row>
    <row r="2" spans="1:7" ht="15" customHeight="1">
      <c r="A2" s="546"/>
      <c r="B2" s="546"/>
      <c r="C2" s="546"/>
      <c r="D2" s="546"/>
      <c r="E2" s="546"/>
      <c r="F2" s="546"/>
      <c r="G2" s="547"/>
    </row>
    <row r="3" spans="1:7" ht="15.75" customHeight="1">
      <c r="A3" s="550" t="s">
        <v>417</v>
      </c>
      <c r="B3" s="555" t="s">
        <v>490</v>
      </c>
      <c r="C3" s="97"/>
      <c r="D3" s="552" t="s">
        <v>694</v>
      </c>
      <c r="E3" s="554" t="s">
        <v>491</v>
      </c>
      <c r="F3" s="561" t="s">
        <v>492</v>
      </c>
      <c r="G3" s="557" t="s">
        <v>493</v>
      </c>
    </row>
    <row r="4" spans="1:7" ht="33.75" customHeight="1">
      <c r="A4" s="550"/>
      <c r="B4" s="555"/>
      <c r="C4" s="97"/>
      <c r="D4" s="553"/>
      <c r="E4" s="553"/>
      <c r="F4" s="562"/>
      <c r="G4" s="557"/>
    </row>
    <row r="5" spans="1:7" ht="0.5" customHeight="1">
      <c r="A5" s="550"/>
      <c r="B5" s="555"/>
      <c r="C5" s="97"/>
      <c r="D5" s="553"/>
      <c r="E5" s="553"/>
      <c r="F5" s="562"/>
      <c r="G5" s="557"/>
    </row>
    <row r="6" spans="1:7" ht="12.75" customHeight="1">
      <c r="A6" s="551"/>
      <c r="B6" s="556"/>
      <c r="C6" s="146"/>
      <c r="D6" s="553"/>
      <c r="E6" s="553"/>
      <c r="F6" s="562"/>
      <c r="G6" s="557"/>
    </row>
    <row r="7" spans="1:7" ht="21">
      <c r="A7" s="535" t="s">
        <v>422</v>
      </c>
      <c r="B7" s="536" t="s">
        <v>423</v>
      </c>
      <c r="C7" s="153"/>
      <c r="D7" s="143" t="s">
        <v>494</v>
      </c>
      <c r="E7" s="142"/>
      <c r="F7" s="163" t="s">
        <v>109</v>
      </c>
      <c r="G7" s="107"/>
    </row>
    <row r="8" spans="1:7" ht="108.75" customHeight="1">
      <c r="A8" s="535"/>
      <c r="B8" s="536"/>
      <c r="C8" s="140"/>
      <c r="D8" s="537" t="s">
        <v>740</v>
      </c>
      <c r="E8" s="526" t="s">
        <v>744</v>
      </c>
      <c r="F8" s="539" t="str">
        <f>_xlfn.XLOOKUP(F7,BewertungsListe,Source!$C$60:$C$65)</f>
        <v>n.e.</v>
      </c>
      <c r="G8" s="516" t="s">
        <v>495</v>
      </c>
    </row>
    <row r="9" spans="1:7">
      <c r="A9" s="148"/>
      <c r="B9" s="151"/>
      <c r="C9" s="152"/>
      <c r="D9" s="537"/>
      <c r="E9" s="526"/>
      <c r="F9" s="539"/>
      <c r="G9" s="516"/>
    </row>
    <row r="10" spans="1:7" ht="21">
      <c r="A10" s="548" t="s">
        <v>424</v>
      </c>
      <c r="B10" s="536" t="s">
        <v>423</v>
      </c>
      <c r="C10" s="153"/>
      <c r="D10" s="540" t="s">
        <v>496</v>
      </c>
      <c r="E10" s="541"/>
      <c r="F10" s="163" t="s">
        <v>109</v>
      </c>
      <c r="G10" s="107"/>
    </row>
    <row r="11" spans="1:7" ht="90" customHeight="1">
      <c r="A11" s="548"/>
      <c r="B11" s="536"/>
      <c r="C11" s="140"/>
      <c r="D11" s="537" t="s">
        <v>705</v>
      </c>
      <c r="E11" s="526" t="s">
        <v>745</v>
      </c>
      <c r="F11" s="522" t="str">
        <f>_xlfn.XLOOKUP(F10,BewertungsListe,Source!$C$60:$C$65)</f>
        <v>n.e.</v>
      </c>
      <c r="G11" s="517" t="s">
        <v>495</v>
      </c>
    </row>
    <row r="12" spans="1:7" ht="21">
      <c r="A12" s="148"/>
      <c r="B12" s="149"/>
      <c r="C12" s="150"/>
      <c r="D12" s="537"/>
      <c r="E12" s="526"/>
      <c r="F12" s="522"/>
      <c r="G12" s="517"/>
    </row>
    <row r="13" spans="1:7" ht="21">
      <c r="A13" s="548" t="s">
        <v>425</v>
      </c>
      <c r="B13" s="536"/>
      <c r="C13" s="144"/>
      <c r="D13" s="540" t="s">
        <v>497</v>
      </c>
      <c r="E13" s="541"/>
      <c r="F13" s="163" t="s">
        <v>109</v>
      </c>
      <c r="G13" s="107"/>
    </row>
    <row r="14" spans="1:7" ht="108" customHeight="1">
      <c r="A14" s="548"/>
      <c r="B14" s="536"/>
      <c r="C14" s="159"/>
      <c r="D14" s="537" t="s">
        <v>968</v>
      </c>
      <c r="E14" s="526" t="s">
        <v>746</v>
      </c>
      <c r="F14" s="522" t="str">
        <f>_xlfn.XLOOKUP(F13,BewertungsListe,Source!$C$60:$C$65)</f>
        <v>n.e.</v>
      </c>
      <c r="G14" s="517" t="s">
        <v>495</v>
      </c>
    </row>
    <row r="15" spans="1:7" ht="21">
      <c r="A15" s="145"/>
      <c r="B15" s="147"/>
      <c r="C15" s="141"/>
      <c r="D15" s="538"/>
      <c r="E15" s="528"/>
      <c r="F15" s="522"/>
      <c r="G15" s="517"/>
    </row>
    <row r="16" spans="1:7" ht="21">
      <c r="A16" s="558" t="s">
        <v>426</v>
      </c>
      <c r="B16" s="560" t="s">
        <v>423</v>
      </c>
      <c r="C16" s="153"/>
      <c r="D16" s="542" t="s">
        <v>498</v>
      </c>
      <c r="E16" s="543"/>
      <c r="F16" s="163" t="s">
        <v>109</v>
      </c>
      <c r="G16" s="107"/>
    </row>
    <row r="17" spans="1:7" ht="90" customHeight="1">
      <c r="A17" s="559"/>
      <c r="B17" s="536"/>
      <c r="C17" s="140"/>
      <c r="D17" s="531" t="s">
        <v>706</v>
      </c>
      <c r="E17" s="529" t="s">
        <v>747</v>
      </c>
      <c r="F17" s="522" t="str">
        <f>_xlfn.XLOOKUP(F16,BewertungsListe,Source!$C$60:$C$65)</f>
        <v>n.e.</v>
      </c>
      <c r="G17" s="517" t="s">
        <v>495</v>
      </c>
    </row>
    <row r="18" spans="1:7" ht="21">
      <c r="A18" s="155"/>
      <c r="B18" s="149"/>
      <c r="C18" s="150"/>
      <c r="D18" s="532"/>
      <c r="E18" s="530"/>
      <c r="F18" s="522"/>
      <c r="G18" s="517"/>
    </row>
    <row r="19" spans="1:7" ht="21">
      <c r="A19" s="548" t="s">
        <v>427</v>
      </c>
      <c r="B19" s="536"/>
      <c r="C19" s="153"/>
      <c r="D19" s="533" t="s">
        <v>499</v>
      </c>
      <c r="E19" s="534"/>
      <c r="F19" s="163" t="s">
        <v>109</v>
      </c>
      <c r="G19" s="107"/>
    </row>
    <row r="20" spans="1:7" ht="129" customHeight="1">
      <c r="A20" s="548"/>
      <c r="B20" s="536"/>
      <c r="C20" s="140"/>
      <c r="D20" s="549" t="s">
        <v>1161</v>
      </c>
      <c r="E20" s="526" t="s">
        <v>748</v>
      </c>
      <c r="F20" s="522" t="str">
        <f>_xlfn.XLOOKUP(F19,BewertungsListe,Source!$C$60:$C$65)</f>
        <v>n.e.</v>
      </c>
      <c r="G20" s="517" t="s">
        <v>495</v>
      </c>
    </row>
    <row r="21" spans="1:7" ht="21">
      <c r="A21" s="148"/>
      <c r="B21" s="149"/>
      <c r="C21" s="141"/>
      <c r="D21" s="538"/>
      <c r="E21" s="528"/>
      <c r="F21" s="522"/>
      <c r="G21" s="517"/>
    </row>
    <row r="22" spans="1:7" ht="21">
      <c r="A22" s="548" t="s">
        <v>428</v>
      </c>
      <c r="B22" s="563" t="s">
        <v>423</v>
      </c>
      <c r="C22" s="160"/>
      <c r="D22" s="542" t="s">
        <v>500</v>
      </c>
      <c r="E22" s="543"/>
      <c r="F22" s="163" t="s">
        <v>109</v>
      </c>
      <c r="G22" s="107"/>
    </row>
    <row r="23" spans="1:7" ht="100.25" customHeight="1">
      <c r="A23" s="548"/>
      <c r="B23" s="536"/>
      <c r="C23" s="159"/>
      <c r="D23" s="564" t="s">
        <v>741</v>
      </c>
      <c r="E23" s="527" t="s">
        <v>749</v>
      </c>
      <c r="F23" s="522" t="str">
        <f>_xlfn.XLOOKUP(F22,BewertungsListe,Source!$C$60:$C$65)</f>
        <v>n.e.</v>
      </c>
      <c r="G23" s="517" t="s">
        <v>495</v>
      </c>
    </row>
    <row r="24" spans="1:7" ht="21">
      <c r="A24" s="148"/>
      <c r="B24" s="149"/>
      <c r="C24" s="150"/>
      <c r="D24" s="537"/>
      <c r="E24" s="526"/>
      <c r="F24" s="522"/>
      <c r="G24" s="517"/>
    </row>
    <row r="25" spans="1:7" ht="21">
      <c r="A25" s="548" t="s">
        <v>429</v>
      </c>
      <c r="B25" s="536" t="s">
        <v>423</v>
      </c>
      <c r="C25" s="156"/>
      <c r="D25" s="157" t="s">
        <v>501</v>
      </c>
      <c r="E25" s="142"/>
      <c r="F25" s="163" t="s">
        <v>109</v>
      </c>
      <c r="G25" s="107"/>
    </row>
    <row r="26" spans="1:7" ht="108" customHeight="1">
      <c r="A26" s="548"/>
      <c r="B26" s="536"/>
      <c r="C26" s="140"/>
      <c r="D26" s="564" t="s">
        <v>763</v>
      </c>
      <c r="E26" s="526" t="s">
        <v>750</v>
      </c>
      <c r="F26" s="522" t="str">
        <f>_xlfn.XLOOKUP(F25,BewertungsListe,Source!$C$60:$C$65)</f>
        <v>n.e.</v>
      </c>
      <c r="G26" s="161" t="s">
        <v>495</v>
      </c>
    </row>
    <row r="27" spans="1:7" ht="21">
      <c r="A27" s="148"/>
      <c r="B27" s="149"/>
      <c r="C27" s="150"/>
      <c r="D27" s="537"/>
      <c r="E27" s="526"/>
      <c r="F27" s="522"/>
      <c r="G27" s="162"/>
    </row>
    <row r="28" spans="1:7" ht="21">
      <c r="A28" s="548" t="s">
        <v>430</v>
      </c>
      <c r="B28" s="536"/>
      <c r="C28" s="153"/>
      <c r="D28" s="540" t="s">
        <v>502</v>
      </c>
      <c r="E28" s="541"/>
      <c r="F28" s="163" t="s">
        <v>109</v>
      </c>
      <c r="G28" s="107"/>
    </row>
    <row r="29" spans="1:7" ht="108.75" customHeight="1">
      <c r="A29" s="548"/>
      <c r="B29" s="536"/>
      <c r="C29" s="140"/>
      <c r="D29" s="537" t="s">
        <v>503</v>
      </c>
      <c r="E29" s="526" t="s">
        <v>751</v>
      </c>
      <c r="F29" s="522" t="str">
        <f>_xlfn.XLOOKUP(F28,BewertungsListe,Source!$C$60:$C$65)</f>
        <v>n.e.</v>
      </c>
      <c r="G29" s="517" t="s">
        <v>495</v>
      </c>
    </row>
    <row r="30" spans="1:7" ht="23.5" customHeight="1">
      <c r="A30" s="148"/>
      <c r="B30" s="149"/>
      <c r="C30" s="150"/>
      <c r="D30" s="537"/>
      <c r="E30" s="526"/>
      <c r="F30" s="522"/>
      <c r="G30" s="517"/>
    </row>
    <row r="31" spans="1:7" ht="21">
      <c r="A31" s="548" t="s">
        <v>431</v>
      </c>
      <c r="B31" s="536" t="s">
        <v>423</v>
      </c>
      <c r="C31" s="153"/>
      <c r="D31" s="540" t="s">
        <v>504</v>
      </c>
      <c r="E31" s="541"/>
      <c r="F31" s="163" t="s">
        <v>109</v>
      </c>
      <c r="G31" s="107"/>
    </row>
    <row r="32" spans="1:7" ht="42.75" customHeight="1">
      <c r="A32" s="548"/>
      <c r="B32" s="536"/>
      <c r="C32" s="140"/>
      <c r="D32" s="537" t="s">
        <v>505</v>
      </c>
      <c r="E32" s="524" t="s">
        <v>752</v>
      </c>
      <c r="F32" s="522" t="str">
        <f>_xlfn.XLOOKUP(F31,BewertungsListe,Source!$C$60:$C$65)</f>
        <v>n.e.</v>
      </c>
      <c r="G32" s="517" t="s">
        <v>495</v>
      </c>
    </row>
    <row r="33" spans="1:7">
      <c r="A33" s="148"/>
      <c r="B33" s="151"/>
      <c r="C33" s="152"/>
      <c r="D33" s="538"/>
      <c r="E33" s="525"/>
      <c r="F33" s="523"/>
      <c r="G33" s="517"/>
    </row>
    <row r="34" spans="1:7" ht="26">
      <c r="A34" s="5"/>
      <c r="C34" s="158"/>
      <c r="D34" s="164" cm="1">
        <f t="array" ref="D34">SUMPRODUCT((MOD(ROW(F8:F32),3)=2)*(F8:F32&lt;&gt;"n.e."))</f>
        <v>0</v>
      </c>
      <c r="E34" s="518" t="s">
        <v>506</v>
      </c>
      <c r="F34" s="520" t="str">
        <f>IF(D34=0,"n.e.",ROUND(SUMIF(F8:F32,"&gt;=0") / (D34*10), 2))</f>
        <v>n.e.</v>
      </c>
      <c r="G34" s="106"/>
    </row>
    <row r="35" spans="1:7">
      <c r="A35" s="110"/>
      <c r="B35" s="110"/>
      <c r="C35" s="110"/>
      <c r="D35" s="111"/>
      <c r="E35" s="519"/>
      <c r="F35" s="521"/>
      <c r="G35" s="108"/>
    </row>
    <row r="36" spans="1:7">
      <c r="A36" s="100"/>
      <c r="F36" s="98"/>
    </row>
    <row r="37" spans="1:7">
      <c r="A37" s="101"/>
    </row>
    <row r="38" spans="1:7">
      <c r="A38" s="100"/>
      <c r="D38" s="6"/>
    </row>
    <row r="39" spans="1:7">
      <c r="A39" s="100"/>
    </row>
    <row r="40" spans="1:7">
      <c r="A40" s="101"/>
    </row>
    <row r="41" spans="1:7">
      <c r="A41" s="101"/>
    </row>
    <row r="42" spans="1:7">
      <c r="A42" s="101"/>
    </row>
    <row r="43" spans="1:7">
      <c r="A43" s="101"/>
    </row>
  </sheetData>
  <mergeCells count="69">
    <mergeCell ref="A31:A32"/>
    <mergeCell ref="B31:B32"/>
    <mergeCell ref="A28:A29"/>
    <mergeCell ref="B28:B29"/>
    <mergeCell ref="D29:D30"/>
    <mergeCell ref="D32:D33"/>
    <mergeCell ref="D28:E28"/>
    <mergeCell ref="D31:E31"/>
    <mergeCell ref="A25:A26"/>
    <mergeCell ref="B25:B26"/>
    <mergeCell ref="A22:A23"/>
    <mergeCell ref="B22:B23"/>
    <mergeCell ref="D23:D24"/>
    <mergeCell ref="D26:D27"/>
    <mergeCell ref="D22:E22"/>
    <mergeCell ref="A1:G2"/>
    <mergeCell ref="A19:A20"/>
    <mergeCell ref="B19:B20"/>
    <mergeCell ref="D20:D21"/>
    <mergeCell ref="A10:A11"/>
    <mergeCell ref="B10:B11"/>
    <mergeCell ref="A3:A6"/>
    <mergeCell ref="D3:D6"/>
    <mergeCell ref="E3:E6"/>
    <mergeCell ref="B3:B6"/>
    <mergeCell ref="G3:G6"/>
    <mergeCell ref="A16:A17"/>
    <mergeCell ref="B16:B17"/>
    <mergeCell ref="A13:A14"/>
    <mergeCell ref="B13:B14"/>
    <mergeCell ref="F3:F6"/>
    <mergeCell ref="A7:A8"/>
    <mergeCell ref="B7:B8"/>
    <mergeCell ref="F17:F18"/>
    <mergeCell ref="D8:D9"/>
    <mergeCell ref="D11:D12"/>
    <mergeCell ref="D14:D15"/>
    <mergeCell ref="F8:F9"/>
    <mergeCell ref="E8:E9"/>
    <mergeCell ref="E11:E12"/>
    <mergeCell ref="F11:F12"/>
    <mergeCell ref="D10:E10"/>
    <mergeCell ref="D13:E13"/>
    <mergeCell ref="D16:E16"/>
    <mergeCell ref="E20:E21"/>
    <mergeCell ref="E14:E15"/>
    <mergeCell ref="E17:E18"/>
    <mergeCell ref="D17:D18"/>
    <mergeCell ref="F20:F21"/>
    <mergeCell ref="F14:F15"/>
    <mergeCell ref="D19:E19"/>
    <mergeCell ref="G23:G24"/>
    <mergeCell ref="E34:E35"/>
    <mergeCell ref="F34:F35"/>
    <mergeCell ref="G32:G33"/>
    <mergeCell ref="G29:G30"/>
    <mergeCell ref="F29:F30"/>
    <mergeCell ref="F32:F33"/>
    <mergeCell ref="E32:E33"/>
    <mergeCell ref="E29:E30"/>
    <mergeCell ref="F23:F24"/>
    <mergeCell ref="F26:F27"/>
    <mergeCell ref="E23:E24"/>
    <mergeCell ref="E26:E27"/>
    <mergeCell ref="G8:G9"/>
    <mergeCell ref="G11:G12"/>
    <mergeCell ref="G14:G15"/>
    <mergeCell ref="G17:G18"/>
    <mergeCell ref="G20:G21"/>
  </mergeCells>
  <phoneticPr fontId="10" type="noConversion"/>
  <conditionalFormatting sqref="F8 F11 F14 F17 F20 F23 F26 F29 F32">
    <cfRule type="cellIs" dxfId="299" priority="72" operator="equal">
      <formula>10</formula>
    </cfRule>
  </conditionalFormatting>
  <conditionalFormatting sqref="F20">
    <cfRule type="cellIs" dxfId="298" priority="54" operator="equal">
      <formula>10</formula>
    </cfRule>
  </conditionalFormatting>
  <conditionalFormatting sqref="F20">
    <cfRule type="cellIs" dxfId="297" priority="49" operator="equal">
      <formula>0</formula>
    </cfRule>
    <cfRule type="cellIs" dxfId="296" priority="50" operator="equal">
      <formula>2</formula>
    </cfRule>
    <cfRule type="cellIs" dxfId="295" priority="51" operator="equal">
      <formula>4</formula>
    </cfRule>
    <cfRule type="cellIs" dxfId="294" priority="52" operator="equal">
      <formula>6</formula>
    </cfRule>
    <cfRule type="cellIs" dxfId="293" priority="53" operator="equal">
      <formula>8</formula>
    </cfRule>
  </conditionalFormatting>
  <conditionalFormatting sqref="F23">
    <cfRule type="cellIs" dxfId="292" priority="48" operator="equal">
      <formula>10</formula>
    </cfRule>
  </conditionalFormatting>
  <conditionalFormatting sqref="F23">
    <cfRule type="cellIs" dxfId="291" priority="43" operator="equal">
      <formula>0</formula>
    </cfRule>
    <cfRule type="cellIs" dxfId="290" priority="44" operator="equal">
      <formula>2</formula>
    </cfRule>
    <cfRule type="cellIs" dxfId="289" priority="45" operator="equal">
      <formula>4</formula>
    </cfRule>
    <cfRule type="cellIs" dxfId="288" priority="46" operator="equal">
      <formula>6</formula>
    </cfRule>
    <cfRule type="cellIs" dxfId="287" priority="47" operator="equal">
      <formula>8</formula>
    </cfRule>
  </conditionalFormatting>
  <conditionalFormatting sqref="F26">
    <cfRule type="cellIs" dxfId="286" priority="42" operator="equal">
      <formula>10</formula>
    </cfRule>
  </conditionalFormatting>
  <conditionalFormatting sqref="F26">
    <cfRule type="cellIs" dxfId="285" priority="37" operator="equal">
      <formula>0</formula>
    </cfRule>
    <cfRule type="cellIs" dxfId="284" priority="38" operator="equal">
      <formula>2</formula>
    </cfRule>
    <cfRule type="cellIs" dxfId="283" priority="39" operator="equal">
      <formula>4</formula>
    </cfRule>
    <cfRule type="cellIs" dxfId="282" priority="40" operator="equal">
      <formula>6</formula>
    </cfRule>
    <cfRule type="cellIs" dxfId="281" priority="41" operator="equal">
      <formula>8</formula>
    </cfRule>
  </conditionalFormatting>
  <conditionalFormatting sqref="F29">
    <cfRule type="cellIs" dxfId="280" priority="30" operator="equal">
      <formula>10</formula>
    </cfRule>
  </conditionalFormatting>
  <conditionalFormatting sqref="F29">
    <cfRule type="cellIs" dxfId="279" priority="25" operator="equal">
      <formula>0</formula>
    </cfRule>
    <cfRule type="cellIs" dxfId="278" priority="26" operator="equal">
      <formula>2</formula>
    </cfRule>
    <cfRule type="cellIs" dxfId="277" priority="27" operator="equal">
      <formula>4</formula>
    </cfRule>
    <cfRule type="cellIs" dxfId="276" priority="28" operator="equal">
      <formula>6</formula>
    </cfRule>
    <cfRule type="cellIs" dxfId="275" priority="29" operator="equal">
      <formula>8</formula>
    </cfRule>
  </conditionalFormatting>
  <conditionalFormatting sqref="F32">
    <cfRule type="cellIs" dxfId="274" priority="24" operator="equal">
      <formula>10</formula>
    </cfRule>
  </conditionalFormatting>
  <conditionalFormatting sqref="F32">
    <cfRule type="cellIs" dxfId="273" priority="19" operator="equal">
      <formula>0</formula>
    </cfRule>
    <cfRule type="cellIs" dxfId="272" priority="20" operator="equal">
      <formula>2</formula>
    </cfRule>
    <cfRule type="cellIs" dxfId="271" priority="21" operator="equal">
      <formula>4</formula>
    </cfRule>
    <cfRule type="cellIs" dxfId="270" priority="22" operator="equal">
      <formula>6</formula>
    </cfRule>
    <cfRule type="cellIs" dxfId="269" priority="23" operator="equal">
      <formula>8</formula>
    </cfRule>
  </conditionalFormatting>
  <conditionalFormatting sqref="F11 F17 F8 F14 F20 F23 F26 F29 F32">
    <cfRule type="cellIs" dxfId="268" priority="67" operator="equal">
      <formula>0</formula>
    </cfRule>
    <cfRule type="cellIs" dxfId="267" priority="69" operator="equal">
      <formula>4</formula>
    </cfRule>
  </conditionalFormatting>
  <conditionalFormatting sqref="F11 F17 F8 F14 F20 F23 F26 F29 F32">
    <cfRule type="cellIs" dxfId="266" priority="68" operator="equal">
      <formula>2</formula>
    </cfRule>
    <cfRule type="cellIs" dxfId="265" priority="71" operator="equal">
      <formula>8</formula>
    </cfRule>
  </conditionalFormatting>
  <conditionalFormatting sqref="F11 F17 F8 F14 F20 F23 F26 F29 F32">
    <cfRule type="cellIs" dxfId="264" priority="70" operator="equal">
      <formula>6</formula>
    </cfRule>
  </conditionalFormatting>
  <dataValidations count="1">
    <dataValidation type="list" allowBlank="1" showInputMessage="1" showErrorMessage="1" sqref="F7 F10 F13 F16 F19 F22 F25 F28 F31"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1" display="▶️" xr:uid="{9BAA587F-09A6-4BDA-A5E2-52D9FC5C7980}"/>
    <hyperlink ref="G23" location="Anmerkungen!F12" display="▶️" xr:uid="{7E674D01-7574-4F42-A5D1-72BB1362B23E}"/>
    <hyperlink ref="G26" location="Remarks!G11" display="▶️" xr:uid="{C29CFE46-1D7B-4C0E-8F19-F26E8952BEBB}"/>
    <hyperlink ref="G29" location="Anmerkungen!F15" display="▶️" xr:uid="{BD445338-6807-401E-AB3E-9A3AE8FD6FC7}"/>
    <hyperlink ref="G32" location="Anmerkungen!F16" display="▶️" xr:uid="{BBB0194D-812B-4917-8863-AC1893188D78}"/>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7F34277F-DADB-4C43-B148-8FF3980166CF}"/>
    <hyperlink ref="G23:G24" location="Remarks!G10" display="▶️" xr:uid="{D18A5C59-9A25-4867-AF77-FD195C09C3D8}"/>
    <hyperlink ref="G29:G30" location="Remarks!G12" display="▶️" xr:uid="{6DD79779-2F9B-4DDF-A4EA-127E99FBA150}"/>
    <hyperlink ref="G32:G33" location="Remarks!G13" display="▶️" xr:uid="{16C82428-D41A-4D94-ACA6-CC17798D611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1" manualBreakCount="1">
    <brk id="24"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topLeftCell="A2" zoomScale="85" zoomScaleNormal="85" workbookViewId="0">
      <selection activeCell="D8" sqref="D8:E9"/>
    </sheetView>
  </sheetViews>
  <sheetFormatPr baseColWidth="10" defaultColWidth="10.83203125" defaultRowHeight="16"/>
  <cols>
    <col min="1" max="1" width="4.6640625" style="22" customWidth="1"/>
    <col min="2" max="3" width="3.83203125" style="5" customWidth="1"/>
    <col min="4" max="4" width="83.6640625" style="5" customWidth="1"/>
    <col min="5" max="5" width="59" style="5" customWidth="1"/>
    <col min="6" max="6" width="27.5" style="5" customWidth="1"/>
    <col min="7" max="7" width="5.5" style="5" customWidth="1"/>
    <col min="8" max="16384" width="10.83203125" style="5"/>
  </cols>
  <sheetData>
    <row r="1" spans="1:8" ht="38.25" customHeight="1">
      <c r="A1" s="568" t="s">
        <v>577</v>
      </c>
      <c r="B1" s="569"/>
      <c r="C1" s="569"/>
      <c r="D1" s="569"/>
      <c r="E1" s="569"/>
      <c r="F1" s="569"/>
      <c r="G1" s="570"/>
      <c r="H1" s="100"/>
    </row>
    <row r="2" spans="1:8" ht="15" customHeight="1">
      <c r="A2" s="571"/>
      <c r="B2" s="572"/>
      <c r="C2" s="572"/>
      <c r="D2" s="572"/>
      <c r="E2" s="572"/>
      <c r="F2" s="572"/>
      <c r="G2" s="573"/>
      <c r="H2" s="100"/>
    </row>
    <row r="3" spans="1:8" ht="15.75" customHeight="1">
      <c r="A3" s="576" t="s">
        <v>417</v>
      </c>
      <c r="B3" s="577" t="s">
        <v>490</v>
      </c>
      <c r="C3" s="97"/>
      <c r="D3" s="578" t="s">
        <v>694</v>
      </c>
      <c r="E3" s="578" t="s">
        <v>491</v>
      </c>
      <c r="F3" s="579" t="s">
        <v>492</v>
      </c>
      <c r="G3" s="557" t="s">
        <v>493</v>
      </c>
      <c r="H3" s="100"/>
    </row>
    <row r="4" spans="1:8" ht="33.75" customHeight="1">
      <c r="A4" s="576"/>
      <c r="B4" s="555"/>
      <c r="C4" s="97"/>
      <c r="D4" s="578"/>
      <c r="E4" s="578"/>
      <c r="F4" s="579"/>
      <c r="G4" s="557"/>
      <c r="H4" s="100"/>
    </row>
    <row r="5" spans="1:8" ht="0.75" customHeight="1">
      <c r="A5" s="576"/>
      <c r="B5" s="555"/>
      <c r="C5" s="97"/>
      <c r="D5" s="578"/>
      <c r="E5" s="578"/>
      <c r="F5" s="579"/>
      <c r="G5" s="557"/>
      <c r="H5" s="100"/>
    </row>
    <row r="6" spans="1:8" ht="12.75" customHeight="1">
      <c r="A6" s="576"/>
      <c r="B6" s="555"/>
      <c r="C6" s="97"/>
      <c r="D6" s="578"/>
      <c r="E6" s="578"/>
      <c r="F6" s="579"/>
      <c r="G6" s="557"/>
      <c r="H6" s="100"/>
    </row>
    <row r="7" spans="1:8" ht="26" customHeight="1">
      <c r="A7" s="580" t="s">
        <v>433</v>
      </c>
      <c r="B7" s="582" t="s">
        <v>423</v>
      </c>
      <c r="C7" s="160"/>
      <c r="D7" s="542" t="s">
        <v>507</v>
      </c>
      <c r="E7" s="587"/>
      <c r="F7" s="166" t="s">
        <v>109</v>
      </c>
      <c r="G7" s="516" t="s">
        <v>495</v>
      </c>
      <c r="H7" s="100"/>
    </row>
    <row r="8" spans="1:8" ht="73.25" customHeight="1">
      <c r="A8" s="581"/>
      <c r="B8" s="563"/>
      <c r="C8" s="159"/>
      <c r="D8" s="575" t="s">
        <v>950</v>
      </c>
      <c r="E8" s="585" t="s">
        <v>753</v>
      </c>
      <c r="F8" s="574" t="str">
        <f>_xlfn.XLOOKUP(F7,BewertungsListe,Source!$C$60:$C$65)</f>
        <v>n.e.</v>
      </c>
      <c r="G8" s="516"/>
      <c r="H8" s="100"/>
    </row>
    <row r="9" spans="1:8" ht="17" customHeight="1">
      <c r="A9" s="581"/>
      <c r="B9" s="563"/>
      <c r="C9" s="168"/>
      <c r="D9" s="575"/>
      <c r="E9" s="586"/>
      <c r="F9" s="574"/>
      <c r="G9" s="516"/>
      <c r="H9" s="100"/>
    </row>
    <row r="10" spans="1:8" ht="43.25" customHeight="1">
      <c r="A10" s="580" t="s">
        <v>434</v>
      </c>
      <c r="B10" s="582" t="s">
        <v>423</v>
      </c>
      <c r="C10" s="160"/>
      <c r="D10" s="591" t="s">
        <v>508</v>
      </c>
      <c r="E10" s="592"/>
      <c r="F10" s="167" t="s">
        <v>109</v>
      </c>
      <c r="G10" s="516" t="s">
        <v>495</v>
      </c>
      <c r="H10" s="100"/>
    </row>
    <row r="11" spans="1:8" ht="50" customHeight="1">
      <c r="A11" s="581"/>
      <c r="B11" s="563"/>
      <c r="C11" s="159"/>
      <c r="D11" s="575" t="s">
        <v>707</v>
      </c>
      <c r="E11" s="586" t="s">
        <v>754</v>
      </c>
      <c r="F11" s="565" t="str">
        <f>_xlfn.XLOOKUP(F10,BewertungsListe,Source!$C$60:$C$65)</f>
        <v>n.e.</v>
      </c>
      <c r="G11" s="516"/>
      <c r="H11" s="100"/>
    </row>
    <row r="12" spans="1:8" ht="50" customHeight="1">
      <c r="A12" s="581"/>
      <c r="B12" s="563"/>
      <c r="C12" s="169"/>
      <c r="D12" s="584"/>
      <c r="E12" s="590"/>
      <c r="F12" s="566"/>
      <c r="G12" s="516"/>
      <c r="H12" s="100"/>
    </row>
    <row r="13" spans="1:8" ht="28.25" customHeight="1">
      <c r="A13" s="581"/>
      <c r="B13" s="563"/>
      <c r="C13" s="159"/>
      <c r="D13" s="575" t="s">
        <v>742</v>
      </c>
      <c r="E13" s="575" t="s">
        <v>755</v>
      </c>
      <c r="F13" s="170" t="s">
        <v>109</v>
      </c>
      <c r="G13" s="517" t="s">
        <v>495</v>
      </c>
      <c r="H13" s="100"/>
    </row>
    <row r="14" spans="1:8" ht="96" customHeight="1">
      <c r="A14" s="581"/>
      <c r="B14" s="563"/>
      <c r="C14" s="168"/>
      <c r="D14" s="575"/>
      <c r="E14" s="575"/>
      <c r="F14" s="565" t="str">
        <f>_xlfn.XLOOKUP(F13,BewertungsListe,Source!$C$60:$C$65)</f>
        <v>n.e.</v>
      </c>
      <c r="G14" s="517"/>
      <c r="H14" s="100"/>
    </row>
    <row r="15" spans="1:8" ht="17" customHeight="1">
      <c r="A15" s="588"/>
      <c r="B15" s="589"/>
      <c r="C15" s="169"/>
      <c r="D15" s="584"/>
      <c r="E15" s="584"/>
      <c r="F15" s="567"/>
      <c r="G15" s="517"/>
      <c r="H15" s="100"/>
    </row>
    <row r="16" spans="1:8" ht="25.5" customHeight="1">
      <c r="A16" s="581" t="s">
        <v>435</v>
      </c>
      <c r="B16" s="563" t="s">
        <v>423</v>
      </c>
      <c r="C16" s="172"/>
      <c r="D16" s="542" t="s">
        <v>509</v>
      </c>
      <c r="E16" s="587"/>
      <c r="F16" s="167" t="s">
        <v>109</v>
      </c>
      <c r="G16" s="516" t="s">
        <v>495</v>
      </c>
      <c r="H16" s="100"/>
    </row>
    <row r="17" spans="1:8" ht="138.75" customHeight="1">
      <c r="A17" s="581"/>
      <c r="B17" s="563"/>
      <c r="C17" s="159"/>
      <c r="D17" s="575" t="s">
        <v>510</v>
      </c>
      <c r="E17" s="575" t="s">
        <v>756</v>
      </c>
      <c r="F17" s="565" t="str">
        <f>_xlfn.XLOOKUP(F16,BewertungsListe,Source!$C$60:$C$65)</f>
        <v>n.e.</v>
      </c>
      <c r="G17" s="516"/>
      <c r="H17" s="100"/>
    </row>
    <row r="18" spans="1:8" ht="35.5" customHeight="1">
      <c r="A18" s="581"/>
      <c r="B18" s="563"/>
      <c r="C18" s="168"/>
      <c r="D18" s="575"/>
      <c r="E18" s="575"/>
      <c r="F18" s="566"/>
      <c r="G18" s="516"/>
      <c r="H18" s="112"/>
    </row>
    <row r="19" spans="1:8" ht="29.5" customHeight="1">
      <c r="A19" s="580" t="s">
        <v>436</v>
      </c>
      <c r="B19" s="582" t="s">
        <v>423</v>
      </c>
      <c r="C19" s="153"/>
      <c r="D19" s="542" t="s">
        <v>511</v>
      </c>
      <c r="E19" s="587"/>
      <c r="F19" s="171" t="s">
        <v>109</v>
      </c>
      <c r="G19" s="516" t="s">
        <v>495</v>
      </c>
    </row>
    <row r="20" spans="1:8" ht="176.5" customHeight="1">
      <c r="A20" s="581"/>
      <c r="B20" s="563"/>
      <c r="C20" s="159"/>
      <c r="D20" s="583" t="s">
        <v>743</v>
      </c>
      <c r="E20" s="585" t="s">
        <v>757</v>
      </c>
      <c r="F20" s="565" t="str">
        <f>_xlfn.XLOOKUP(F19,BewertungsListe,Source!$C$60:$C$65)</f>
        <v>n.e.</v>
      </c>
      <c r="G20" s="516"/>
    </row>
    <row r="21" spans="1:8" ht="24" customHeight="1">
      <c r="A21" s="581"/>
      <c r="B21" s="563"/>
      <c r="C21" s="168"/>
      <c r="D21" s="584"/>
      <c r="E21" s="586"/>
      <c r="F21" s="567"/>
      <c r="G21" s="516"/>
    </row>
    <row r="22" spans="1:8" ht="36" customHeight="1">
      <c r="A22" s="173"/>
      <c r="B22" s="174"/>
      <c r="C22" s="174"/>
      <c r="D22" s="111" cm="1">
        <f t="array" ref="D22">SUMPRODUCT((MOD(ROW(F7:F20),3)=2)*(F7:F20&lt;&gt;"n.e."))</f>
        <v>0</v>
      </c>
      <c r="E22" s="175" t="s">
        <v>512</v>
      </c>
      <c r="F22" s="176" t="str">
        <f>IF(D22=0,"n.e.",ROUND(SUMIF(F7:F21,"&gt;=0") / (D22*10), 2))</f>
        <v>n.e.</v>
      </c>
      <c r="G22" s="114"/>
      <c r="H22" s="100"/>
    </row>
    <row r="23" spans="1:8">
      <c r="A23" s="102"/>
      <c r="B23" s="98"/>
      <c r="C23" s="98"/>
      <c r="D23" s="96"/>
      <c r="E23" s="98"/>
      <c r="F23" s="98"/>
      <c r="G23" s="98"/>
    </row>
    <row r="24" spans="1:8">
      <c r="A24" s="100"/>
    </row>
    <row r="25" spans="1:8" ht="25.5" customHeight="1">
      <c r="A25" s="100"/>
    </row>
    <row r="26" spans="1:8" ht="144" customHeight="1">
      <c r="A26" s="100"/>
    </row>
    <row r="27" spans="1:8">
      <c r="A27" s="100"/>
    </row>
    <row r="28" spans="1:8" ht="25.5" customHeight="1">
      <c r="A28" s="100"/>
    </row>
    <row r="29" spans="1:8">
      <c r="A29" s="100"/>
    </row>
    <row r="30" spans="1:8">
      <c r="A30" s="100"/>
    </row>
    <row r="31" spans="1:8" ht="25.5" customHeight="1">
      <c r="A31" s="100"/>
    </row>
    <row r="32" spans="1:8">
      <c r="A32" s="100"/>
    </row>
    <row r="33" spans="1:4">
      <c r="A33" s="100"/>
    </row>
    <row r="34" spans="1:4" ht="25.5" customHeight="1">
      <c r="A34" s="100"/>
    </row>
    <row r="35" spans="1:4">
      <c r="A35" s="100"/>
    </row>
    <row r="36" spans="1:4">
      <c r="A36" s="100"/>
    </row>
    <row r="37" spans="1:4">
      <c r="A37" s="101"/>
    </row>
    <row r="38" spans="1:4">
      <c r="A38" s="100"/>
      <c r="D38" s="6"/>
    </row>
    <row r="39" spans="1:4">
      <c r="A39" s="100"/>
    </row>
    <row r="40" spans="1:4">
      <c r="A40" s="101"/>
    </row>
    <row r="41" spans="1:4">
      <c r="A41" s="101"/>
    </row>
    <row r="42" spans="1:4">
      <c r="A42" s="101"/>
    </row>
    <row r="43" spans="1:4">
      <c r="A43" s="101"/>
    </row>
    <row r="44" spans="1:4">
      <c r="A44" s="101"/>
    </row>
    <row r="45" spans="1:4">
      <c r="A45" s="101"/>
    </row>
    <row r="46" spans="1:4">
      <c r="A46" s="101"/>
    </row>
  </sheetData>
  <mergeCells count="39">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 ref="G16:G18"/>
    <mergeCell ref="G19:G21"/>
    <mergeCell ref="F17:F18"/>
    <mergeCell ref="F20:F21"/>
    <mergeCell ref="D20:D21"/>
    <mergeCell ref="E20:E21"/>
    <mergeCell ref="D17:D18"/>
    <mergeCell ref="E17:E18"/>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s>
  <phoneticPr fontId="77" type="noConversion"/>
  <conditionalFormatting sqref="F8 F14 F17 F20">
    <cfRule type="cellIs" dxfId="263" priority="66" operator="equal">
      <formula>10</formula>
    </cfRule>
  </conditionalFormatting>
  <conditionalFormatting sqref="F8 F14 F17 F20">
    <cfRule type="cellIs" dxfId="262" priority="61" operator="equal">
      <formula>0</formula>
    </cfRule>
    <cfRule type="cellIs" dxfId="261" priority="63" operator="equal">
      <formula>4</formula>
    </cfRule>
  </conditionalFormatting>
  <conditionalFormatting sqref="F8 F14 F17 F20">
    <cfRule type="cellIs" dxfId="260" priority="62" operator="equal">
      <formula>2</formula>
    </cfRule>
    <cfRule type="cellIs" dxfId="259" priority="65" operator="equal">
      <formula>8</formula>
    </cfRule>
  </conditionalFormatting>
  <conditionalFormatting sqref="F8 F14 F17 F20">
    <cfRule type="cellIs" dxfId="258" priority="64" operator="equal">
      <formula>6</formula>
    </cfRule>
  </conditionalFormatting>
  <conditionalFormatting sqref="F11">
    <cfRule type="cellIs" dxfId="257" priority="6" operator="equal">
      <formula>10</formula>
    </cfRule>
  </conditionalFormatting>
  <conditionalFormatting sqref="F11">
    <cfRule type="cellIs" dxfId="256" priority="1" operator="equal">
      <formula>0</formula>
    </cfRule>
    <cfRule type="cellIs" dxfId="255" priority="3" operator="equal">
      <formula>4</formula>
    </cfRule>
  </conditionalFormatting>
  <conditionalFormatting sqref="F11">
    <cfRule type="cellIs" dxfId="254" priority="2" operator="equal">
      <formula>2</formula>
    </cfRule>
    <cfRule type="cellIs" dxfId="253" priority="5" operator="equal">
      <formula>8</formula>
    </cfRule>
  </conditionalFormatting>
  <conditionalFormatting sqref="F11">
    <cfRule type="cellIs" dxfId="252"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5" display="▶️" xr:uid="{2FC46CC4-B513-4DF6-9DB9-4D12E90D3C65}"/>
    <hyperlink ref="G16:G18" location="Remarks!G19" display="▶️" xr:uid="{CB554C16-73BB-4C0E-A922-1679F22695D7}"/>
    <hyperlink ref="G19:G21" location="Remarks!G20" display="▶️" xr:uid="{5D8AA44C-BB2B-4E5A-9FBB-8D693C055EFE}"/>
    <hyperlink ref="G10:G12" location="Remarks!G17" display="▶️" xr:uid="{AF35DE48-D648-4CA4-907F-CFD80E5FD705}"/>
    <hyperlink ref="G13:G15" location="Remarks!G18" display="▶️" xr:uid="{2AE57DCE-DEBB-44F0-A174-E3723442E6E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530A-DE0C-499D-AD01-5FF6E64CCBDC}">
  <sheetPr codeName="Tabelle4">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69" t="s">
        <v>582</v>
      </c>
      <c r="B1" s="569"/>
      <c r="C1" s="569"/>
      <c r="D1" s="569"/>
      <c r="E1" s="569"/>
      <c r="F1" s="569"/>
      <c r="G1" s="570"/>
    </row>
    <row r="2" spans="1:8" ht="15" customHeight="1">
      <c r="A2" s="572"/>
      <c r="B2" s="572"/>
      <c r="C2" s="572"/>
      <c r="D2" s="572"/>
      <c r="E2" s="572"/>
      <c r="F2" s="572"/>
      <c r="G2" s="573"/>
    </row>
    <row r="3" spans="1:8" ht="15.75" customHeight="1">
      <c r="A3" s="594" t="s">
        <v>417</v>
      </c>
      <c r="B3" s="577" t="s">
        <v>490</v>
      </c>
      <c r="C3" s="177"/>
      <c r="D3" s="595" t="s">
        <v>694</v>
      </c>
      <c r="E3" s="595" t="s">
        <v>491</v>
      </c>
      <c r="F3" s="596" t="s">
        <v>492</v>
      </c>
      <c r="G3" s="593" t="s">
        <v>493</v>
      </c>
      <c r="H3" s="100"/>
    </row>
    <row r="4" spans="1:8" ht="24" customHeight="1">
      <c r="A4" s="576"/>
      <c r="B4" s="555"/>
      <c r="C4" s="97"/>
      <c r="D4" s="578"/>
      <c r="E4" s="578"/>
      <c r="F4" s="579"/>
      <c r="G4" s="557"/>
      <c r="H4" s="100"/>
    </row>
    <row r="5" spans="1:8" ht="0.75" customHeight="1">
      <c r="A5" s="576"/>
      <c r="B5" s="555"/>
      <c r="C5" s="97"/>
      <c r="D5" s="578"/>
      <c r="E5" s="578"/>
      <c r="F5" s="579"/>
      <c r="G5" s="557"/>
      <c r="H5" s="100"/>
    </row>
    <row r="6" spans="1:8" ht="12.75" customHeight="1">
      <c r="A6" s="576"/>
      <c r="B6" s="555"/>
      <c r="C6" s="97"/>
      <c r="D6" s="578"/>
      <c r="E6" s="578"/>
      <c r="F6" s="597"/>
      <c r="G6" s="557"/>
      <c r="H6" s="100"/>
    </row>
    <row r="7" spans="1:8" ht="29.25" customHeight="1">
      <c r="A7" s="580" t="s">
        <v>438</v>
      </c>
      <c r="B7" s="582" t="s">
        <v>423</v>
      </c>
      <c r="C7" s="153"/>
      <c r="D7" s="542" t="s">
        <v>513</v>
      </c>
      <c r="E7" s="587"/>
      <c r="F7" s="171" t="s">
        <v>109</v>
      </c>
      <c r="G7" s="516" t="s">
        <v>495</v>
      </c>
      <c r="H7" s="100"/>
    </row>
    <row r="8" spans="1:8" ht="161.25" customHeight="1">
      <c r="A8" s="581"/>
      <c r="B8" s="563"/>
      <c r="C8" s="159"/>
      <c r="D8" s="583" t="s">
        <v>951</v>
      </c>
      <c r="E8" s="575" t="s">
        <v>952</v>
      </c>
      <c r="F8" s="565" t="str">
        <f>_xlfn.XLOOKUP(F7,BewertungsListe,Source!$C$60:$C$65)</f>
        <v>n.e.</v>
      </c>
      <c r="G8" s="516"/>
      <c r="H8" s="100"/>
    </row>
    <row r="9" spans="1:8" ht="15" customHeight="1">
      <c r="A9" s="581"/>
      <c r="B9" s="563"/>
      <c r="C9" s="168"/>
      <c r="D9" s="575"/>
      <c r="E9" s="575"/>
      <c r="F9" s="567" t="s">
        <v>514</v>
      </c>
      <c r="G9" s="516"/>
      <c r="H9" s="100"/>
    </row>
    <row r="10" spans="1:8" ht="28.5" customHeight="1">
      <c r="A10" s="580" t="s">
        <v>439</v>
      </c>
      <c r="B10" s="560" t="s">
        <v>423</v>
      </c>
      <c r="C10" s="153"/>
      <c r="D10" s="601" t="s">
        <v>515</v>
      </c>
      <c r="E10" s="601"/>
      <c r="F10" s="178" t="s">
        <v>109</v>
      </c>
      <c r="G10" s="516" t="s">
        <v>495</v>
      </c>
      <c r="H10" s="100"/>
    </row>
    <row r="11" spans="1:8" ht="125.25" customHeight="1">
      <c r="A11" s="581"/>
      <c r="B11" s="536"/>
      <c r="C11" s="140"/>
      <c r="D11" s="583" t="s">
        <v>708</v>
      </c>
      <c r="E11" s="583" t="s">
        <v>758</v>
      </c>
      <c r="F11" s="565" t="str">
        <f>_xlfn.XLOOKUP(F10,BewertungsListe,Source!$C$60:$C$65)</f>
        <v>n.e.</v>
      </c>
      <c r="G11" s="516"/>
      <c r="H11" s="100"/>
    </row>
    <row r="12" spans="1:8" ht="17" customHeight="1">
      <c r="A12" s="581"/>
      <c r="B12" s="598"/>
      <c r="C12" s="179"/>
      <c r="D12" s="584"/>
      <c r="E12" s="584"/>
      <c r="F12" s="566" t="s">
        <v>514</v>
      </c>
      <c r="G12" s="516"/>
      <c r="H12" s="100"/>
    </row>
    <row r="13" spans="1:8" ht="32.25" customHeight="1">
      <c r="A13" s="580" t="s">
        <v>440</v>
      </c>
      <c r="B13" s="563"/>
      <c r="C13" s="153"/>
      <c r="D13" s="542" t="s">
        <v>516</v>
      </c>
      <c r="E13" s="587"/>
      <c r="F13" s="167" t="s">
        <v>109</v>
      </c>
      <c r="G13" s="517" t="s">
        <v>495</v>
      </c>
      <c r="H13" s="100"/>
    </row>
    <row r="14" spans="1:8" ht="85.5" customHeight="1">
      <c r="A14" s="581"/>
      <c r="B14" s="563"/>
      <c r="C14" s="168"/>
      <c r="D14" s="575" t="s">
        <v>682</v>
      </c>
      <c r="E14" s="586" t="s">
        <v>759</v>
      </c>
      <c r="F14" s="599" t="str">
        <f>_xlfn.XLOOKUP(F13,BewertungsListe,Source!$C$60:$C$65)</f>
        <v>n.e.</v>
      </c>
      <c r="G14" s="517"/>
      <c r="H14" s="100"/>
    </row>
    <row r="15" spans="1:8" ht="17" customHeight="1">
      <c r="A15" s="588"/>
      <c r="B15" s="589"/>
      <c r="C15" s="169"/>
      <c r="D15" s="584"/>
      <c r="E15" s="590"/>
      <c r="F15" s="600" t="s">
        <v>514</v>
      </c>
      <c r="G15" s="517"/>
      <c r="H15" s="100"/>
    </row>
    <row r="16" spans="1:8" ht="26" customHeight="1">
      <c r="A16" s="581" t="s">
        <v>441</v>
      </c>
      <c r="B16" s="560"/>
      <c r="C16" s="153"/>
      <c r="D16" s="542" t="s">
        <v>517</v>
      </c>
      <c r="E16" s="587"/>
      <c r="F16" s="180" t="s">
        <v>109</v>
      </c>
      <c r="G16" s="517" t="s">
        <v>495</v>
      </c>
      <c r="H16" s="100"/>
    </row>
    <row r="17" spans="1:8" ht="82.5" customHeight="1">
      <c r="A17" s="581"/>
      <c r="B17" s="536"/>
      <c r="C17" s="168"/>
      <c r="D17" s="575" t="s">
        <v>683</v>
      </c>
      <c r="E17" s="585" t="s">
        <v>760</v>
      </c>
      <c r="F17" s="565" t="str">
        <f>_xlfn.XLOOKUP(F16,BewertungsListe,Source!$C$60:$C$65)</f>
        <v>n.e.</v>
      </c>
      <c r="G17" s="517"/>
      <c r="H17" s="100"/>
    </row>
    <row r="18" spans="1:8" ht="17" customHeight="1">
      <c r="A18" s="581"/>
      <c r="B18" s="598"/>
      <c r="C18" s="168"/>
      <c r="D18" s="575"/>
      <c r="E18" s="586"/>
      <c r="F18" s="567" t="s">
        <v>514</v>
      </c>
      <c r="G18" s="517"/>
      <c r="H18" s="100"/>
    </row>
    <row r="19" spans="1:8" ht="23.5" customHeight="1">
      <c r="A19" s="580" t="s">
        <v>442</v>
      </c>
      <c r="B19" s="536"/>
      <c r="C19" s="153"/>
      <c r="D19" s="542" t="s">
        <v>518</v>
      </c>
      <c r="E19" s="587"/>
      <c r="F19" s="170" t="s">
        <v>109</v>
      </c>
      <c r="G19" s="517" t="s">
        <v>495</v>
      </c>
      <c r="H19" s="100"/>
    </row>
    <row r="20" spans="1:8" ht="122" customHeight="1">
      <c r="A20" s="581"/>
      <c r="B20" s="536"/>
      <c r="C20" s="168"/>
      <c r="D20" s="583" t="s">
        <v>684</v>
      </c>
      <c r="E20" s="585" t="s">
        <v>761</v>
      </c>
      <c r="F20" s="565" t="str">
        <f>_xlfn.XLOOKUP(F19,BewertungsListe,Source!$C$60:$C$65)</f>
        <v>n.e.</v>
      </c>
      <c r="G20" s="517"/>
      <c r="H20" s="100"/>
    </row>
    <row r="21" spans="1:8" ht="21">
      <c r="A21" s="588"/>
      <c r="B21" s="598"/>
      <c r="C21" s="169"/>
      <c r="D21" s="584"/>
      <c r="E21" s="590"/>
      <c r="F21" s="566" t="s">
        <v>514</v>
      </c>
      <c r="G21" s="517"/>
      <c r="H21" s="100"/>
    </row>
    <row r="22" spans="1:8" ht="26.25" customHeight="1">
      <c r="A22" s="581" t="s">
        <v>443</v>
      </c>
      <c r="B22" s="563" t="s">
        <v>423</v>
      </c>
      <c r="C22" s="160"/>
      <c r="D22" s="542" t="s">
        <v>519</v>
      </c>
      <c r="E22" s="587"/>
      <c r="F22" s="170" t="s">
        <v>109</v>
      </c>
      <c r="G22" s="517" t="s">
        <v>495</v>
      </c>
      <c r="H22" s="100"/>
    </row>
    <row r="23" spans="1:8" ht="129" customHeight="1">
      <c r="A23" s="581"/>
      <c r="B23" s="563"/>
      <c r="C23" s="159"/>
      <c r="D23" s="583" t="s">
        <v>741</v>
      </c>
      <c r="E23" s="585" t="s">
        <v>762</v>
      </c>
      <c r="F23" s="565" t="str">
        <f>_xlfn.XLOOKUP(F22,BewertungsListe,Source!$C$60:$C$65)</f>
        <v>n.e.</v>
      </c>
      <c r="G23" s="517"/>
      <c r="H23" s="100"/>
    </row>
    <row r="24" spans="1:8" ht="21">
      <c r="A24" s="581"/>
      <c r="B24" s="563"/>
      <c r="C24" s="169"/>
      <c r="D24" s="584"/>
      <c r="E24" s="590"/>
      <c r="F24" s="566" t="s">
        <v>514</v>
      </c>
      <c r="G24" s="517"/>
      <c r="H24" s="100"/>
    </row>
    <row r="25" spans="1:8" ht="25.5" customHeight="1">
      <c r="A25" s="580" t="s">
        <v>444</v>
      </c>
      <c r="B25" s="560" t="s">
        <v>423</v>
      </c>
      <c r="C25" s="183"/>
      <c r="D25" s="542" t="s">
        <v>520</v>
      </c>
      <c r="E25" s="587"/>
      <c r="F25" s="167" t="s">
        <v>109</v>
      </c>
      <c r="G25" s="516" t="s">
        <v>495</v>
      </c>
      <c r="H25" s="100"/>
    </row>
    <row r="26" spans="1:8" ht="116.5" customHeight="1">
      <c r="A26" s="581"/>
      <c r="B26" s="536"/>
      <c r="C26" s="182"/>
      <c r="D26" s="575" t="s">
        <v>709</v>
      </c>
      <c r="E26" s="575" t="s">
        <v>764</v>
      </c>
      <c r="F26" s="565" t="str">
        <f>_xlfn.XLOOKUP(F25,BewertungsListe,Source!$C$60:$C$65)</f>
        <v>n.e.</v>
      </c>
      <c r="G26" s="516"/>
      <c r="H26" s="100"/>
    </row>
    <row r="27" spans="1:8" ht="26.5" customHeight="1">
      <c r="A27" s="588"/>
      <c r="B27" s="536"/>
      <c r="C27" s="179"/>
      <c r="D27" s="575"/>
      <c r="E27" s="575"/>
      <c r="F27" s="567" t="s">
        <v>514</v>
      </c>
      <c r="G27" s="516"/>
      <c r="H27" s="100"/>
    </row>
    <row r="28" spans="1:8" ht="35" customHeight="1">
      <c r="A28" s="109"/>
      <c r="B28" s="174"/>
      <c r="C28" s="110"/>
      <c r="D28" s="181" cm="1">
        <f t="array" ref="D28">SUMPRODUCT((MOD(ROW(F8:F27),3)=2)*(F8:F27&lt;&gt;"n.e."))</f>
        <v>0</v>
      </c>
      <c r="E28" s="175" t="s">
        <v>521</v>
      </c>
      <c r="F28" s="176" t="str">
        <f>IF(D28=0,"n.e.",ROUND(SUMIF(F8:F27,"&gt;=0") / (D28 *10), 2))</f>
        <v>n.e.</v>
      </c>
      <c r="G28" s="114"/>
      <c r="H28" s="100"/>
    </row>
    <row r="29" spans="1:8">
      <c r="A29" s="113"/>
      <c r="B29" s="98"/>
      <c r="C29" s="98"/>
      <c r="D29" s="96"/>
      <c r="E29" s="98"/>
      <c r="F29" s="98"/>
      <c r="G29" s="98"/>
    </row>
    <row r="30" spans="1:8">
      <c r="A30" s="101"/>
    </row>
    <row r="31" spans="1:8">
      <c r="A31" s="101"/>
      <c r="F31" s="579"/>
    </row>
    <row r="32" spans="1:8">
      <c r="A32" s="100"/>
      <c r="F32" s="579"/>
    </row>
    <row r="33" spans="1:6">
      <c r="A33" s="100"/>
      <c r="F33" s="579"/>
    </row>
    <row r="34" spans="1:6">
      <c r="A34" s="101"/>
      <c r="F34" s="579"/>
    </row>
    <row r="35" spans="1:6">
      <c r="A35" s="100"/>
    </row>
    <row r="36" spans="1:6">
      <c r="A36" s="100"/>
    </row>
    <row r="37" spans="1:6">
      <c r="A37" s="101"/>
    </row>
    <row r="38" spans="1:6">
      <c r="A38" s="100"/>
      <c r="D38" s="6"/>
    </row>
    <row r="39" spans="1:6">
      <c r="A39" s="100"/>
    </row>
    <row r="40" spans="1:6">
      <c r="A40" s="101"/>
    </row>
    <row r="41" spans="1:6">
      <c r="A41" s="101"/>
    </row>
    <row r="42" spans="1:6">
      <c r="A42" s="101"/>
    </row>
    <row r="43" spans="1:6">
      <c r="A43" s="101"/>
    </row>
  </sheetData>
  <mergeCells count="57">
    <mergeCell ref="D13:E13"/>
    <mergeCell ref="D16:E16"/>
    <mergeCell ref="D19:E19"/>
    <mergeCell ref="D22:E22"/>
    <mergeCell ref="D25:E25"/>
    <mergeCell ref="E20:E21"/>
    <mergeCell ref="F31:F34"/>
    <mergeCell ref="G19:G21"/>
    <mergeCell ref="G22:G24"/>
    <mergeCell ref="G25:G27"/>
    <mergeCell ref="F23:F24"/>
    <mergeCell ref="F26:F27"/>
    <mergeCell ref="F20:F21"/>
    <mergeCell ref="A25:A27"/>
    <mergeCell ref="B25:B27"/>
    <mergeCell ref="D26:D27"/>
    <mergeCell ref="E26:E27"/>
    <mergeCell ref="G7:G9"/>
    <mergeCell ref="G10:G12"/>
    <mergeCell ref="G13:G15"/>
    <mergeCell ref="G16:G18"/>
    <mergeCell ref="F8:F9"/>
    <mergeCell ref="A19:A21"/>
    <mergeCell ref="A22:A24"/>
    <mergeCell ref="B22:B24"/>
    <mergeCell ref="D23:D24"/>
    <mergeCell ref="E23:E24"/>
    <mergeCell ref="B19:B21"/>
    <mergeCell ref="D20:D21"/>
    <mergeCell ref="A10:A12"/>
    <mergeCell ref="B10:B12"/>
    <mergeCell ref="D11:D12"/>
    <mergeCell ref="F17:F18"/>
    <mergeCell ref="E11:E12"/>
    <mergeCell ref="F11:F12"/>
    <mergeCell ref="D14:D15"/>
    <mergeCell ref="E14:E15"/>
    <mergeCell ref="F14:F15"/>
    <mergeCell ref="A13:A15"/>
    <mergeCell ref="A16:A18"/>
    <mergeCell ref="B16:B18"/>
    <mergeCell ref="D17:D18"/>
    <mergeCell ref="E17:E18"/>
    <mergeCell ref="B13:B15"/>
    <mergeCell ref="D10:E10"/>
    <mergeCell ref="A1:G2"/>
    <mergeCell ref="A7:A9"/>
    <mergeCell ref="B7:B9"/>
    <mergeCell ref="D8:D9"/>
    <mergeCell ref="E8:E9"/>
    <mergeCell ref="G3:G6"/>
    <mergeCell ref="A3:A6"/>
    <mergeCell ref="B3:B6"/>
    <mergeCell ref="D3:D6"/>
    <mergeCell ref="E3:E6"/>
    <mergeCell ref="F3:F6"/>
    <mergeCell ref="D7:E7"/>
  </mergeCells>
  <phoneticPr fontId="77" type="noConversion"/>
  <conditionalFormatting sqref="F8">
    <cfRule type="cellIs" dxfId="251" priority="66" operator="equal">
      <formula>10</formula>
    </cfRule>
  </conditionalFormatting>
  <conditionalFormatting sqref="F8">
    <cfRule type="cellIs" dxfId="250" priority="61" operator="equal">
      <formula>0</formula>
    </cfRule>
    <cfRule type="cellIs" dxfId="249" priority="63" operator="equal">
      <formula>4</formula>
    </cfRule>
  </conditionalFormatting>
  <conditionalFormatting sqref="F8">
    <cfRule type="cellIs" dxfId="248" priority="62" operator="equal">
      <formula>2</formula>
    </cfRule>
    <cfRule type="cellIs" dxfId="247" priority="65" operator="equal">
      <formula>8</formula>
    </cfRule>
  </conditionalFormatting>
  <conditionalFormatting sqref="F8">
    <cfRule type="cellIs" dxfId="246" priority="64" operator="equal">
      <formula>6</formula>
    </cfRule>
  </conditionalFormatting>
  <conditionalFormatting sqref="F11">
    <cfRule type="cellIs" dxfId="245" priority="54" operator="equal">
      <formula>10</formula>
    </cfRule>
  </conditionalFormatting>
  <conditionalFormatting sqref="F11">
    <cfRule type="cellIs" dxfId="244" priority="49" operator="equal">
      <formula>0</formula>
    </cfRule>
    <cfRule type="cellIs" dxfId="243" priority="51" operator="equal">
      <formula>4</formula>
    </cfRule>
  </conditionalFormatting>
  <conditionalFormatting sqref="F11">
    <cfRule type="cellIs" dxfId="242" priority="50" operator="equal">
      <formula>2</formula>
    </cfRule>
    <cfRule type="cellIs" dxfId="241" priority="53" operator="equal">
      <formula>8</formula>
    </cfRule>
  </conditionalFormatting>
  <conditionalFormatting sqref="F11">
    <cfRule type="cellIs" dxfId="240" priority="52" operator="equal">
      <formula>6</formula>
    </cfRule>
  </conditionalFormatting>
  <conditionalFormatting sqref="F14">
    <cfRule type="cellIs" dxfId="239" priority="48" operator="equal">
      <formula>10</formula>
    </cfRule>
  </conditionalFormatting>
  <conditionalFormatting sqref="F14">
    <cfRule type="cellIs" dxfId="238" priority="43" operator="equal">
      <formula>0</formula>
    </cfRule>
    <cfRule type="cellIs" dxfId="237" priority="45" operator="equal">
      <formula>4</formula>
    </cfRule>
  </conditionalFormatting>
  <conditionalFormatting sqref="F14">
    <cfRule type="cellIs" dxfId="236" priority="44" operator="equal">
      <formula>2</formula>
    </cfRule>
    <cfRule type="cellIs" dxfId="235" priority="47" operator="equal">
      <formula>8</formula>
    </cfRule>
  </conditionalFormatting>
  <conditionalFormatting sqref="F14">
    <cfRule type="cellIs" dxfId="234" priority="46" operator="equal">
      <formula>6</formula>
    </cfRule>
  </conditionalFormatting>
  <conditionalFormatting sqref="F17">
    <cfRule type="cellIs" dxfId="233" priority="42" operator="equal">
      <formula>10</formula>
    </cfRule>
  </conditionalFormatting>
  <conditionalFormatting sqref="F17">
    <cfRule type="cellIs" dxfId="232" priority="37" operator="equal">
      <formula>0</formula>
    </cfRule>
    <cfRule type="cellIs" dxfId="231" priority="39" operator="equal">
      <formula>4</formula>
    </cfRule>
  </conditionalFormatting>
  <conditionalFormatting sqref="F17">
    <cfRule type="cellIs" dxfId="230" priority="38" operator="equal">
      <formula>2</formula>
    </cfRule>
    <cfRule type="cellIs" dxfId="229" priority="41" operator="equal">
      <formula>8</formula>
    </cfRule>
  </conditionalFormatting>
  <conditionalFormatting sqref="F17">
    <cfRule type="cellIs" dxfId="228" priority="40" operator="equal">
      <formula>6</formula>
    </cfRule>
  </conditionalFormatting>
  <conditionalFormatting sqref="F20">
    <cfRule type="cellIs" dxfId="227" priority="30" operator="equal">
      <formula>10</formula>
    </cfRule>
  </conditionalFormatting>
  <conditionalFormatting sqref="F20">
    <cfRule type="cellIs" dxfId="226" priority="25" operator="equal">
      <formula>0</formula>
    </cfRule>
    <cfRule type="cellIs" dxfId="225" priority="27" operator="equal">
      <formula>4</formula>
    </cfRule>
  </conditionalFormatting>
  <conditionalFormatting sqref="F20">
    <cfRule type="cellIs" dxfId="224" priority="26" operator="equal">
      <formula>2</formula>
    </cfRule>
    <cfRule type="cellIs" dxfId="223" priority="29" operator="equal">
      <formula>8</formula>
    </cfRule>
  </conditionalFormatting>
  <conditionalFormatting sqref="F20">
    <cfRule type="cellIs" dxfId="222" priority="28" operator="equal">
      <formula>6</formula>
    </cfRule>
  </conditionalFormatting>
  <conditionalFormatting sqref="F23">
    <cfRule type="cellIs" dxfId="221" priority="18" operator="equal">
      <formula>10</formula>
    </cfRule>
  </conditionalFormatting>
  <conditionalFormatting sqref="F23">
    <cfRule type="cellIs" dxfId="220" priority="13" operator="equal">
      <formula>0</formula>
    </cfRule>
    <cfRule type="cellIs" dxfId="219" priority="15" operator="equal">
      <formula>4</formula>
    </cfRule>
  </conditionalFormatting>
  <conditionalFormatting sqref="F23">
    <cfRule type="cellIs" dxfId="218" priority="14" operator="equal">
      <formula>2</formula>
    </cfRule>
    <cfRule type="cellIs" dxfId="217" priority="17" operator="equal">
      <formula>8</formula>
    </cfRule>
  </conditionalFormatting>
  <conditionalFormatting sqref="F23">
    <cfRule type="cellIs" dxfId="216" priority="16" operator="equal">
      <formula>6</formula>
    </cfRule>
  </conditionalFormatting>
  <conditionalFormatting sqref="F26">
    <cfRule type="cellIs" dxfId="215" priority="12" operator="equal">
      <formula>10</formula>
    </cfRule>
  </conditionalFormatting>
  <conditionalFormatting sqref="F26">
    <cfRule type="cellIs" dxfId="214" priority="7" operator="equal">
      <formula>0</formula>
    </cfRule>
    <cfRule type="cellIs" dxfId="213" priority="9" operator="equal">
      <formula>4</formula>
    </cfRule>
  </conditionalFormatting>
  <conditionalFormatting sqref="F26">
    <cfRule type="cellIs" dxfId="212" priority="8" operator="equal">
      <formula>2</formula>
    </cfRule>
    <cfRule type="cellIs" dxfId="211" priority="11" operator="equal">
      <formula>8</formula>
    </cfRule>
  </conditionalFormatting>
  <conditionalFormatting sqref="F26">
    <cfRule type="cellIs" dxfId="210" priority="10" operator="equal">
      <formula>6</formula>
    </cfRule>
  </conditionalFormatting>
  <dataValidations count="1">
    <dataValidation type="list" allowBlank="1" showInputMessage="1" showErrorMessage="1" sqref="F7 F10 F13 F16 F19 F22 F25" xr:uid="{4AF4556E-0CAB-431E-8547-9C4CC5C3E342}">
      <formula1>BewertungsListe</formula1>
    </dataValidation>
  </dataValidations>
  <hyperlinks>
    <hyperlink ref="G7" location="Anmerkungen!F27" display="▶️" xr:uid="{23DE6FFB-E35B-4C87-B78D-8E7679AFA1B7}"/>
    <hyperlink ref="G10" location="Anmerkungen!F28" display="▶️" xr:uid="{E7558778-0106-4810-87B0-5E3351EC06E2}"/>
    <hyperlink ref="G13" location="Anmerkungen!F29" display="▶️" xr:uid="{499A38EE-FF25-42D6-A33D-E661592B3084}"/>
    <hyperlink ref="G16" location="Anmerkungen!F30" display="▶️" xr:uid="{FB998D61-3270-440E-B115-44A46CF8C959}"/>
    <hyperlink ref="G19" location="Anmerkungen!F32" display="▶️" xr:uid="{F6586D61-FA16-4137-8869-901663506B78}"/>
    <hyperlink ref="G22" location="Anmerkungen!F34" display="▶️" xr:uid="{5576B4A7-8E98-417D-8251-ED56B1CDF2CF}"/>
    <hyperlink ref="G25" location="Anmerkungen!F35" display="▶️" xr:uid="{E618C336-F3EE-4944-8A81-38A366798F24}"/>
    <hyperlink ref="G7:G9" location="Remarks!G22" display="▶️" xr:uid="{BBDA9683-48AE-44D7-B7A7-E84A3845E4C9}"/>
    <hyperlink ref="G10:G12" location="Remarks!G23" display="▶️" xr:uid="{5301BCA4-BFFA-49E3-9463-99B38804D7A3}"/>
    <hyperlink ref="G13:G15" location="Remarks!G24" display="▶️" xr:uid="{80873D88-35EA-4466-BDE7-F14FD58D391A}"/>
    <hyperlink ref="G16:G18" location="Remarks!G25" display="▶️" xr:uid="{979C6847-079F-459B-BB7D-BF69917C63C3}"/>
    <hyperlink ref="G19:G21" location="Remarks!G26" display="▶️" xr:uid="{2FB06CD5-B25D-4BF8-8349-01B8E865C3E5}"/>
    <hyperlink ref="G22:G24" location="Remarks!G27" display="▶️" xr:uid="{BF863169-38B9-42B2-A17F-8C15C62B575F}"/>
    <hyperlink ref="G25:G27" location="Remarks!G28" display="▶️" xr:uid="{B0957149-8E0A-4990-ABB0-066BC3FDC399}"/>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68" t="s">
        <v>590</v>
      </c>
      <c r="B1" s="569"/>
      <c r="C1" s="569"/>
      <c r="D1" s="569"/>
      <c r="E1" s="569"/>
      <c r="F1" s="569"/>
      <c r="G1" s="570"/>
      <c r="H1" s="100"/>
    </row>
    <row r="2" spans="1:8" ht="15" customHeight="1">
      <c r="A2" s="571"/>
      <c r="B2" s="572"/>
      <c r="C2" s="572"/>
      <c r="D2" s="572"/>
      <c r="E2" s="572"/>
      <c r="F2" s="572"/>
      <c r="G2" s="573"/>
      <c r="H2" s="100"/>
    </row>
    <row r="3" spans="1:8" ht="15.75" customHeight="1">
      <c r="A3" s="576" t="s">
        <v>417</v>
      </c>
      <c r="B3" s="577" t="s">
        <v>490</v>
      </c>
      <c r="C3" s="97"/>
      <c r="D3" s="578" t="s">
        <v>694</v>
      </c>
      <c r="E3" s="578" t="s">
        <v>491</v>
      </c>
      <c r="F3" s="596" t="s">
        <v>492</v>
      </c>
      <c r="G3" s="557" t="s">
        <v>493</v>
      </c>
      <c r="H3" s="100"/>
    </row>
    <row r="4" spans="1:8" ht="33.75" customHeight="1">
      <c r="A4" s="576"/>
      <c r="B4" s="555"/>
      <c r="C4" s="97"/>
      <c r="D4" s="578"/>
      <c r="E4" s="578"/>
      <c r="F4" s="579"/>
      <c r="G4" s="557"/>
      <c r="H4" s="100"/>
    </row>
    <row r="5" spans="1:8" ht="0.75" customHeight="1">
      <c r="A5" s="576"/>
      <c r="B5" s="555"/>
      <c r="C5" s="97"/>
      <c r="D5" s="578"/>
      <c r="E5" s="578"/>
      <c r="F5" s="579"/>
      <c r="G5" s="557"/>
      <c r="H5" s="100"/>
    </row>
    <row r="6" spans="1:8" ht="12.75" customHeight="1">
      <c r="A6" s="576"/>
      <c r="B6" s="555"/>
      <c r="C6" s="97"/>
      <c r="D6" s="578"/>
      <c r="E6" s="578"/>
      <c r="F6" s="597"/>
      <c r="G6" s="557"/>
      <c r="H6" s="100"/>
    </row>
    <row r="7" spans="1:8" ht="26.5" customHeight="1">
      <c r="A7" s="580" t="s">
        <v>446</v>
      </c>
      <c r="B7" s="560"/>
      <c r="C7" s="153"/>
      <c r="D7" s="542" t="s">
        <v>522</v>
      </c>
      <c r="E7" s="587"/>
      <c r="F7" s="171" t="s">
        <v>109</v>
      </c>
      <c r="G7" s="516" t="s">
        <v>495</v>
      </c>
      <c r="H7" s="100"/>
    </row>
    <row r="8" spans="1:8" ht="93.75" customHeight="1">
      <c r="A8" s="581"/>
      <c r="B8" s="536"/>
      <c r="C8" s="159"/>
      <c r="D8" s="575" t="s">
        <v>765</v>
      </c>
      <c r="E8" s="585" t="s">
        <v>766</v>
      </c>
      <c r="F8" s="565" t="str">
        <f>_xlfn.XLOOKUP(F7,BewertungsListe,Source!$C$60:$C$65)</f>
        <v>n.e.</v>
      </c>
      <c r="G8" s="516"/>
      <c r="H8" s="100"/>
    </row>
    <row r="9" spans="1:8" ht="43.25" customHeight="1">
      <c r="A9" s="581"/>
      <c r="B9" s="598"/>
      <c r="C9" s="168"/>
      <c r="D9" s="575"/>
      <c r="E9" s="586"/>
      <c r="F9" s="567" t="s">
        <v>514</v>
      </c>
      <c r="G9" s="516"/>
      <c r="H9" s="100"/>
    </row>
    <row r="10" spans="1:8" ht="26.5" customHeight="1">
      <c r="A10" s="558" t="s">
        <v>447</v>
      </c>
      <c r="B10" s="560" t="s">
        <v>423</v>
      </c>
      <c r="C10" s="154"/>
      <c r="D10" s="542" t="s">
        <v>523</v>
      </c>
      <c r="E10" s="587"/>
      <c r="F10" s="170" t="s">
        <v>109</v>
      </c>
      <c r="G10" s="517" t="s">
        <v>495</v>
      </c>
      <c r="H10" s="100"/>
    </row>
    <row r="11" spans="1:8" ht="261.75" customHeight="1">
      <c r="A11" s="559"/>
      <c r="B11" s="536"/>
      <c r="C11" s="182"/>
      <c r="D11" s="583" t="s">
        <v>767</v>
      </c>
      <c r="E11" s="585" t="s">
        <v>768</v>
      </c>
      <c r="F11" s="565" t="str">
        <f>_xlfn.XLOOKUP(F10,BewertungsListe,Source!$C$60:$C$65)</f>
        <v>n.e.</v>
      </c>
      <c r="G11" s="517"/>
      <c r="H11" s="100"/>
    </row>
    <row r="12" spans="1:8" ht="32" customHeight="1">
      <c r="A12" s="611"/>
      <c r="B12" s="598"/>
      <c r="C12" s="140"/>
      <c r="D12" s="575"/>
      <c r="E12" s="586"/>
      <c r="F12" s="566" t="s">
        <v>514</v>
      </c>
      <c r="G12" s="517"/>
      <c r="H12" s="100"/>
    </row>
    <row r="13" spans="1:8" ht="26" customHeight="1">
      <c r="A13" s="581" t="s">
        <v>448</v>
      </c>
      <c r="B13" s="563"/>
      <c r="C13" s="160"/>
      <c r="D13" s="542" t="s">
        <v>524</v>
      </c>
      <c r="E13" s="587"/>
      <c r="F13" s="171" t="s">
        <v>109</v>
      </c>
      <c r="G13" s="516" t="s">
        <v>495</v>
      </c>
      <c r="H13" s="100"/>
    </row>
    <row r="14" spans="1:8" ht="180.75" customHeight="1">
      <c r="A14" s="581"/>
      <c r="B14" s="563"/>
      <c r="C14" s="159"/>
      <c r="D14" s="602" t="s">
        <v>769</v>
      </c>
      <c r="E14" s="604" t="s">
        <v>770</v>
      </c>
      <c r="F14" s="565" t="str">
        <f>_xlfn.XLOOKUP(F13,BewertungsListe,Source!$C$60:$C$65)</f>
        <v>n.e.</v>
      </c>
      <c r="G14" s="516"/>
      <c r="H14" s="100"/>
    </row>
    <row r="15" spans="1:8" ht="17" customHeight="1">
      <c r="A15" s="581"/>
      <c r="B15" s="563"/>
      <c r="C15" s="168"/>
      <c r="D15" s="603"/>
      <c r="E15" s="605"/>
      <c r="F15" s="566" t="s">
        <v>514</v>
      </c>
      <c r="G15" s="516"/>
      <c r="H15" s="100"/>
    </row>
    <row r="16" spans="1:8" ht="26" customHeight="1">
      <c r="A16" s="580" t="s">
        <v>449</v>
      </c>
      <c r="B16" s="582" t="s">
        <v>423</v>
      </c>
      <c r="C16" s="153"/>
      <c r="D16" s="542" t="s">
        <v>525</v>
      </c>
      <c r="E16" s="587"/>
      <c r="F16" s="166" t="s">
        <v>109</v>
      </c>
      <c r="G16" s="517" t="s">
        <v>495</v>
      </c>
      <c r="H16" s="100"/>
    </row>
    <row r="17" spans="1:8" ht="119" customHeight="1">
      <c r="A17" s="581"/>
      <c r="B17" s="563"/>
      <c r="C17" s="159"/>
      <c r="D17" s="575" t="s">
        <v>685</v>
      </c>
      <c r="E17" s="586" t="s">
        <v>771</v>
      </c>
      <c r="F17" s="599" t="str">
        <f>_xlfn.XLOOKUP(F16,BewertungsListe,Source!$C$60:$C$65)</f>
        <v>n.e.</v>
      </c>
      <c r="G17" s="517"/>
      <c r="H17" s="100"/>
    </row>
    <row r="18" spans="1:8" ht="32" customHeight="1">
      <c r="A18" s="588"/>
      <c r="B18" s="589"/>
      <c r="C18" s="169"/>
      <c r="D18" s="584"/>
      <c r="E18" s="590"/>
      <c r="F18" s="600" t="s">
        <v>514</v>
      </c>
      <c r="G18" s="517"/>
      <c r="H18" s="100"/>
    </row>
    <row r="19" spans="1:8" ht="25.5" customHeight="1">
      <c r="A19" s="581" t="s">
        <v>450</v>
      </c>
      <c r="B19" s="560"/>
      <c r="C19" s="172"/>
      <c r="D19" s="542" t="s">
        <v>526</v>
      </c>
      <c r="E19" s="587"/>
      <c r="F19" s="180" t="s">
        <v>109</v>
      </c>
      <c r="G19" s="517" t="s">
        <v>495</v>
      </c>
      <c r="H19" s="100"/>
    </row>
    <row r="20" spans="1:8" ht="122" customHeight="1">
      <c r="A20" s="581"/>
      <c r="B20" s="536"/>
      <c r="C20" s="159"/>
      <c r="D20" s="583" t="s">
        <v>772</v>
      </c>
      <c r="E20" s="585" t="s">
        <v>773</v>
      </c>
      <c r="F20" s="565" t="str">
        <f>_xlfn.XLOOKUP(F19,BewertungsListe,Source!$C$60:$C$65)</f>
        <v>n.e.</v>
      </c>
      <c r="G20" s="517"/>
      <c r="H20" s="100"/>
    </row>
    <row r="21" spans="1:8" ht="21">
      <c r="A21" s="581"/>
      <c r="B21" s="598"/>
      <c r="C21" s="168"/>
      <c r="D21" s="575"/>
      <c r="E21" s="590"/>
      <c r="F21" s="567" t="s">
        <v>514</v>
      </c>
      <c r="G21" s="517"/>
      <c r="H21" s="100"/>
    </row>
    <row r="22" spans="1:8" ht="25.5" customHeight="1">
      <c r="A22" s="580" t="s">
        <v>451</v>
      </c>
      <c r="B22" s="560" t="s">
        <v>423</v>
      </c>
      <c r="C22" s="160"/>
      <c r="D22" s="542" t="s">
        <v>527</v>
      </c>
      <c r="E22" s="587"/>
      <c r="F22" s="184" t="s">
        <v>109</v>
      </c>
      <c r="G22" s="516" t="s">
        <v>495</v>
      </c>
      <c r="H22" s="100"/>
    </row>
    <row r="23" spans="1:8" ht="180.75" customHeight="1">
      <c r="A23" s="581"/>
      <c r="B23" s="536"/>
      <c r="C23" s="159"/>
      <c r="D23" s="583" t="s">
        <v>528</v>
      </c>
      <c r="E23" s="586" t="s">
        <v>774</v>
      </c>
      <c r="F23" s="609" t="str">
        <f>_xlfn.XLOOKUP(F22,BewertungsListe,Source!$C$60:$C$65)</f>
        <v>n.e.</v>
      </c>
      <c r="G23" s="516"/>
      <c r="H23" s="100"/>
    </row>
    <row r="24" spans="1:8" ht="21">
      <c r="A24" s="588"/>
      <c r="B24" s="598"/>
      <c r="C24" s="168"/>
      <c r="D24" s="575"/>
      <c r="E24" s="586"/>
      <c r="F24" s="610" t="s">
        <v>514</v>
      </c>
      <c r="G24" s="516"/>
      <c r="H24" s="100"/>
    </row>
    <row r="25" spans="1:8" ht="25.5" customHeight="1">
      <c r="A25" s="581" t="s">
        <v>452</v>
      </c>
      <c r="B25" s="560" t="s">
        <v>423</v>
      </c>
      <c r="C25" s="154"/>
      <c r="D25" s="542" t="s">
        <v>529</v>
      </c>
      <c r="E25" s="587"/>
      <c r="F25" s="178" t="s">
        <v>109</v>
      </c>
      <c r="G25" s="516" t="s">
        <v>495</v>
      </c>
      <c r="H25" s="100"/>
    </row>
    <row r="26" spans="1:8" ht="178.25" customHeight="1">
      <c r="A26" s="581"/>
      <c r="B26" s="536"/>
      <c r="C26" s="159"/>
      <c r="D26" s="575" t="s">
        <v>741</v>
      </c>
      <c r="E26" s="583" t="s">
        <v>953</v>
      </c>
      <c r="F26" s="565" t="str">
        <f>_xlfn.XLOOKUP(F25,BewertungsListe,Source!$C$60:$C$65)</f>
        <v>n.e.</v>
      </c>
      <c r="G26" s="516"/>
      <c r="H26" s="100"/>
    </row>
    <row r="27" spans="1:8" ht="21">
      <c r="A27" s="581"/>
      <c r="B27" s="536"/>
      <c r="C27" s="169"/>
      <c r="D27" s="575"/>
      <c r="E27" s="575"/>
      <c r="F27" s="566" t="s">
        <v>514</v>
      </c>
      <c r="G27" s="516"/>
      <c r="H27" s="100"/>
    </row>
    <row r="28" spans="1:8" ht="25.5" customHeight="1">
      <c r="A28" s="580" t="s">
        <v>453</v>
      </c>
      <c r="B28" s="560"/>
      <c r="C28" s="154"/>
      <c r="D28" s="542" t="s">
        <v>530</v>
      </c>
      <c r="E28" s="587"/>
      <c r="F28" s="167" t="s">
        <v>109</v>
      </c>
      <c r="G28" s="516" t="s">
        <v>495</v>
      </c>
      <c r="H28" s="100"/>
    </row>
    <row r="29" spans="1:8" ht="81" customHeight="1">
      <c r="A29" s="581"/>
      <c r="B29" s="536"/>
      <c r="C29" s="182"/>
      <c r="D29" s="606" t="s">
        <v>775</v>
      </c>
      <c r="E29" s="575" t="s">
        <v>776</v>
      </c>
      <c r="F29" s="565" t="str">
        <f>_xlfn.XLOOKUP(F28,BewertungsListe,Source!$C$60:$C$65)</f>
        <v>n.e.</v>
      </c>
      <c r="G29" s="516"/>
      <c r="H29" s="100"/>
    </row>
    <row r="30" spans="1:8" ht="21">
      <c r="A30" s="581"/>
      <c r="B30" s="536"/>
      <c r="C30" s="140"/>
      <c r="D30" s="606"/>
      <c r="E30" s="575"/>
      <c r="F30" s="567" t="s">
        <v>514</v>
      </c>
      <c r="G30" s="516"/>
      <c r="H30" s="100"/>
    </row>
    <row r="31" spans="1:8" ht="25.5" customHeight="1">
      <c r="A31" s="580" t="s">
        <v>454</v>
      </c>
      <c r="B31" s="560" t="s">
        <v>423</v>
      </c>
      <c r="C31" s="153"/>
      <c r="D31" s="542" t="s">
        <v>531</v>
      </c>
      <c r="E31" s="587"/>
      <c r="F31" s="185" t="s">
        <v>109</v>
      </c>
      <c r="G31" s="516" t="s">
        <v>495</v>
      </c>
      <c r="H31" s="100"/>
    </row>
    <row r="32" spans="1:8" ht="105.75" customHeight="1">
      <c r="A32" s="581"/>
      <c r="B32" s="536"/>
      <c r="C32" s="140"/>
      <c r="D32" s="575" t="s">
        <v>703</v>
      </c>
      <c r="E32" s="586" t="s">
        <v>777</v>
      </c>
      <c r="F32" s="607" t="str">
        <f>_xlfn.XLOOKUP(F31,BewertungsListe,Source!$C$60:$C$65)</f>
        <v>n.e.</v>
      </c>
      <c r="G32" s="516"/>
      <c r="H32" s="100"/>
    </row>
    <row r="33" spans="1:8" ht="21">
      <c r="A33" s="588"/>
      <c r="B33" s="598"/>
      <c r="C33" s="179"/>
      <c r="D33" s="584"/>
      <c r="E33" s="590"/>
      <c r="F33" s="608" t="s">
        <v>514</v>
      </c>
      <c r="G33" s="516"/>
      <c r="H33" s="100"/>
    </row>
    <row r="34" spans="1:8" ht="26">
      <c r="A34" s="109"/>
      <c r="B34" s="110"/>
      <c r="C34" s="174"/>
      <c r="D34" s="111" cm="1">
        <f t="array" ref="D34">SUMPRODUCT((MOD(ROW(F8:F33),3)=2)*(F8:F33&lt;&gt;"n.e."))</f>
        <v>0</v>
      </c>
      <c r="E34" s="117" t="s">
        <v>532</v>
      </c>
      <c r="F34" s="118" t="str">
        <f>IF(D34=0,"n.e.",ROUND(SUMIF(F8:F33,"&gt;=0") / (D34 *10), 2))</f>
        <v>n.e.</v>
      </c>
      <c r="G34" s="114"/>
      <c r="H34" s="100"/>
    </row>
    <row r="35" spans="1:8">
      <c r="A35" s="102"/>
      <c r="B35" s="98"/>
      <c r="C35" s="98"/>
      <c r="D35" s="96"/>
      <c r="E35" s="98"/>
      <c r="F35" s="98"/>
      <c r="G35" s="98"/>
    </row>
    <row r="36" spans="1:8">
      <c r="A36" s="100"/>
    </row>
    <row r="37" spans="1:8">
      <c r="A37" s="101"/>
    </row>
    <row r="38" spans="1:8">
      <c r="A38" s="100"/>
      <c r="D38" s="6"/>
    </row>
    <row r="39" spans="1:8">
      <c r="A39" s="100"/>
    </row>
    <row r="40" spans="1:8">
      <c r="A40" s="101"/>
    </row>
    <row r="41" spans="1:8">
      <c r="A41" s="101"/>
    </row>
    <row r="42" spans="1:8">
      <c r="A42" s="101"/>
    </row>
    <row r="43" spans="1:8">
      <c r="A43" s="101"/>
    </row>
  </sheetData>
  <mergeCells count="70">
    <mergeCell ref="A1:G2"/>
    <mergeCell ref="G22:G24"/>
    <mergeCell ref="G19:G21"/>
    <mergeCell ref="G16:G18"/>
    <mergeCell ref="G13:G15"/>
    <mergeCell ref="F20:F21"/>
    <mergeCell ref="A22:A24"/>
    <mergeCell ref="B22:B24"/>
    <mergeCell ref="D23:D24"/>
    <mergeCell ref="E23:E24"/>
    <mergeCell ref="F23:F24"/>
    <mergeCell ref="A10:A12"/>
    <mergeCell ref="B10:B12"/>
    <mergeCell ref="D11:D12"/>
    <mergeCell ref="E11:E12"/>
    <mergeCell ref="A7:A9"/>
    <mergeCell ref="A31:A33"/>
    <mergeCell ref="B31:B33"/>
    <mergeCell ref="D32:D33"/>
    <mergeCell ref="E32:E33"/>
    <mergeCell ref="F32:F33"/>
    <mergeCell ref="D31:E31"/>
    <mergeCell ref="A28:A30"/>
    <mergeCell ref="B28:B30"/>
    <mergeCell ref="D29:D30"/>
    <mergeCell ref="E29:E30"/>
    <mergeCell ref="F29:F30"/>
    <mergeCell ref="D28:E28"/>
    <mergeCell ref="B7:B9"/>
    <mergeCell ref="D8:D9"/>
    <mergeCell ref="E8:E9"/>
    <mergeCell ref="A25:A27"/>
    <mergeCell ref="B25:B27"/>
    <mergeCell ref="D26:D27"/>
    <mergeCell ref="E26:E27"/>
    <mergeCell ref="D7:E7"/>
    <mergeCell ref="D10:E10"/>
    <mergeCell ref="D13:E13"/>
    <mergeCell ref="D16:E16"/>
    <mergeCell ref="D19:E19"/>
    <mergeCell ref="D22:E22"/>
    <mergeCell ref="D25:E25"/>
    <mergeCell ref="G31:G33"/>
    <mergeCell ref="G28:G30"/>
    <mergeCell ref="A3:A6"/>
    <mergeCell ref="B3:B6"/>
    <mergeCell ref="D3:D6"/>
    <mergeCell ref="E3:E6"/>
    <mergeCell ref="A19:A21"/>
    <mergeCell ref="B19:B21"/>
    <mergeCell ref="D20:D21"/>
    <mergeCell ref="E20:E21"/>
    <mergeCell ref="A16:A18"/>
    <mergeCell ref="B16:B18"/>
    <mergeCell ref="D17:D18"/>
    <mergeCell ref="E17:E18"/>
    <mergeCell ref="A13:A15"/>
    <mergeCell ref="B13:B15"/>
    <mergeCell ref="G25:G27"/>
    <mergeCell ref="G10:G12"/>
    <mergeCell ref="D14:D15"/>
    <mergeCell ref="E14:E15"/>
    <mergeCell ref="G3:G6"/>
    <mergeCell ref="F3:F6"/>
    <mergeCell ref="F8:F9"/>
    <mergeCell ref="F14:F15"/>
    <mergeCell ref="F17:F18"/>
    <mergeCell ref="F11:F12"/>
    <mergeCell ref="F26:F27"/>
    <mergeCell ref="G7:G9"/>
  </mergeCells>
  <phoneticPr fontId="77" type="noConversion"/>
  <conditionalFormatting sqref="F8">
    <cfRule type="cellIs" dxfId="209" priority="72" operator="equal">
      <formula>10</formula>
    </cfRule>
  </conditionalFormatting>
  <conditionalFormatting sqref="F8">
    <cfRule type="cellIs" dxfId="208" priority="67" operator="equal">
      <formula>0</formula>
    </cfRule>
    <cfRule type="cellIs" dxfId="207" priority="69" operator="equal">
      <formula>4</formula>
    </cfRule>
  </conditionalFormatting>
  <conditionalFormatting sqref="F8">
    <cfRule type="cellIs" dxfId="206" priority="68" operator="equal">
      <formula>2</formula>
    </cfRule>
    <cfRule type="cellIs" dxfId="205" priority="71" operator="equal">
      <formula>8</formula>
    </cfRule>
  </conditionalFormatting>
  <conditionalFormatting sqref="F8">
    <cfRule type="cellIs" dxfId="204" priority="70" operator="equal">
      <formula>6</formula>
    </cfRule>
  </conditionalFormatting>
  <conditionalFormatting sqref="F11">
    <cfRule type="cellIs" dxfId="203" priority="66" operator="equal">
      <formula>10</formula>
    </cfRule>
  </conditionalFormatting>
  <conditionalFormatting sqref="F11">
    <cfRule type="cellIs" dxfId="202" priority="61" operator="equal">
      <formula>0</formula>
    </cfRule>
    <cfRule type="cellIs" dxfId="201" priority="63" operator="equal">
      <formula>4</formula>
    </cfRule>
  </conditionalFormatting>
  <conditionalFormatting sqref="F11">
    <cfRule type="cellIs" dxfId="200" priority="62" operator="equal">
      <formula>2</formula>
    </cfRule>
    <cfRule type="cellIs" dxfId="199" priority="65" operator="equal">
      <formula>8</formula>
    </cfRule>
  </conditionalFormatting>
  <conditionalFormatting sqref="F11">
    <cfRule type="cellIs" dxfId="198" priority="64" operator="equal">
      <formula>6</formula>
    </cfRule>
  </conditionalFormatting>
  <conditionalFormatting sqref="F14">
    <cfRule type="cellIs" dxfId="197" priority="60" operator="equal">
      <formula>10</formula>
    </cfRule>
  </conditionalFormatting>
  <conditionalFormatting sqref="F14">
    <cfRule type="cellIs" dxfId="196" priority="55" operator="equal">
      <formula>0</formula>
    </cfRule>
    <cfRule type="cellIs" dxfId="195" priority="57" operator="equal">
      <formula>4</formula>
    </cfRule>
  </conditionalFormatting>
  <conditionalFormatting sqref="F14">
    <cfRule type="cellIs" dxfId="194" priority="56" operator="equal">
      <formula>2</formula>
    </cfRule>
    <cfRule type="cellIs" dxfId="193" priority="59" operator="equal">
      <formula>8</formula>
    </cfRule>
  </conditionalFormatting>
  <conditionalFormatting sqref="F14">
    <cfRule type="cellIs" dxfId="192" priority="58" operator="equal">
      <formula>6</formula>
    </cfRule>
  </conditionalFormatting>
  <conditionalFormatting sqref="F17">
    <cfRule type="cellIs" dxfId="191" priority="54" operator="equal">
      <formula>10</formula>
    </cfRule>
  </conditionalFormatting>
  <conditionalFormatting sqref="F17">
    <cfRule type="cellIs" dxfId="190" priority="49" operator="equal">
      <formula>0</formula>
    </cfRule>
    <cfRule type="cellIs" dxfId="189" priority="51" operator="equal">
      <formula>4</formula>
    </cfRule>
  </conditionalFormatting>
  <conditionalFormatting sqref="F17">
    <cfRule type="cellIs" dxfId="188" priority="50" operator="equal">
      <formula>2</formula>
    </cfRule>
    <cfRule type="cellIs" dxfId="187" priority="53" operator="equal">
      <formula>8</formula>
    </cfRule>
  </conditionalFormatting>
  <conditionalFormatting sqref="F17">
    <cfRule type="cellIs" dxfId="186" priority="52" operator="equal">
      <formula>6</formula>
    </cfRule>
  </conditionalFormatting>
  <conditionalFormatting sqref="F20">
    <cfRule type="cellIs" dxfId="185" priority="48" operator="equal">
      <formula>10</formula>
    </cfRule>
  </conditionalFormatting>
  <conditionalFormatting sqref="F20">
    <cfRule type="cellIs" dxfId="184" priority="43" operator="equal">
      <formula>0</formula>
    </cfRule>
    <cfRule type="cellIs" dxfId="183" priority="45" operator="equal">
      <formula>4</formula>
    </cfRule>
  </conditionalFormatting>
  <conditionalFormatting sqref="F20">
    <cfRule type="cellIs" dxfId="182" priority="44" operator="equal">
      <formula>2</formula>
    </cfRule>
    <cfRule type="cellIs" dxfId="181" priority="47" operator="equal">
      <formula>8</formula>
    </cfRule>
  </conditionalFormatting>
  <conditionalFormatting sqref="F20">
    <cfRule type="cellIs" dxfId="180" priority="46" operator="equal">
      <formula>6</formula>
    </cfRule>
  </conditionalFormatting>
  <conditionalFormatting sqref="F23">
    <cfRule type="cellIs" dxfId="179" priority="42" operator="equal">
      <formula>10</formula>
    </cfRule>
  </conditionalFormatting>
  <conditionalFormatting sqref="F23">
    <cfRule type="cellIs" dxfId="178" priority="37" operator="equal">
      <formula>0</formula>
    </cfRule>
    <cfRule type="cellIs" dxfId="177" priority="39" operator="equal">
      <formula>4</formula>
    </cfRule>
  </conditionalFormatting>
  <conditionalFormatting sqref="F23">
    <cfRule type="cellIs" dxfId="176" priority="38" operator="equal">
      <formula>2</formula>
    </cfRule>
    <cfRule type="cellIs" dxfId="175" priority="41" operator="equal">
      <formula>8</formula>
    </cfRule>
  </conditionalFormatting>
  <conditionalFormatting sqref="F23">
    <cfRule type="cellIs" dxfId="174" priority="40" operator="equal">
      <formula>6</formula>
    </cfRule>
  </conditionalFormatting>
  <conditionalFormatting sqref="F26">
    <cfRule type="cellIs" dxfId="173" priority="24" operator="equal">
      <formula>10</formula>
    </cfRule>
  </conditionalFormatting>
  <conditionalFormatting sqref="F26">
    <cfRule type="cellIs" dxfId="172" priority="19" operator="equal">
      <formula>0</formula>
    </cfRule>
    <cfRule type="cellIs" dxfId="171" priority="21" operator="equal">
      <formula>4</formula>
    </cfRule>
  </conditionalFormatting>
  <conditionalFormatting sqref="F26">
    <cfRule type="cellIs" dxfId="170" priority="20" operator="equal">
      <formula>2</formula>
    </cfRule>
    <cfRule type="cellIs" dxfId="169" priority="23" operator="equal">
      <formula>8</formula>
    </cfRule>
  </conditionalFormatting>
  <conditionalFormatting sqref="F26">
    <cfRule type="cellIs" dxfId="168" priority="22" operator="equal">
      <formula>6</formula>
    </cfRule>
  </conditionalFormatting>
  <conditionalFormatting sqref="F29">
    <cfRule type="cellIs" dxfId="167" priority="18" operator="equal">
      <formula>10</formula>
    </cfRule>
  </conditionalFormatting>
  <conditionalFormatting sqref="F29">
    <cfRule type="cellIs" dxfId="166" priority="13" operator="equal">
      <formula>0</formula>
    </cfRule>
    <cfRule type="cellIs" dxfId="165" priority="15" operator="equal">
      <formula>4</formula>
    </cfRule>
  </conditionalFormatting>
  <conditionalFormatting sqref="F29">
    <cfRule type="cellIs" dxfId="164" priority="14" operator="equal">
      <formula>2</formula>
    </cfRule>
    <cfRule type="cellIs" dxfId="163" priority="17" operator="equal">
      <formula>8</formula>
    </cfRule>
  </conditionalFormatting>
  <conditionalFormatting sqref="F29">
    <cfRule type="cellIs" dxfId="162" priority="16" operator="equal">
      <formula>6</formula>
    </cfRule>
  </conditionalFormatting>
  <conditionalFormatting sqref="F32">
    <cfRule type="cellIs" dxfId="161" priority="12" operator="equal">
      <formula>10</formula>
    </cfRule>
  </conditionalFormatting>
  <conditionalFormatting sqref="F32">
    <cfRule type="cellIs" dxfId="160" priority="7" operator="equal">
      <formula>0</formula>
    </cfRule>
    <cfRule type="cellIs" dxfId="159" priority="9" operator="equal">
      <formula>4</formula>
    </cfRule>
  </conditionalFormatting>
  <conditionalFormatting sqref="F32">
    <cfRule type="cellIs" dxfId="158" priority="8" operator="equal">
      <formula>2</formula>
    </cfRule>
    <cfRule type="cellIs" dxfId="157" priority="11" operator="equal">
      <formula>8</formula>
    </cfRule>
  </conditionalFormatting>
  <conditionalFormatting sqref="F32">
    <cfRule type="cellIs" dxfId="156" priority="10" operator="equal">
      <formula>6</formula>
    </cfRule>
  </conditionalFormatting>
  <dataValidations count="1">
    <dataValidation type="list" allowBlank="1" showInputMessage="1" showErrorMessage="1" sqref="F7 F10 F13 F16 F19 F22 F25 F28 F31" xr:uid="{3F9D34AD-AB20-4A49-962E-5A537DDC9078}">
      <formula1>BewertungsListe</formula1>
    </dataValidation>
  </dataValidations>
  <hyperlinks>
    <hyperlink ref="G7" location="Anmerkungen!F38" display="▶️" xr:uid="{F63E147E-5973-4150-AF56-182B44D40693}"/>
    <hyperlink ref="G10" location="Anmerkungen!F39" display="▶️" xr:uid="{66956000-0A43-42B8-80EC-E9E9645BFA83}"/>
    <hyperlink ref="G13" location="Anmerkungen!F40" display="▶️" xr:uid="{8358FB79-85BB-4D60-BC1E-A7076FC8B1A8}"/>
    <hyperlink ref="G16" location="Anmerkungen!F41" display="▶️" xr:uid="{7FA3AC08-06AD-487D-AA98-F527A73ED29F}"/>
    <hyperlink ref="G19" location="Anmerkungen!F42" display="▶️" xr:uid="{D5AA50AE-4327-4D70-AD3A-3590870E3CE4}"/>
    <hyperlink ref="G22" location="Anmerkungen!F43" display="▶️" xr:uid="{D48CFF96-E9FE-4C5B-8BB1-89C9B96806EE}"/>
    <hyperlink ref="G25" location="Anmerkungen!F46" display="▶️" xr:uid="{0703A15B-1A18-453E-9B6A-BBB23EAA7867}"/>
    <hyperlink ref="G28" location="Anmerkungen!F47" display="▶️" xr:uid="{6F87FFD1-0B6F-46FF-AEAF-6FAA39B11BB7}"/>
    <hyperlink ref="G31" location="Anmerkungen!F48" display="▶️" xr:uid="{4E18207A-BF8F-41B0-AE54-1C3EA764E3F4}"/>
    <hyperlink ref="G7:G9" location="Remarks!G30" display="▶️" xr:uid="{7F1A4CBF-BDFA-4C37-8783-7669DB8C263B}"/>
    <hyperlink ref="G10:G12" location="Remarks!G31" display="▶️" xr:uid="{50BC3D4F-D8C3-42F8-BB5B-9D650CB32B3C}"/>
    <hyperlink ref="G13:G15" location="Remarks!G32" display="▶️" xr:uid="{61C1EA1F-727C-40DC-B9AD-90DC6D1843CB}"/>
    <hyperlink ref="G16:G18" location="Remarks!G33" display="▶️" xr:uid="{4E5197E8-8906-4AF1-B113-8B1620F99359}"/>
    <hyperlink ref="G19:G21" location="Remarks!G34" display="▶️" xr:uid="{308D4E9E-699B-4EAD-8D65-756589313D9A}"/>
    <hyperlink ref="G22:G24" location="Remarks!G35" display="▶️" xr:uid="{9C601271-FF27-4E77-89CA-BFCDDC63DD8A}"/>
    <hyperlink ref="G25:G27" location="Remarks!G36" display="▶️" xr:uid="{D26617E5-40D6-4031-B480-D89BCCD2CB74}"/>
    <hyperlink ref="G28:G30" location="Remarks!G37" display="▶️" xr:uid="{9437F93D-8A00-431F-96CA-7C1DD33002A7}"/>
    <hyperlink ref="G31:G33" location="Remarks!G38"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headerFooter>
    <oddHeader>&amp;L&amp;"Calibri"&amp;10&amp;K000000 INTERNAL&amp;1#_x000D_</oddHeader>
    <oddFooter>&amp;L_x000D_&amp;1#&amp;"Calibri"&amp;10&amp;K000000 Internal</oddFooter>
  </headerFooter>
  <rowBreaks count="3" manualBreakCount="3">
    <brk id="34" max="16383" man="1"/>
    <brk id="46" max="16383" man="1"/>
    <brk id="47"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topLeftCell="A10" zoomScale="70" zoomScaleNormal="70" workbookViewId="0">
      <selection activeCell="D10" sqref="D10:F12"/>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612" t="s">
        <v>599</v>
      </c>
      <c r="B1" s="613"/>
      <c r="C1" s="613"/>
      <c r="D1" s="613"/>
      <c r="E1" s="613"/>
      <c r="F1" s="613"/>
      <c r="G1" s="614"/>
    </row>
    <row r="2" spans="1:8" ht="15" customHeight="1">
      <c r="A2" s="615"/>
      <c r="B2" s="572"/>
      <c r="C2" s="572"/>
      <c r="D2" s="572"/>
      <c r="E2" s="572"/>
      <c r="F2" s="572"/>
      <c r="G2" s="616"/>
    </row>
    <row r="3" spans="1:8" ht="15.75" customHeight="1">
      <c r="A3" s="576" t="s">
        <v>417</v>
      </c>
      <c r="B3" s="577" t="s">
        <v>490</v>
      </c>
      <c r="C3" s="97"/>
      <c r="D3" s="578" t="s">
        <v>694</v>
      </c>
      <c r="E3" s="578" t="s">
        <v>491</v>
      </c>
      <c r="F3" s="579" t="s">
        <v>492</v>
      </c>
      <c r="G3" s="557" t="s">
        <v>493</v>
      </c>
      <c r="H3" s="100"/>
    </row>
    <row r="4" spans="1:8" ht="33.75" customHeight="1">
      <c r="A4" s="576"/>
      <c r="B4" s="555"/>
      <c r="C4" s="186"/>
      <c r="D4" s="578"/>
      <c r="E4" s="578"/>
      <c r="F4" s="579"/>
      <c r="G4" s="557"/>
      <c r="H4" s="100"/>
    </row>
    <row r="5" spans="1:8" ht="0.75" customHeight="1">
      <c r="A5" s="576"/>
      <c r="B5" s="555"/>
      <c r="C5" s="97"/>
      <c r="D5" s="578"/>
      <c r="E5" s="578"/>
      <c r="F5" s="579"/>
      <c r="G5" s="557"/>
      <c r="H5" s="100"/>
    </row>
    <row r="6" spans="1:8" ht="12.75" hidden="1" customHeight="1" thickBot="1">
      <c r="A6" s="576"/>
      <c r="B6" s="555"/>
      <c r="C6" s="97"/>
      <c r="D6" s="578"/>
      <c r="E6" s="578"/>
      <c r="F6" s="579"/>
      <c r="G6" s="557"/>
      <c r="H6" s="100"/>
    </row>
    <row r="7" spans="1:8" ht="25.25" customHeight="1">
      <c r="A7" s="580" t="s">
        <v>456</v>
      </c>
      <c r="B7" s="582"/>
      <c r="C7" s="153"/>
      <c r="D7" s="542" t="s">
        <v>710</v>
      </c>
      <c r="E7" s="587"/>
      <c r="F7" s="167" t="s">
        <v>109</v>
      </c>
      <c r="G7" s="516" t="s">
        <v>495</v>
      </c>
      <c r="H7" s="100"/>
    </row>
    <row r="8" spans="1:8" ht="73.5" customHeight="1">
      <c r="A8" s="581"/>
      <c r="B8" s="563"/>
      <c r="C8" s="159"/>
      <c r="D8" s="602" t="s">
        <v>711</v>
      </c>
      <c r="E8" s="585" t="s">
        <v>778</v>
      </c>
      <c r="F8" s="565" t="str">
        <f>_xlfn.XLOOKUP(F7,BewertungsListe,Source!$C$60:$C$65)</f>
        <v>n.e.</v>
      </c>
      <c r="G8" s="516"/>
      <c r="H8" s="100"/>
    </row>
    <row r="9" spans="1:8" ht="25.25" customHeight="1">
      <c r="A9" s="581"/>
      <c r="B9" s="563"/>
      <c r="C9" s="169"/>
      <c r="D9" s="603"/>
      <c r="E9" s="590"/>
      <c r="F9" s="566"/>
      <c r="G9" s="516"/>
      <c r="H9" s="100"/>
    </row>
    <row r="10" spans="1:8" ht="25.25" customHeight="1">
      <c r="A10" s="581"/>
      <c r="B10" s="563"/>
      <c r="C10" s="187"/>
      <c r="D10" s="606" t="s">
        <v>954</v>
      </c>
      <c r="E10" s="575" t="s">
        <v>779</v>
      </c>
      <c r="F10" s="167" t="s">
        <v>109</v>
      </c>
      <c r="G10" s="516" t="s">
        <v>495</v>
      </c>
      <c r="H10" s="100"/>
    </row>
    <row r="11" spans="1:8" ht="176.25" customHeight="1">
      <c r="A11" s="581"/>
      <c r="B11" s="563"/>
      <c r="C11" s="187"/>
      <c r="D11" s="606"/>
      <c r="E11" s="575"/>
      <c r="F11" s="565" t="str">
        <f>_xlfn.XLOOKUP(F10,BewertungsListe,Source!$C$60:$C$65)</f>
        <v>n.e.</v>
      </c>
      <c r="G11" s="516"/>
      <c r="H11" s="100"/>
    </row>
    <row r="12" spans="1:8" ht="17" customHeight="1">
      <c r="A12" s="581"/>
      <c r="B12" s="589"/>
      <c r="C12" s="188"/>
      <c r="D12" s="603"/>
      <c r="E12" s="584"/>
      <c r="F12" s="566"/>
      <c r="G12" s="516"/>
      <c r="H12" s="100"/>
    </row>
    <row r="13" spans="1:8" ht="36.75" customHeight="1">
      <c r="A13" s="580" t="s">
        <v>457</v>
      </c>
      <c r="B13" s="563" t="s">
        <v>423</v>
      </c>
      <c r="C13" s="172"/>
      <c r="D13" s="542" t="s">
        <v>534</v>
      </c>
      <c r="E13" s="587"/>
      <c r="F13" s="167" t="s">
        <v>109</v>
      </c>
      <c r="G13" s="517" t="s">
        <v>495</v>
      </c>
      <c r="H13" s="100"/>
    </row>
    <row r="14" spans="1:8" ht="111.75" customHeight="1">
      <c r="A14" s="581"/>
      <c r="B14" s="563"/>
      <c r="C14" s="159"/>
      <c r="D14" s="575" t="s">
        <v>535</v>
      </c>
      <c r="E14" s="575" t="s">
        <v>780</v>
      </c>
      <c r="F14" s="565" t="str">
        <f>_xlfn.XLOOKUP(F13,BewertungsListe,Source!$C$60:$C$65)</f>
        <v>n.e.</v>
      </c>
      <c r="G14" s="517"/>
      <c r="H14" s="100"/>
    </row>
    <row r="15" spans="1:8" ht="17" customHeight="1">
      <c r="A15" s="581"/>
      <c r="B15" s="589"/>
      <c r="C15" s="169"/>
      <c r="D15" s="584"/>
      <c r="E15" s="584"/>
      <c r="F15" s="566" t="s">
        <v>514</v>
      </c>
      <c r="G15" s="517"/>
      <c r="H15" s="100"/>
    </row>
    <row r="16" spans="1:8" ht="33" customHeight="1">
      <c r="A16" s="580" t="s">
        <v>458</v>
      </c>
      <c r="B16" s="563" t="s">
        <v>423</v>
      </c>
      <c r="C16" s="172"/>
      <c r="D16" s="542" t="s">
        <v>533</v>
      </c>
      <c r="E16" s="587"/>
      <c r="F16" s="167" t="s">
        <v>109</v>
      </c>
      <c r="G16" s="517" t="s">
        <v>495</v>
      </c>
    </row>
    <row r="17" spans="1:8" ht="192" customHeight="1">
      <c r="A17" s="581"/>
      <c r="B17" s="563"/>
      <c r="C17" s="159"/>
      <c r="D17" s="575" t="s">
        <v>955</v>
      </c>
      <c r="E17" s="575" t="s">
        <v>781</v>
      </c>
      <c r="F17" s="565" t="str">
        <f>_xlfn.XLOOKUP(F16,BewertungsListe,Source!$C$60:$C$65)</f>
        <v>n.e.</v>
      </c>
      <c r="G17" s="517"/>
      <c r="H17" s="100"/>
    </row>
    <row r="18" spans="1:8" ht="17" customHeight="1">
      <c r="A18" s="581"/>
      <c r="B18" s="563"/>
      <c r="C18" s="169"/>
      <c r="D18" s="584"/>
      <c r="E18" s="584"/>
      <c r="F18" s="566" t="s">
        <v>514</v>
      </c>
      <c r="G18" s="517"/>
      <c r="H18" s="100"/>
    </row>
    <row r="19" spans="1:8" ht="33" customHeight="1">
      <c r="A19" s="580" t="s">
        <v>704</v>
      </c>
      <c r="B19" s="560" t="s">
        <v>423</v>
      </c>
      <c r="C19" s="144"/>
      <c r="D19" s="542" t="s">
        <v>536</v>
      </c>
      <c r="E19" s="587"/>
      <c r="F19" s="167" t="s">
        <v>109</v>
      </c>
      <c r="G19" s="517" t="s">
        <v>495</v>
      </c>
      <c r="H19" s="100"/>
    </row>
    <row r="20" spans="1:8" ht="221.5" customHeight="1">
      <c r="A20" s="581"/>
      <c r="B20" s="536"/>
      <c r="C20" s="159"/>
      <c r="D20" s="583" t="s">
        <v>712</v>
      </c>
      <c r="E20" s="585" t="s">
        <v>947</v>
      </c>
      <c r="F20" s="565" t="str">
        <f>_xlfn.XLOOKUP(F19,BewertungsListe,Source!$C$60:$C$65)</f>
        <v>n.e.</v>
      </c>
      <c r="G20" s="517"/>
      <c r="H20" s="100"/>
    </row>
    <row r="21" spans="1:8" ht="17" customHeight="1">
      <c r="A21" s="581"/>
      <c r="B21" s="598"/>
      <c r="C21" s="140"/>
      <c r="D21" s="584"/>
      <c r="E21" s="590"/>
      <c r="F21" s="566" t="s">
        <v>514</v>
      </c>
      <c r="G21" s="517"/>
      <c r="H21" s="100"/>
    </row>
    <row r="22" spans="1:8" ht="52.25" customHeight="1">
      <c r="A22" s="173"/>
      <c r="B22" s="110"/>
      <c r="C22" s="174"/>
      <c r="D22" s="111" cm="1">
        <f t="array" ref="D22">SUMPRODUCT((MOD(ROW(F8:F20),3)=2)*(F8:F20&lt;&gt;"n.e."))</f>
        <v>0</v>
      </c>
      <c r="E22" s="117" t="s">
        <v>538</v>
      </c>
      <c r="F22" s="118" t="str">
        <f>IF(D22=0,"n.e.",ROUND(SUMIF(F8:F20,"&gt;=0") / (D22 *10), 2))</f>
        <v>n.e.</v>
      </c>
      <c r="G22" s="114"/>
      <c r="H22" s="100"/>
    </row>
    <row r="23" spans="1:8">
      <c r="A23" s="113"/>
      <c r="B23" s="98"/>
      <c r="C23" s="98"/>
      <c r="D23" s="96"/>
      <c r="E23" s="98"/>
      <c r="F23" s="98"/>
      <c r="G23" s="98"/>
    </row>
    <row r="24" spans="1:8" ht="17" customHeight="1">
      <c r="A24" s="101"/>
    </row>
    <row r="25" spans="1:8">
      <c r="A25" s="101"/>
    </row>
    <row r="26" spans="1:8">
      <c r="A26" s="100"/>
    </row>
    <row r="27" spans="1:8">
      <c r="A27" s="100"/>
    </row>
    <row r="28" spans="1:8">
      <c r="A28" s="100"/>
    </row>
    <row r="29" spans="1:8">
      <c r="A29" s="100"/>
    </row>
    <row r="30" spans="1:8">
      <c r="A30" s="100"/>
    </row>
    <row r="31" spans="1:8">
      <c r="A31" s="100"/>
    </row>
    <row r="32" spans="1:8">
      <c r="A32" s="100"/>
    </row>
    <row r="33" spans="1:1">
      <c r="A33" s="100"/>
    </row>
    <row r="34" spans="1:1">
      <c r="A34" s="100"/>
    </row>
    <row r="35" spans="1:1">
      <c r="A35" s="100"/>
    </row>
    <row r="36" spans="1:1">
      <c r="A36" s="100"/>
    </row>
    <row r="37" spans="1:1">
      <c r="A37" s="101"/>
    </row>
    <row r="38" spans="1:1">
      <c r="A38" s="100"/>
    </row>
    <row r="39" spans="1:1">
      <c r="A39" s="100"/>
    </row>
    <row r="40" spans="1:1">
      <c r="A40" s="100"/>
    </row>
    <row r="41" spans="1:1">
      <c r="A41" s="100"/>
    </row>
    <row r="42" spans="1:1">
      <c r="A42" s="100"/>
    </row>
    <row r="43" spans="1:1">
      <c r="A43" s="100"/>
    </row>
    <row r="44" spans="1:1">
      <c r="A44" s="100"/>
    </row>
    <row r="45" spans="1:1">
      <c r="A45" s="100"/>
    </row>
    <row r="46" spans="1:1">
      <c r="A46" s="100"/>
    </row>
    <row r="47" spans="1:1">
      <c r="A47" s="100"/>
    </row>
    <row r="48" spans="1:1">
      <c r="A48" s="100"/>
    </row>
    <row r="49" spans="1:4">
      <c r="A49" s="100"/>
    </row>
    <row r="50" spans="1:4">
      <c r="A50" s="100"/>
    </row>
    <row r="51" spans="1:4">
      <c r="A51" s="100"/>
    </row>
    <row r="52" spans="1:4">
      <c r="A52" s="101"/>
    </row>
    <row r="53" spans="1:4">
      <c r="A53" s="100"/>
      <c r="D53" s="6"/>
    </row>
    <row r="54" spans="1:4">
      <c r="A54" s="100"/>
    </row>
    <row r="55" spans="1:4">
      <c r="A55" s="101"/>
    </row>
    <row r="56" spans="1:4">
      <c r="A56" s="101"/>
    </row>
    <row r="57" spans="1:4">
      <c r="A57" s="101"/>
    </row>
    <row r="58" spans="1:4">
      <c r="A58" s="101"/>
    </row>
  </sheetData>
  <mergeCells count="39">
    <mergeCell ref="G19:G21"/>
    <mergeCell ref="B16:B18"/>
    <mergeCell ref="D14:D15"/>
    <mergeCell ref="E14:E15"/>
    <mergeCell ref="F17:F18"/>
    <mergeCell ref="G13:G15"/>
    <mergeCell ref="D17:D18"/>
    <mergeCell ref="E17:E18"/>
    <mergeCell ref="F14:F15"/>
    <mergeCell ref="G16:G18"/>
    <mergeCell ref="D13:E13"/>
    <mergeCell ref="D16:E16"/>
    <mergeCell ref="D19:E19"/>
    <mergeCell ref="A19:A21"/>
    <mergeCell ref="B19:B21"/>
    <mergeCell ref="D20:D21"/>
    <mergeCell ref="E20:E21"/>
    <mergeCell ref="F20:F21"/>
    <mergeCell ref="A16:A18"/>
    <mergeCell ref="A3:A6"/>
    <mergeCell ref="B3:B6"/>
    <mergeCell ref="D3:D6"/>
    <mergeCell ref="E3:E6"/>
    <mergeCell ref="D8:D9"/>
    <mergeCell ref="E8:E9"/>
    <mergeCell ref="E10:E12"/>
    <mergeCell ref="D10:D12"/>
    <mergeCell ref="A13:A15"/>
    <mergeCell ref="B13:B15"/>
    <mergeCell ref="D7:E7"/>
    <mergeCell ref="A1:G2"/>
    <mergeCell ref="G3:G6"/>
    <mergeCell ref="A7:A12"/>
    <mergeCell ref="B7:B12"/>
    <mergeCell ref="F11:F12"/>
    <mergeCell ref="F3:F6"/>
    <mergeCell ref="F8:F9"/>
    <mergeCell ref="G7:G9"/>
    <mergeCell ref="G10:G12"/>
  </mergeCells>
  <phoneticPr fontId="77" type="noConversion"/>
  <conditionalFormatting sqref="F17">
    <cfRule type="cellIs" dxfId="155" priority="42" operator="equal">
      <formula>10</formula>
    </cfRule>
  </conditionalFormatting>
  <conditionalFormatting sqref="F17">
    <cfRule type="cellIs" dxfId="154" priority="37" operator="equal">
      <formula>0</formula>
    </cfRule>
    <cfRule type="cellIs" dxfId="153" priority="39" operator="equal">
      <formula>4</formula>
    </cfRule>
  </conditionalFormatting>
  <conditionalFormatting sqref="F17">
    <cfRule type="cellIs" dxfId="152" priority="38" operator="equal">
      <formula>2</formula>
    </cfRule>
    <cfRule type="cellIs" dxfId="151" priority="41" operator="equal">
      <formula>8</formula>
    </cfRule>
  </conditionalFormatting>
  <conditionalFormatting sqref="F17">
    <cfRule type="cellIs" dxfId="150" priority="40" operator="equal">
      <formula>6</formula>
    </cfRule>
  </conditionalFormatting>
  <conditionalFormatting sqref="F20">
    <cfRule type="cellIs" dxfId="149" priority="36" operator="equal">
      <formula>10</formula>
    </cfRule>
  </conditionalFormatting>
  <conditionalFormatting sqref="F20">
    <cfRule type="cellIs" dxfId="148" priority="31" operator="equal">
      <formula>0</formula>
    </cfRule>
    <cfRule type="cellIs" dxfId="147" priority="33" operator="equal">
      <formula>4</formula>
    </cfRule>
  </conditionalFormatting>
  <conditionalFormatting sqref="F20">
    <cfRule type="cellIs" dxfId="146" priority="32" operator="equal">
      <formula>2</formula>
    </cfRule>
    <cfRule type="cellIs" dxfId="145" priority="35" operator="equal">
      <formula>8</formula>
    </cfRule>
  </conditionalFormatting>
  <conditionalFormatting sqref="F20">
    <cfRule type="cellIs" dxfId="144" priority="34" operator="equal">
      <formula>6</formula>
    </cfRule>
  </conditionalFormatting>
  <conditionalFormatting sqref="F11">
    <cfRule type="cellIs" dxfId="143" priority="18" operator="equal">
      <formula>10</formula>
    </cfRule>
  </conditionalFormatting>
  <conditionalFormatting sqref="F11">
    <cfRule type="cellIs" dxfId="142" priority="13" operator="equal">
      <formula>0</formula>
    </cfRule>
    <cfRule type="cellIs" dxfId="141" priority="15" operator="equal">
      <formula>4</formula>
    </cfRule>
  </conditionalFormatting>
  <conditionalFormatting sqref="F11">
    <cfRule type="cellIs" dxfId="140" priority="14" operator="equal">
      <formula>2</formula>
    </cfRule>
    <cfRule type="cellIs" dxfId="139" priority="17" operator="equal">
      <formula>8</formula>
    </cfRule>
  </conditionalFormatting>
  <conditionalFormatting sqref="F11">
    <cfRule type="cellIs" dxfId="138" priority="16" operator="equal">
      <formula>6</formula>
    </cfRule>
  </conditionalFormatting>
  <conditionalFormatting sqref="F8">
    <cfRule type="cellIs" dxfId="137" priority="12" operator="equal">
      <formula>10</formula>
    </cfRule>
  </conditionalFormatting>
  <conditionalFormatting sqref="F8">
    <cfRule type="cellIs" dxfId="136" priority="7" operator="equal">
      <formula>0</formula>
    </cfRule>
    <cfRule type="cellIs" dxfId="135" priority="9" operator="equal">
      <formula>4</formula>
    </cfRule>
  </conditionalFormatting>
  <conditionalFormatting sqref="F8">
    <cfRule type="cellIs" dxfId="134" priority="8" operator="equal">
      <formula>2</formula>
    </cfRule>
    <cfRule type="cellIs" dxfId="133" priority="11" operator="equal">
      <formula>8</formula>
    </cfRule>
  </conditionalFormatting>
  <conditionalFormatting sqref="F8">
    <cfRule type="cellIs" dxfId="132" priority="10" operator="equal">
      <formula>6</formula>
    </cfRule>
  </conditionalFormatting>
  <conditionalFormatting sqref="F14">
    <cfRule type="cellIs" dxfId="131" priority="6" operator="equal">
      <formula>10</formula>
    </cfRule>
  </conditionalFormatting>
  <conditionalFormatting sqref="F14">
    <cfRule type="cellIs" dxfId="130" priority="1" operator="equal">
      <formula>0</formula>
    </cfRule>
    <cfRule type="cellIs" dxfId="129" priority="3" operator="equal">
      <formula>4</formula>
    </cfRule>
  </conditionalFormatting>
  <conditionalFormatting sqref="F14">
    <cfRule type="cellIs" dxfId="128" priority="2" operator="equal">
      <formula>2</formula>
    </cfRule>
    <cfRule type="cellIs" dxfId="127" priority="5" operator="equal">
      <formula>8</formula>
    </cfRule>
  </conditionalFormatting>
  <conditionalFormatting sqref="F14">
    <cfRule type="cellIs" dxfId="126"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44" display="▶️" xr:uid="{082E1469-4ECF-4ACD-9B4B-F8728DD8B4DA}"/>
    <hyperlink ref="G19:G21" location="Remarks!G45" display="▶️" xr:uid="{2575794F-B1BA-4790-A78B-4723EEA13851}"/>
    <hyperlink ref="G13" location="Anmerkungen!F52" display="▶️" xr:uid="{2529C2BE-2189-4177-8B14-0765D6BCC081}"/>
    <hyperlink ref="G13:G15" location="Remarks!G43" display="▶️" xr:uid="{A7A0C52C-4B66-4DD1-98D3-3EC2F855D516}"/>
    <hyperlink ref="G7:G9" location="Remarks!G41" display="▶️" xr:uid="{DD7E5651-D2D3-42DC-AF4B-5C098B61714E}"/>
    <hyperlink ref="G10" location="Anmerkungen!F51" display="▶️" xr:uid="{4E3C30C8-FCA6-4780-99D7-62454654FB16}"/>
    <hyperlink ref="G10:G12" location="Remarks!G42" display="▶️" xr:uid="{CEB0E87D-4FE7-4EE9-B119-EAD9BE73C2C6}"/>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90"/>
  <sheetViews>
    <sheetView topLeftCell="A30" zoomScaleNormal="100" workbookViewId="0">
      <selection activeCell="E32" sqref="E32:E33"/>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8" width="10.83203125" style="5"/>
    <col min="9" max="9" width="36.5" style="5" customWidth="1"/>
    <col min="10" max="10" width="54.83203125" style="5" customWidth="1"/>
    <col min="11" max="11" width="82.83203125" style="5" customWidth="1"/>
    <col min="12" max="16384" width="10.83203125" style="5"/>
  </cols>
  <sheetData>
    <row r="1" spans="1:7" ht="38.25" customHeight="1">
      <c r="A1" s="568" t="s">
        <v>699</v>
      </c>
      <c r="B1" s="569"/>
      <c r="C1" s="569"/>
      <c r="D1" s="569"/>
      <c r="E1" s="569"/>
      <c r="F1" s="569"/>
      <c r="G1" s="570"/>
    </row>
    <row r="2" spans="1:7" ht="15" customHeight="1">
      <c r="A2" s="571"/>
      <c r="B2" s="572"/>
      <c r="C2" s="572"/>
      <c r="D2" s="572"/>
      <c r="E2" s="572"/>
      <c r="F2" s="572"/>
      <c r="G2" s="573"/>
    </row>
    <row r="3" spans="1:7" ht="15.75" customHeight="1">
      <c r="A3" s="576" t="s">
        <v>417</v>
      </c>
      <c r="B3" s="622" t="s">
        <v>490</v>
      </c>
      <c r="C3" s="189"/>
      <c r="D3" s="578" t="s">
        <v>694</v>
      </c>
      <c r="E3" s="578" t="s">
        <v>491</v>
      </c>
      <c r="F3" s="579" t="s">
        <v>492</v>
      </c>
      <c r="G3" s="557" t="s">
        <v>493</v>
      </c>
    </row>
    <row r="4" spans="1:7" ht="33.75" customHeight="1">
      <c r="A4" s="576"/>
      <c r="B4" s="622"/>
      <c r="C4" s="165"/>
      <c r="D4" s="578"/>
      <c r="E4" s="578"/>
      <c r="F4" s="579"/>
      <c r="G4" s="557"/>
    </row>
    <row r="5" spans="1:7" ht="0.75" customHeight="1">
      <c r="A5" s="576"/>
      <c r="B5" s="557"/>
      <c r="C5" s="97"/>
      <c r="D5" s="578"/>
      <c r="E5" s="578"/>
      <c r="F5" s="579"/>
      <c r="G5" s="557"/>
    </row>
    <row r="6" spans="1:7" ht="12.75" customHeight="1">
      <c r="A6" s="576"/>
      <c r="B6" s="622"/>
      <c r="C6" s="186"/>
      <c r="D6" s="623"/>
      <c r="E6" s="623"/>
      <c r="F6" s="597"/>
      <c r="G6" s="557"/>
    </row>
    <row r="7" spans="1:7" ht="26.5" customHeight="1">
      <c r="A7" s="580" t="s">
        <v>460</v>
      </c>
      <c r="B7" s="560" t="s">
        <v>423</v>
      </c>
      <c r="C7" s="153"/>
      <c r="D7" s="542" t="s">
        <v>539</v>
      </c>
      <c r="E7" s="587"/>
      <c r="F7" s="166" t="s">
        <v>109</v>
      </c>
      <c r="G7" s="107"/>
    </row>
    <row r="8" spans="1:7" ht="117" customHeight="1">
      <c r="A8" s="581"/>
      <c r="B8" s="536"/>
      <c r="C8" s="140"/>
      <c r="D8" s="575" t="s">
        <v>540</v>
      </c>
      <c r="E8" s="586" t="s">
        <v>782</v>
      </c>
      <c r="F8" s="599" t="str">
        <f>_xlfn.XLOOKUP(F7,BewertungsListe,Source!$C$60:$C$65)</f>
        <v>n.e.</v>
      </c>
      <c r="G8" s="517" t="s">
        <v>495</v>
      </c>
    </row>
    <row r="9" spans="1:7" ht="17" customHeight="1">
      <c r="A9" s="588"/>
      <c r="B9" s="598"/>
      <c r="C9" s="179"/>
      <c r="D9" s="584"/>
      <c r="E9" s="590"/>
      <c r="F9" s="600" t="s">
        <v>514</v>
      </c>
      <c r="G9" s="517"/>
    </row>
    <row r="10" spans="1:7" ht="26.5" customHeight="1">
      <c r="A10" s="558" t="s">
        <v>461</v>
      </c>
      <c r="B10" s="560" t="s">
        <v>423</v>
      </c>
      <c r="C10" s="153"/>
      <c r="D10" s="542" t="s">
        <v>541</v>
      </c>
      <c r="E10" s="587"/>
      <c r="F10" s="166" t="s">
        <v>109</v>
      </c>
      <c r="G10" s="517" t="s">
        <v>495</v>
      </c>
    </row>
    <row r="11" spans="1:7" ht="183" customHeight="1">
      <c r="A11" s="559"/>
      <c r="B11" s="536"/>
      <c r="C11" s="140"/>
      <c r="D11" s="575" t="s">
        <v>716</v>
      </c>
      <c r="E11" s="586" t="s">
        <v>783</v>
      </c>
      <c r="F11" s="599" t="str">
        <f>_xlfn.XLOOKUP(F10,BewertungsListe,Source!$C$60:$C$65)</f>
        <v>n.e.</v>
      </c>
      <c r="G11" s="517"/>
    </row>
    <row r="12" spans="1:7" ht="17" customHeight="1">
      <c r="A12" s="611"/>
      <c r="B12" s="598"/>
      <c r="C12" s="179"/>
      <c r="D12" s="584"/>
      <c r="E12" s="590"/>
      <c r="F12" s="600" t="s">
        <v>514</v>
      </c>
      <c r="G12" s="517"/>
    </row>
    <row r="13" spans="1:7" ht="26" customHeight="1">
      <c r="A13" s="581" t="s">
        <v>462</v>
      </c>
      <c r="B13" s="536" t="s">
        <v>423</v>
      </c>
      <c r="C13" s="153"/>
      <c r="D13" s="542" t="s">
        <v>542</v>
      </c>
      <c r="E13" s="587"/>
      <c r="F13" s="166" t="s">
        <v>109</v>
      </c>
      <c r="G13" s="517" t="s">
        <v>495</v>
      </c>
    </row>
    <row r="14" spans="1:7" ht="165.75" customHeight="1">
      <c r="A14" s="581"/>
      <c r="B14" s="536"/>
      <c r="C14" s="140"/>
      <c r="D14" s="575" t="s">
        <v>717</v>
      </c>
      <c r="E14" s="586" t="s">
        <v>784</v>
      </c>
      <c r="F14" s="599" t="str">
        <f>_xlfn.XLOOKUP(F13,BewertungsListe,Source!$C$60:$C$65)</f>
        <v>n.e.</v>
      </c>
      <c r="G14" s="517"/>
    </row>
    <row r="15" spans="1:7" ht="17" customHeight="1">
      <c r="A15" s="588"/>
      <c r="B15" s="598"/>
      <c r="C15" s="179"/>
      <c r="D15" s="584"/>
      <c r="E15" s="590"/>
      <c r="F15" s="600" t="s">
        <v>514</v>
      </c>
      <c r="G15" s="517"/>
    </row>
    <row r="16" spans="1:7" ht="30.75" customHeight="1">
      <c r="A16" s="581" t="s">
        <v>463</v>
      </c>
      <c r="B16" s="536" t="s">
        <v>423</v>
      </c>
      <c r="C16" s="153"/>
      <c r="D16" s="542" t="s">
        <v>543</v>
      </c>
      <c r="E16" s="587"/>
      <c r="F16" s="166" t="s">
        <v>109</v>
      </c>
      <c r="G16" s="517" t="s">
        <v>495</v>
      </c>
    </row>
    <row r="17" spans="1:11" ht="197" customHeight="1">
      <c r="A17" s="581"/>
      <c r="B17" s="536"/>
      <c r="C17" s="140"/>
      <c r="D17" s="575" t="s">
        <v>785</v>
      </c>
      <c r="E17" s="586" t="s">
        <v>786</v>
      </c>
      <c r="F17" s="599" t="str">
        <f>_xlfn.XLOOKUP(F16,BewertungsListe,Source!$C$60:$C$65)</f>
        <v>n.e.</v>
      </c>
      <c r="G17" s="517"/>
    </row>
    <row r="18" spans="1:11" ht="17" customHeight="1">
      <c r="A18" s="588"/>
      <c r="B18" s="598"/>
      <c r="C18" s="179"/>
      <c r="D18" s="584"/>
      <c r="E18" s="590"/>
      <c r="F18" s="600" t="s">
        <v>514</v>
      </c>
      <c r="G18" s="517"/>
    </row>
    <row r="19" spans="1:11" ht="30.75" customHeight="1">
      <c r="A19" s="581" t="s">
        <v>464</v>
      </c>
      <c r="B19" s="536"/>
      <c r="C19" s="153"/>
      <c r="D19" s="542" t="s">
        <v>718</v>
      </c>
      <c r="E19" s="587"/>
      <c r="F19" s="166" t="s">
        <v>109</v>
      </c>
      <c r="G19" s="517" t="s">
        <v>495</v>
      </c>
    </row>
    <row r="20" spans="1:11" ht="162.75" customHeight="1">
      <c r="A20" s="581"/>
      <c r="B20" s="536"/>
      <c r="C20" s="140"/>
      <c r="D20" s="575" t="s">
        <v>956</v>
      </c>
      <c r="E20" s="586" t="s">
        <v>787</v>
      </c>
      <c r="F20" s="567" t="str">
        <f>_xlfn.XLOOKUP(F19,BewertungsListe,Source!$C$60:$C$65)</f>
        <v>n.e.</v>
      </c>
      <c r="G20" s="517"/>
    </row>
    <row r="21" spans="1:11" ht="21">
      <c r="A21" s="581"/>
      <c r="B21" s="536"/>
      <c r="C21" s="140"/>
      <c r="D21" s="575"/>
      <c r="E21" s="586"/>
      <c r="F21" s="567" t="s">
        <v>514</v>
      </c>
      <c r="G21" s="517"/>
    </row>
    <row r="22" spans="1:11" ht="25.5" customHeight="1">
      <c r="A22" s="558" t="s">
        <v>465</v>
      </c>
      <c r="B22" s="560" t="s">
        <v>423</v>
      </c>
      <c r="C22" s="154"/>
      <c r="D22" s="542" t="s">
        <v>544</v>
      </c>
      <c r="E22" s="587"/>
      <c r="F22" s="170" t="s">
        <v>109</v>
      </c>
      <c r="G22" s="191"/>
    </row>
    <row r="23" spans="1:11" ht="186" customHeight="1">
      <c r="A23" s="559"/>
      <c r="B23" s="536"/>
      <c r="C23" s="140"/>
      <c r="D23" s="575" t="s">
        <v>788</v>
      </c>
      <c r="E23" s="586" t="s">
        <v>789</v>
      </c>
      <c r="F23" s="565" t="str">
        <f>_xlfn.XLOOKUP(F22,BewertungsListe,Source!$C$60:$C$65)</f>
        <v>n.e.</v>
      </c>
      <c r="G23" s="198" t="s">
        <v>495</v>
      </c>
    </row>
    <row r="24" spans="1:11" ht="18" customHeight="1">
      <c r="A24" s="559"/>
      <c r="B24" s="536"/>
      <c r="C24" s="179"/>
      <c r="D24" s="584"/>
      <c r="E24" s="590"/>
      <c r="F24" s="566"/>
      <c r="G24" s="198"/>
    </row>
    <row r="25" spans="1:11" ht="25.5" customHeight="1">
      <c r="A25" s="559"/>
      <c r="B25" s="536"/>
      <c r="C25" s="140"/>
      <c r="D25" s="192"/>
      <c r="E25" s="195"/>
      <c r="F25" s="194" t="s">
        <v>109</v>
      </c>
      <c r="G25" s="191"/>
    </row>
    <row r="26" spans="1:11" ht="25.5" customHeight="1">
      <c r="A26" s="559"/>
      <c r="B26" s="536"/>
      <c r="C26" s="168"/>
      <c r="D26" s="575" t="s">
        <v>719</v>
      </c>
      <c r="E26" s="625" t="s">
        <v>790</v>
      </c>
      <c r="F26" s="565" t="str">
        <f>_xlfn.XLOOKUP(F25,BewertungsListe,Source!$C$60:$C$65)</f>
        <v>n.e.</v>
      </c>
      <c r="G26" s="621" t="s">
        <v>495</v>
      </c>
    </row>
    <row r="27" spans="1:11" ht="46.5" customHeight="1">
      <c r="A27" s="559"/>
      <c r="B27" s="536"/>
      <c r="C27" s="169"/>
      <c r="D27" s="584"/>
      <c r="E27" s="626"/>
      <c r="F27" s="566"/>
      <c r="G27" s="621"/>
    </row>
    <row r="28" spans="1:11" ht="25.5" customHeight="1">
      <c r="A28" s="559"/>
      <c r="B28" s="536"/>
      <c r="C28" s="140"/>
      <c r="D28" s="192"/>
      <c r="E28" s="193"/>
      <c r="F28" s="194" t="s">
        <v>109</v>
      </c>
      <c r="G28" s="190"/>
    </row>
    <row r="29" spans="1:11" ht="18.75" customHeight="1">
      <c r="A29" s="559"/>
      <c r="B29" s="536"/>
      <c r="C29" s="140"/>
      <c r="D29" s="575" t="s">
        <v>720</v>
      </c>
      <c r="E29" s="586" t="s">
        <v>791</v>
      </c>
      <c r="F29" s="565" t="str">
        <f>_xlfn.XLOOKUP(F28,BewertungsListe,Source!$C$60:$C$65)</f>
        <v>n.e.</v>
      </c>
      <c r="G29" s="621" t="s">
        <v>495</v>
      </c>
    </row>
    <row r="30" spans="1:11" ht="19.5" customHeight="1">
      <c r="A30" s="611"/>
      <c r="B30" s="598"/>
      <c r="C30" s="179"/>
      <c r="D30" s="584"/>
      <c r="E30" s="590"/>
      <c r="F30" s="566"/>
      <c r="G30" s="621"/>
    </row>
    <row r="31" spans="1:11" ht="25.5" customHeight="1">
      <c r="A31" s="558" t="s">
        <v>466</v>
      </c>
      <c r="B31" s="560"/>
      <c r="C31" s="153"/>
      <c r="D31" s="542" t="s">
        <v>721</v>
      </c>
      <c r="E31" s="587"/>
      <c r="F31" s="167" t="s">
        <v>109</v>
      </c>
      <c r="G31" s="517" t="s">
        <v>495</v>
      </c>
    </row>
    <row r="32" spans="1:11" ht="267" customHeight="1">
      <c r="A32" s="559"/>
      <c r="B32" s="536"/>
      <c r="C32" s="140"/>
      <c r="D32" s="606" t="s">
        <v>957</v>
      </c>
      <c r="E32" s="605" t="s">
        <v>958</v>
      </c>
      <c r="F32" s="567" t="str">
        <f>_xlfn.XLOOKUP(F31,BewertungsListe,Source!$C$60:$C$65)</f>
        <v>n.e.</v>
      </c>
      <c r="G32" s="517"/>
      <c r="I32" s="617"/>
      <c r="J32" s="618"/>
      <c r="K32" s="86"/>
    </row>
    <row r="33" spans="1:10" ht="21">
      <c r="A33" s="611"/>
      <c r="B33" s="598"/>
      <c r="C33" s="179"/>
      <c r="D33" s="603"/>
      <c r="E33" s="624"/>
      <c r="F33" s="566" t="s">
        <v>514</v>
      </c>
      <c r="G33" s="517"/>
      <c r="I33" s="6"/>
      <c r="J33" s="6"/>
    </row>
    <row r="34" spans="1:10" ht="24" customHeight="1">
      <c r="A34" s="581" t="s">
        <v>467</v>
      </c>
      <c r="B34" s="536"/>
      <c r="C34" s="153"/>
      <c r="D34" s="542" t="s">
        <v>545</v>
      </c>
      <c r="E34" s="587"/>
      <c r="F34" s="166" t="s">
        <v>109</v>
      </c>
      <c r="G34" s="517" t="s">
        <v>495</v>
      </c>
    </row>
    <row r="35" spans="1:10" ht="122.5" customHeight="1">
      <c r="A35" s="581"/>
      <c r="B35" s="536"/>
      <c r="C35" s="140"/>
      <c r="D35" s="575" t="s">
        <v>722</v>
      </c>
      <c r="E35" s="586" t="s">
        <v>792</v>
      </c>
      <c r="F35" s="599" t="str">
        <f>_xlfn.XLOOKUP(F34,BewertungsListe,Source!$C$60:$C$65)</f>
        <v>n.e.</v>
      </c>
      <c r="G35" s="517"/>
    </row>
    <row r="36" spans="1:10" ht="21">
      <c r="A36" s="588"/>
      <c r="B36" s="598"/>
      <c r="C36" s="179"/>
      <c r="D36" s="584"/>
      <c r="E36" s="590"/>
      <c r="F36" s="600" t="s">
        <v>514</v>
      </c>
      <c r="G36" s="517"/>
    </row>
    <row r="37" spans="1:10" ht="25.5" customHeight="1">
      <c r="A37" s="581" t="s">
        <v>468</v>
      </c>
      <c r="B37" s="536" t="s">
        <v>423</v>
      </c>
      <c r="C37" s="153"/>
      <c r="D37" s="542" t="s">
        <v>546</v>
      </c>
      <c r="E37" s="587"/>
      <c r="F37" s="166" t="s">
        <v>109</v>
      </c>
      <c r="G37" s="517" t="s">
        <v>495</v>
      </c>
    </row>
    <row r="38" spans="1:10" ht="171" customHeight="1">
      <c r="A38" s="581"/>
      <c r="B38" s="536"/>
      <c r="C38" s="140"/>
      <c r="D38" s="575" t="s">
        <v>686</v>
      </c>
      <c r="E38" s="586" t="s">
        <v>948</v>
      </c>
      <c r="F38" s="599" t="str">
        <f>_xlfn.XLOOKUP(F37,BewertungsListe,Source!$C$60:$C$65)</f>
        <v>n.e.</v>
      </c>
      <c r="G38" s="517"/>
    </row>
    <row r="39" spans="1:10" ht="35.5" customHeight="1">
      <c r="A39" s="581"/>
      <c r="B39" s="536"/>
      <c r="C39" s="140"/>
      <c r="D39" s="575"/>
      <c r="E39" s="586"/>
      <c r="F39" s="599" t="s">
        <v>514</v>
      </c>
      <c r="G39" s="517"/>
    </row>
    <row r="40" spans="1:10" ht="25.5" customHeight="1">
      <c r="A40" s="558" t="s">
        <v>469</v>
      </c>
      <c r="B40" s="560" t="s">
        <v>423</v>
      </c>
      <c r="C40" s="153"/>
      <c r="D40" s="542" t="s">
        <v>547</v>
      </c>
      <c r="E40" s="587"/>
      <c r="F40" s="166" t="s">
        <v>109</v>
      </c>
      <c r="G40" s="517" t="s">
        <v>495</v>
      </c>
    </row>
    <row r="41" spans="1:10" ht="127.25" customHeight="1">
      <c r="A41" s="559"/>
      <c r="B41" s="536"/>
      <c r="C41" s="140"/>
      <c r="D41" s="575" t="s">
        <v>548</v>
      </c>
      <c r="E41" s="586" t="s">
        <v>793</v>
      </c>
      <c r="F41" s="599" t="str">
        <f>_xlfn.XLOOKUP(F40,BewertungsListe,Source!$C$60:$C$65)</f>
        <v>n.e.</v>
      </c>
      <c r="G41" s="517"/>
    </row>
    <row r="42" spans="1:10" ht="21">
      <c r="A42" s="611"/>
      <c r="B42" s="598"/>
      <c r="C42" s="179"/>
      <c r="D42" s="584"/>
      <c r="E42" s="590"/>
      <c r="F42" s="600" t="s">
        <v>514</v>
      </c>
      <c r="G42" s="517"/>
    </row>
    <row r="43" spans="1:10" ht="21">
      <c r="A43" s="558" t="s">
        <v>470</v>
      </c>
      <c r="B43" s="560" t="s">
        <v>423</v>
      </c>
      <c r="C43" s="153"/>
      <c r="D43" s="542" t="s">
        <v>549</v>
      </c>
      <c r="E43" s="587"/>
      <c r="F43" s="166" t="s">
        <v>109</v>
      </c>
      <c r="G43" s="517" t="s">
        <v>495</v>
      </c>
    </row>
    <row r="44" spans="1:10" ht="271.25" customHeight="1">
      <c r="A44" s="559"/>
      <c r="B44" s="536"/>
      <c r="C44" s="140"/>
      <c r="D44" s="575" t="s">
        <v>537</v>
      </c>
      <c r="E44" s="586" t="s">
        <v>794</v>
      </c>
      <c r="F44" s="599" t="str">
        <f>_xlfn.XLOOKUP(F43,BewertungsListe,Source!$C$60:$C$65)</f>
        <v>n.e.</v>
      </c>
      <c r="G44" s="517"/>
    </row>
    <row r="45" spans="1:10" ht="25.25" customHeight="1">
      <c r="A45" s="611"/>
      <c r="B45" s="598"/>
      <c r="C45" s="179"/>
      <c r="D45" s="584"/>
      <c r="E45" s="590"/>
      <c r="F45" s="600" t="s">
        <v>514</v>
      </c>
      <c r="G45" s="517"/>
    </row>
    <row r="46" spans="1:10" ht="21">
      <c r="A46" s="558" t="s">
        <v>471</v>
      </c>
      <c r="B46" s="560" t="s">
        <v>423</v>
      </c>
      <c r="C46" s="153"/>
      <c r="D46" s="542" t="s">
        <v>550</v>
      </c>
      <c r="E46" s="587"/>
      <c r="F46" s="167" t="s">
        <v>109</v>
      </c>
      <c r="G46" s="517" t="s">
        <v>495</v>
      </c>
    </row>
    <row r="47" spans="1:10" ht="217.25" customHeight="1">
      <c r="A47" s="559"/>
      <c r="B47" s="536"/>
      <c r="C47" s="140"/>
      <c r="D47" s="575" t="s">
        <v>949</v>
      </c>
      <c r="E47" s="586" t="s">
        <v>959</v>
      </c>
      <c r="F47" s="567" t="str">
        <f>_xlfn.XLOOKUP(F46,BewertungsListe,Source!$C$60:$C$65)</f>
        <v>n.e.</v>
      </c>
      <c r="G47" s="517"/>
    </row>
    <row r="48" spans="1:10" ht="26" customHeight="1">
      <c r="A48" s="611"/>
      <c r="B48" s="598"/>
      <c r="C48" s="179"/>
      <c r="D48" s="584"/>
      <c r="E48" s="590"/>
      <c r="F48" s="566" t="s">
        <v>514</v>
      </c>
      <c r="G48" s="517"/>
    </row>
    <row r="49" spans="1:7" ht="27" customHeight="1">
      <c r="A49" s="581" t="s">
        <v>472</v>
      </c>
      <c r="B49" s="536"/>
      <c r="C49" s="153"/>
      <c r="D49" s="542" t="s">
        <v>551</v>
      </c>
      <c r="E49" s="587"/>
      <c r="F49" s="167" t="s">
        <v>109</v>
      </c>
      <c r="G49" s="517" t="s">
        <v>495</v>
      </c>
    </row>
    <row r="50" spans="1:7" ht="260.5" customHeight="1">
      <c r="A50" s="581"/>
      <c r="B50" s="536"/>
      <c r="C50" s="140"/>
      <c r="D50" s="575" t="s">
        <v>552</v>
      </c>
      <c r="E50" s="585" t="s">
        <v>795</v>
      </c>
      <c r="F50" s="599" t="str">
        <f>_xlfn.XLOOKUP(F49,BewertungsListe,Source!$C$60:$C$65)</f>
        <v>n.e.</v>
      </c>
      <c r="G50" s="517"/>
    </row>
    <row r="51" spans="1:7" ht="21">
      <c r="A51" s="588"/>
      <c r="B51" s="598"/>
      <c r="C51" s="179"/>
      <c r="D51" s="584"/>
      <c r="E51" s="590"/>
      <c r="F51" s="600" t="s">
        <v>514</v>
      </c>
      <c r="G51" s="517"/>
    </row>
    <row r="52" spans="1:7" ht="21">
      <c r="A52" s="581" t="s">
        <v>473</v>
      </c>
      <c r="B52" s="536" t="s">
        <v>423</v>
      </c>
      <c r="C52" s="153"/>
      <c r="D52" s="542" t="s">
        <v>553</v>
      </c>
      <c r="E52" s="587"/>
      <c r="F52" s="166" t="s">
        <v>109</v>
      </c>
      <c r="G52" s="517" t="s">
        <v>495</v>
      </c>
    </row>
    <row r="53" spans="1:7" ht="293" customHeight="1">
      <c r="A53" s="581"/>
      <c r="B53" s="536"/>
      <c r="C53" s="140"/>
      <c r="D53" s="575" t="s">
        <v>723</v>
      </c>
      <c r="E53" s="585" t="s">
        <v>796</v>
      </c>
      <c r="F53" s="565" t="str">
        <f>_xlfn.XLOOKUP(F52,BewertungsListe,Source!$C$60:$C$65)</f>
        <v>n.e.</v>
      </c>
      <c r="G53" s="517"/>
    </row>
    <row r="54" spans="1:7" ht="21">
      <c r="A54" s="588"/>
      <c r="B54" s="598"/>
      <c r="C54" s="179"/>
      <c r="D54" s="584"/>
      <c r="E54" s="590"/>
      <c r="F54" s="566" t="s">
        <v>514</v>
      </c>
      <c r="G54" s="517"/>
    </row>
    <row r="55" spans="1:7" ht="21">
      <c r="A55" s="581" t="s">
        <v>474</v>
      </c>
      <c r="B55" s="536"/>
      <c r="C55" s="153"/>
      <c r="D55" s="542" t="s">
        <v>554</v>
      </c>
      <c r="E55" s="587"/>
      <c r="F55" s="166" t="s">
        <v>109</v>
      </c>
      <c r="G55" s="517" t="s">
        <v>495</v>
      </c>
    </row>
    <row r="56" spans="1:7" ht="185" customHeight="1">
      <c r="A56" s="581"/>
      <c r="B56" s="536"/>
      <c r="C56" s="140"/>
      <c r="D56" s="619" t="s">
        <v>797</v>
      </c>
      <c r="E56" s="586" t="s">
        <v>798</v>
      </c>
      <c r="F56" s="599" t="str">
        <f>_xlfn.XLOOKUP(F55,BewertungsListe,Source!$C$60:$C$65)</f>
        <v>n.e.</v>
      </c>
      <c r="G56" s="517"/>
    </row>
    <row r="57" spans="1:7" ht="21">
      <c r="A57" s="588"/>
      <c r="B57" s="598"/>
      <c r="C57" s="179"/>
      <c r="D57" s="620"/>
      <c r="E57" s="590"/>
      <c r="F57" s="600" t="s">
        <v>514</v>
      </c>
      <c r="G57" s="517"/>
    </row>
    <row r="58" spans="1:7" ht="21">
      <c r="A58" s="581" t="s">
        <v>475</v>
      </c>
      <c r="B58" s="536"/>
      <c r="C58" s="153"/>
      <c r="D58" s="542" t="s">
        <v>555</v>
      </c>
      <c r="E58" s="587"/>
      <c r="F58" s="166" t="s">
        <v>109</v>
      </c>
      <c r="G58" s="517" t="s">
        <v>495</v>
      </c>
    </row>
    <row r="59" spans="1:7" ht="231" customHeight="1">
      <c r="A59" s="581"/>
      <c r="B59" s="536"/>
      <c r="C59" s="140"/>
      <c r="D59" s="575" t="s">
        <v>556</v>
      </c>
      <c r="E59" s="586" t="s">
        <v>960</v>
      </c>
      <c r="F59" s="599" t="str">
        <f>_xlfn.XLOOKUP(F58,BewertungsListe,Source!$C$60:$C$65)</f>
        <v>n.e.</v>
      </c>
      <c r="G59" s="517"/>
    </row>
    <row r="60" spans="1:7" ht="21">
      <c r="A60" s="581"/>
      <c r="B60" s="536"/>
      <c r="C60" s="140"/>
      <c r="D60" s="575"/>
      <c r="E60" s="586"/>
      <c r="F60" s="599" t="s">
        <v>514</v>
      </c>
      <c r="G60" s="517"/>
    </row>
    <row r="61" spans="1:7" ht="21">
      <c r="A61" s="558" t="s">
        <v>476</v>
      </c>
      <c r="B61" s="560" t="s">
        <v>423</v>
      </c>
      <c r="C61" s="183"/>
      <c r="D61" s="542" t="s">
        <v>557</v>
      </c>
      <c r="E61" s="587"/>
      <c r="F61" s="166" t="s">
        <v>109</v>
      </c>
      <c r="G61" s="107"/>
    </row>
    <row r="62" spans="1:7" ht="189" customHeight="1">
      <c r="A62" s="559"/>
      <c r="B62" s="536"/>
      <c r="C62" s="140"/>
      <c r="D62" s="575" t="s">
        <v>799</v>
      </c>
      <c r="E62" s="586" t="s">
        <v>800</v>
      </c>
      <c r="F62" s="599" t="str">
        <f>_xlfn.XLOOKUP(F61,BewertungsListe,Source!$C$60:$C$65)</f>
        <v>n.e.</v>
      </c>
      <c r="G62" s="517" t="s">
        <v>495</v>
      </c>
    </row>
    <row r="63" spans="1:7" ht="21">
      <c r="A63" s="611"/>
      <c r="B63" s="598"/>
      <c r="C63" s="179"/>
      <c r="D63" s="584"/>
      <c r="E63" s="590"/>
      <c r="F63" s="600" t="s">
        <v>514</v>
      </c>
      <c r="G63" s="517"/>
    </row>
    <row r="64" spans="1:7" ht="39" customHeight="1">
      <c r="A64" s="109"/>
      <c r="B64" s="174"/>
      <c r="C64" s="110"/>
      <c r="D64" s="111" cm="1">
        <f t="array" ref="D64">SUMPRODUCT((MOD(ROW(F8:F63),3)=2)*(F8:F63&lt;&gt;"n.e."))</f>
        <v>0</v>
      </c>
      <c r="E64" s="117" t="s">
        <v>558</v>
      </c>
      <c r="F64" s="118" t="str">
        <f>IF(D64=0,"n.e.",ROUND(SUMIF(F7:F63,"&gt;=0") / (D64 *10), 2))</f>
        <v>n.e.</v>
      </c>
      <c r="G64" s="114"/>
    </row>
    <row r="65" spans="1:7">
      <c r="A65" s="98"/>
      <c r="B65" s="98"/>
      <c r="C65" s="98"/>
      <c r="D65" s="96"/>
      <c r="E65" s="98"/>
      <c r="F65" s="98"/>
      <c r="G65" s="98"/>
    </row>
    <row r="66" spans="1:7">
      <c r="A66" s="5"/>
    </row>
    <row r="67" spans="1:7">
      <c r="A67" s="5"/>
    </row>
    <row r="68" spans="1:7">
      <c r="A68" s="5"/>
    </row>
    <row r="69" spans="1:7">
      <c r="A69" s="5"/>
    </row>
    <row r="70" spans="1:7">
      <c r="A70" s="5"/>
    </row>
    <row r="71" spans="1:7">
      <c r="A71" s="5"/>
    </row>
    <row r="72" spans="1:7">
      <c r="A72" s="5"/>
    </row>
    <row r="73" spans="1:7">
      <c r="A73" s="5"/>
    </row>
    <row r="74" spans="1:7">
      <c r="A74" s="5"/>
    </row>
    <row r="75" spans="1:7">
      <c r="A75" s="5"/>
    </row>
    <row r="76" spans="1:7">
      <c r="A76" s="5"/>
    </row>
    <row r="77" spans="1:7">
      <c r="A77" s="5"/>
    </row>
    <row r="78" spans="1:7">
      <c r="A78" s="5"/>
    </row>
    <row r="79" spans="1:7">
      <c r="A79" s="5"/>
    </row>
    <row r="80" spans="1:7">
      <c r="A80" s="5"/>
    </row>
    <row r="81" spans="1:1">
      <c r="A81" s="5"/>
    </row>
    <row r="82" spans="1:1">
      <c r="A82" s="5"/>
    </row>
    <row r="83" spans="1:1">
      <c r="A83" s="5"/>
    </row>
    <row r="84" spans="1:1">
      <c r="A84" s="5"/>
    </row>
    <row r="85" spans="1:1">
      <c r="A85" s="5"/>
    </row>
    <row r="86" spans="1:1">
      <c r="A86" s="5"/>
    </row>
    <row r="87" spans="1:1">
      <c r="A87" s="5"/>
    </row>
    <row r="88" spans="1:1">
      <c r="A88" s="5"/>
    </row>
    <row r="89" spans="1:1">
      <c r="A89" s="5"/>
    </row>
    <row r="90" spans="1:1">
      <c r="A90" s="5"/>
    </row>
  </sheetData>
  <mergeCells count="134">
    <mergeCell ref="D43:E43"/>
    <mergeCell ref="D46:E46"/>
    <mergeCell ref="D49:E49"/>
    <mergeCell ref="D52:E52"/>
    <mergeCell ref="D55:E55"/>
    <mergeCell ref="D58:E58"/>
    <mergeCell ref="D61:E61"/>
    <mergeCell ref="D7:E7"/>
    <mergeCell ref="D10:E10"/>
    <mergeCell ref="D13:E13"/>
    <mergeCell ref="D16:E16"/>
    <mergeCell ref="D19:E19"/>
    <mergeCell ref="D22:E22"/>
    <mergeCell ref="D31:E31"/>
    <mergeCell ref="D34:E34"/>
    <mergeCell ref="D37:E37"/>
    <mergeCell ref="G62:G63"/>
    <mergeCell ref="G43:G45"/>
    <mergeCell ref="G46:G48"/>
    <mergeCell ref="G49:G51"/>
    <mergeCell ref="G31:G33"/>
    <mergeCell ref="G34:G36"/>
    <mergeCell ref="G37:G39"/>
    <mergeCell ref="G40:G42"/>
    <mergeCell ref="G16:G18"/>
    <mergeCell ref="G19:G21"/>
    <mergeCell ref="G26:G27"/>
    <mergeCell ref="E62:E63"/>
    <mergeCell ref="F62:F63"/>
    <mergeCell ref="F56:F57"/>
    <mergeCell ref="A58:A60"/>
    <mergeCell ref="B58:B60"/>
    <mergeCell ref="D59:D60"/>
    <mergeCell ref="E59:E60"/>
    <mergeCell ref="F59:F60"/>
    <mergeCell ref="A52:A54"/>
    <mergeCell ref="B52:B54"/>
    <mergeCell ref="D53:D54"/>
    <mergeCell ref="E53:E54"/>
    <mergeCell ref="F53:F54"/>
    <mergeCell ref="A49:A51"/>
    <mergeCell ref="B49:B51"/>
    <mergeCell ref="D50:D51"/>
    <mergeCell ref="E50:E51"/>
    <mergeCell ref="F50:F51"/>
    <mergeCell ref="F44:F45"/>
    <mergeCell ref="G52:G54"/>
    <mergeCell ref="G55:G57"/>
    <mergeCell ref="G58:G60"/>
    <mergeCell ref="A46:A48"/>
    <mergeCell ref="B46:B48"/>
    <mergeCell ref="D47:D48"/>
    <mergeCell ref="E47:E48"/>
    <mergeCell ref="F47:F48"/>
    <mergeCell ref="E44:E45"/>
    <mergeCell ref="F38:F39"/>
    <mergeCell ref="A40:A42"/>
    <mergeCell ref="B40:B42"/>
    <mergeCell ref="D41:D42"/>
    <mergeCell ref="E41:E42"/>
    <mergeCell ref="F41:F42"/>
    <mergeCell ref="A37:A39"/>
    <mergeCell ref="B37:B39"/>
    <mergeCell ref="D38:D39"/>
    <mergeCell ref="E38:E39"/>
    <mergeCell ref="D40:E40"/>
    <mergeCell ref="B34:B36"/>
    <mergeCell ref="D35:D36"/>
    <mergeCell ref="E35:E36"/>
    <mergeCell ref="F35:F36"/>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I32:J32"/>
    <mergeCell ref="G3:G6"/>
    <mergeCell ref="A55:A57"/>
    <mergeCell ref="B55:B57"/>
    <mergeCell ref="D56:D57"/>
    <mergeCell ref="E56:E57"/>
    <mergeCell ref="A61:A63"/>
    <mergeCell ref="B61:B63"/>
    <mergeCell ref="D62:D63"/>
    <mergeCell ref="A43:A45"/>
    <mergeCell ref="B43:B45"/>
    <mergeCell ref="D44:D45"/>
    <mergeCell ref="G29:G30"/>
    <mergeCell ref="A16:A18"/>
    <mergeCell ref="B16:B18"/>
    <mergeCell ref="D17:D18"/>
    <mergeCell ref="E17:E18"/>
    <mergeCell ref="F17:F18"/>
    <mergeCell ref="A19:A21"/>
    <mergeCell ref="B19:B21"/>
    <mergeCell ref="D20:D21"/>
    <mergeCell ref="E20:E21"/>
    <mergeCell ref="F32:F33"/>
    <mergeCell ref="A34:A36"/>
  </mergeCells>
  <phoneticPr fontId="77" type="noConversion"/>
  <conditionalFormatting sqref="F8">
    <cfRule type="cellIs" dxfId="125" priority="162" operator="equal">
      <formula>10</formula>
    </cfRule>
  </conditionalFormatting>
  <conditionalFormatting sqref="F8">
    <cfRule type="cellIs" dxfId="124" priority="157" operator="equal">
      <formula>0</formula>
    </cfRule>
    <cfRule type="cellIs" dxfId="123" priority="159" operator="equal">
      <formula>4</formula>
    </cfRule>
  </conditionalFormatting>
  <conditionalFormatting sqref="F8">
    <cfRule type="cellIs" dxfId="122" priority="158" operator="equal">
      <formula>2</formula>
    </cfRule>
    <cfRule type="cellIs" dxfId="121" priority="161" operator="equal">
      <formula>8</formula>
    </cfRule>
  </conditionalFormatting>
  <conditionalFormatting sqref="F8">
    <cfRule type="cellIs" dxfId="120" priority="160" operator="equal">
      <formula>6</formula>
    </cfRule>
  </conditionalFormatting>
  <conditionalFormatting sqref="F11">
    <cfRule type="cellIs" dxfId="119" priority="156" operator="equal">
      <formula>10</formula>
    </cfRule>
  </conditionalFormatting>
  <conditionalFormatting sqref="F11">
    <cfRule type="cellIs" dxfId="118" priority="151" operator="equal">
      <formula>0</formula>
    </cfRule>
    <cfRule type="cellIs" dxfId="117" priority="153" operator="equal">
      <formula>4</formula>
    </cfRule>
  </conditionalFormatting>
  <conditionalFormatting sqref="F11">
    <cfRule type="cellIs" dxfId="116" priority="152" operator="equal">
      <formula>2</formula>
    </cfRule>
    <cfRule type="cellIs" dxfId="115" priority="155" operator="equal">
      <formula>8</formula>
    </cfRule>
  </conditionalFormatting>
  <conditionalFormatting sqref="F11">
    <cfRule type="cellIs" dxfId="114" priority="154" operator="equal">
      <formula>6</formula>
    </cfRule>
  </conditionalFormatting>
  <conditionalFormatting sqref="F14">
    <cfRule type="cellIs" dxfId="113" priority="150" operator="equal">
      <formula>10</formula>
    </cfRule>
  </conditionalFormatting>
  <conditionalFormatting sqref="F14">
    <cfRule type="cellIs" dxfId="112" priority="145" operator="equal">
      <formula>0</formula>
    </cfRule>
    <cfRule type="cellIs" dxfId="111" priority="147" operator="equal">
      <formula>4</formula>
    </cfRule>
  </conditionalFormatting>
  <conditionalFormatting sqref="F14">
    <cfRule type="cellIs" dxfId="110" priority="146" operator="equal">
      <formula>2</formula>
    </cfRule>
    <cfRule type="cellIs" dxfId="109" priority="149" operator="equal">
      <formula>8</formula>
    </cfRule>
  </conditionalFormatting>
  <conditionalFormatting sqref="F14">
    <cfRule type="cellIs" dxfId="108" priority="148" operator="equal">
      <formula>6</formula>
    </cfRule>
  </conditionalFormatting>
  <conditionalFormatting sqref="F17">
    <cfRule type="cellIs" dxfId="107" priority="138" operator="equal">
      <formula>10</formula>
    </cfRule>
  </conditionalFormatting>
  <conditionalFormatting sqref="F17">
    <cfRule type="cellIs" dxfId="106" priority="133" operator="equal">
      <formula>0</formula>
    </cfRule>
    <cfRule type="cellIs" dxfId="105" priority="135" operator="equal">
      <formula>4</formula>
    </cfRule>
  </conditionalFormatting>
  <conditionalFormatting sqref="F17">
    <cfRule type="cellIs" dxfId="104" priority="134" operator="equal">
      <formula>2</formula>
    </cfRule>
    <cfRule type="cellIs" dxfId="103" priority="137" operator="equal">
      <formula>8</formula>
    </cfRule>
  </conditionalFormatting>
  <conditionalFormatting sqref="F17">
    <cfRule type="cellIs" dxfId="102" priority="136" operator="equal">
      <formula>6</formula>
    </cfRule>
  </conditionalFormatting>
  <conditionalFormatting sqref="F20">
    <cfRule type="cellIs" dxfId="101" priority="132" operator="equal">
      <formula>10</formula>
    </cfRule>
  </conditionalFormatting>
  <conditionalFormatting sqref="F20">
    <cfRule type="cellIs" dxfId="100" priority="127" operator="equal">
      <formula>0</formula>
    </cfRule>
    <cfRule type="cellIs" dxfId="99" priority="129" operator="equal">
      <formula>4</formula>
    </cfRule>
  </conditionalFormatting>
  <conditionalFormatting sqref="F20">
    <cfRule type="cellIs" dxfId="98" priority="128" operator="equal">
      <formula>2</formula>
    </cfRule>
    <cfRule type="cellIs" dxfId="97" priority="131" operator="equal">
      <formula>8</formula>
    </cfRule>
  </conditionalFormatting>
  <conditionalFormatting sqref="F20">
    <cfRule type="cellIs" dxfId="96" priority="130" operator="equal">
      <formula>6</formula>
    </cfRule>
  </conditionalFormatting>
  <conditionalFormatting sqref="F29">
    <cfRule type="cellIs" dxfId="95" priority="126" operator="equal">
      <formula>10</formula>
    </cfRule>
  </conditionalFormatting>
  <conditionalFormatting sqref="F29">
    <cfRule type="cellIs" dxfId="94" priority="121" operator="equal">
      <formula>0</formula>
    </cfRule>
    <cfRule type="cellIs" dxfId="93" priority="123" operator="equal">
      <formula>4</formula>
    </cfRule>
  </conditionalFormatting>
  <conditionalFormatting sqref="F29">
    <cfRule type="cellIs" dxfId="92" priority="122" operator="equal">
      <formula>2</formula>
    </cfRule>
    <cfRule type="cellIs" dxfId="91" priority="125" operator="equal">
      <formula>8</formula>
    </cfRule>
  </conditionalFormatting>
  <conditionalFormatting sqref="F29">
    <cfRule type="cellIs" dxfId="90" priority="124" operator="equal">
      <formula>6</formula>
    </cfRule>
  </conditionalFormatting>
  <conditionalFormatting sqref="F32">
    <cfRule type="cellIs" dxfId="89" priority="120" operator="equal">
      <formula>10</formula>
    </cfRule>
  </conditionalFormatting>
  <conditionalFormatting sqref="F32">
    <cfRule type="cellIs" dxfId="88" priority="115" operator="equal">
      <formula>0</formula>
    </cfRule>
    <cfRule type="cellIs" dxfId="87" priority="117" operator="equal">
      <formula>4</formula>
    </cfRule>
  </conditionalFormatting>
  <conditionalFormatting sqref="F32">
    <cfRule type="cellIs" dxfId="86" priority="116" operator="equal">
      <formula>2</formula>
    </cfRule>
    <cfRule type="cellIs" dxfId="85" priority="119" operator="equal">
      <formula>8</formula>
    </cfRule>
  </conditionalFormatting>
  <conditionalFormatting sqref="F32">
    <cfRule type="cellIs" dxfId="84" priority="118" operator="equal">
      <formula>6</formula>
    </cfRule>
  </conditionalFormatting>
  <conditionalFormatting sqref="F35">
    <cfRule type="cellIs" dxfId="83" priority="114" operator="equal">
      <formula>10</formula>
    </cfRule>
  </conditionalFormatting>
  <conditionalFormatting sqref="F35">
    <cfRule type="cellIs" dxfId="82" priority="109" operator="equal">
      <formula>0</formula>
    </cfRule>
    <cfRule type="cellIs" dxfId="81" priority="111" operator="equal">
      <formula>4</formula>
    </cfRule>
  </conditionalFormatting>
  <conditionalFormatting sqref="F35">
    <cfRule type="cellIs" dxfId="80" priority="110" operator="equal">
      <formula>2</formula>
    </cfRule>
    <cfRule type="cellIs" dxfId="79" priority="113" operator="equal">
      <formula>8</formula>
    </cfRule>
  </conditionalFormatting>
  <conditionalFormatting sqref="F35">
    <cfRule type="cellIs" dxfId="78" priority="112" operator="equal">
      <formula>6</formula>
    </cfRule>
  </conditionalFormatting>
  <conditionalFormatting sqref="F38">
    <cfRule type="cellIs" dxfId="77" priority="108" operator="equal">
      <formula>10</formula>
    </cfRule>
  </conditionalFormatting>
  <conditionalFormatting sqref="F38">
    <cfRule type="cellIs" dxfId="76" priority="103" operator="equal">
      <formula>0</formula>
    </cfRule>
    <cfRule type="cellIs" dxfId="75" priority="105" operator="equal">
      <formula>4</formula>
    </cfRule>
  </conditionalFormatting>
  <conditionalFormatting sqref="F38">
    <cfRule type="cellIs" dxfId="74" priority="104" operator="equal">
      <formula>2</formula>
    </cfRule>
    <cfRule type="cellIs" dxfId="73" priority="107" operator="equal">
      <formula>8</formula>
    </cfRule>
  </conditionalFormatting>
  <conditionalFormatting sqref="F38">
    <cfRule type="cellIs" dxfId="72" priority="106" operator="equal">
      <formula>6</formula>
    </cfRule>
  </conditionalFormatting>
  <conditionalFormatting sqref="F41">
    <cfRule type="cellIs" dxfId="71" priority="102" operator="equal">
      <formula>10</formula>
    </cfRule>
  </conditionalFormatting>
  <conditionalFormatting sqref="F41">
    <cfRule type="cellIs" dxfId="70" priority="97" operator="equal">
      <formula>0</formula>
    </cfRule>
    <cfRule type="cellIs" dxfId="69" priority="99" operator="equal">
      <formula>4</formula>
    </cfRule>
  </conditionalFormatting>
  <conditionalFormatting sqref="F41">
    <cfRule type="cellIs" dxfId="68" priority="98" operator="equal">
      <formula>2</formula>
    </cfRule>
    <cfRule type="cellIs" dxfId="67" priority="101" operator="equal">
      <formula>8</formula>
    </cfRule>
  </conditionalFormatting>
  <conditionalFormatting sqref="F41">
    <cfRule type="cellIs" dxfId="66" priority="100" operator="equal">
      <formula>6</formula>
    </cfRule>
  </conditionalFormatting>
  <conditionalFormatting sqref="F47">
    <cfRule type="cellIs" dxfId="65" priority="72" operator="equal">
      <formula>10</formula>
    </cfRule>
  </conditionalFormatting>
  <conditionalFormatting sqref="F47">
    <cfRule type="cellIs" dxfId="64" priority="67" operator="equal">
      <formula>0</formula>
    </cfRule>
    <cfRule type="cellIs" dxfId="63" priority="69" operator="equal">
      <formula>4</formula>
    </cfRule>
  </conditionalFormatting>
  <conditionalFormatting sqref="F47">
    <cfRule type="cellIs" dxfId="62" priority="68" operator="equal">
      <formula>2</formula>
    </cfRule>
    <cfRule type="cellIs" dxfId="61" priority="71" operator="equal">
      <formula>8</formula>
    </cfRule>
  </conditionalFormatting>
  <conditionalFormatting sqref="F47">
    <cfRule type="cellIs" dxfId="60" priority="70" operator="equal">
      <formula>6</formula>
    </cfRule>
  </conditionalFormatting>
  <conditionalFormatting sqref="F44">
    <cfRule type="cellIs" dxfId="59" priority="66" operator="equal">
      <formula>10</formula>
    </cfRule>
  </conditionalFormatting>
  <conditionalFormatting sqref="F44">
    <cfRule type="cellIs" dxfId="58" priority="61" operator="equal">
      <formula>0</formula>
    </cfRule>
    <cfRule type="cellIs" dxfId="57" priority="63" operator="equal">
      <formula>4</formula>
    </cfRule>
  </conditionalFormatting>
  <conditionalFormatting sqref="F44">
    <cfRule type="cellIs" dxfId="56" priority="62" operator="equal">
      <formula>2</formula>
    </cfRule>
    <cfRule type="cellIs" dxfId="55" priority="65" operator="equal">
      <formula>8</formula>
    </cfRule>
  </conditionalFormatting>
  <conditionalFormatting sqref="F44">
    <cfRule type="cellIs" dxfId="54" priority="64" operator="equal">
      <formula>6</formula>
    </cfRule>
  </conditionalFormatting>
  <conditionalFormatting sqref="F50">
    <cfRule type="cellIs" dxfId="53" priority="60" operator="equal">
      <formula>10</formula>
    </cfRule>
  </conditionalFormatting>
  <conditionalFormatting sqref="F50">
    <cfRule type="cellIs" dxfId="52" priority="55" operator="equal">
      <formula>0</formula>
    </cfRule>
    <cfRule type="cellIs" dxfId="51" priority="57" operator="equal">
      <formula>4</formula>
    </cfRule>
  </conditionalFormatting>
  <conditionalFormatting sqref="F50">
    <cfRule type="cellIs" dxfId="50" priority="56" operator="equal">
      <formula>2</formula>
    </cfRule>
    <cfRule type="cellIs" dxfId="49" priority="59" operator="equal">
      <formula>8</formula>
    </cfRule>
  </conditionalFormatting>
  <conditionalFormatting sqref="F50">
    <cfRule type="cellIs" dxfId="48" priority="58" operator="equal">
      <formula>6</formula>
    </cfRule>
  </conditionalFormatting>
  <conditionalFormatting sqref="F53">
    <cfRule type="cellIs" dxfId="47" priority="54" operator="equal">
      <formula>10</formula>
    </cfRule>
  </conditionalFormatting>
  <conditionalFormatting sqref="F53">
    <cfRule type="cellIs" dxfId="46" priority="49" operator="equal">
      <formula>0</formula>
    </cfRule>
    <cfRule type="cellIs" dxfId="45" priority="51" operator="equal">
      <formula>4</formula>
    </cfRule>
  </conditionalFormatting>
  <conditionalFormatting sqref="F53">
    <cfRule type="cellIs" dxfId="44" priority="50" operator="equal">
      <formula>2</formula>
    </cfRule>
    <cfRule type="cellIs" dxfId="43" priority="53" operator="equal">
      <formula>8</formula>
    </cfRule>
  </conditionalFormatting>
  <conditionalFormatting sqref="F53">
    <cfRule type="cellIs" dxfId="42" priority="52" operator="equal">
      <formula>6</formula>
    </cfRule>
  </conditionalFormatting>
  <conditionalFormatting sqref="F56">
    <cfRule type="cellIs" dxfId="41" priority="48" operator="equal">
      <formula>10</formula>
    </cfRule>
  </conditionalFormatting>
  <conditionalFormatting sqref="F56">
    <cfRule type="cellIs" dxfId="40" priority="43" operator="equal">
      <formula>0</formula>
    </cfRule>
    <cfRule type="cellIs" dxfId="39" priority="45" operator="equal">
      <formula>4</formula>
    </cfRule>
  </conditionalFormatting>
  <conditionalFormatting sqref="F56">
    <cfRule type="cellIs" dxfId="38" priority="44" operator="equal">
      <formula>2</formula>
    </cfRule>
    <cfRule type="cellIs" dxfId="37" priority="47" operator="equal">
      <formula>8</formula>
    </cfRule>
  </conditionalFormatting>
  <conditionalFormatting sqref="F56">
    <cfRule type="cellIs" dxfId="36" priority="46" operator="equal">
      <formula>6</formula>
    </cfRule>
  </conditionalFormatting>
  <conditionalFormatting sqref="F59">
    <cfRule type="cellIs" dxfId="35" priority="42" operator="equal">
      <formula>10</formula>
    </cfRule>
  </conditionalFormatting>
  <conditionalFormatting sqref="F59">
    <cfRule type="cellIs" dxfId="34" priority="37" operator="equal">
      <formula>0</formula>
    </cfRule>
    <cfRule type="cellIs" dxfId="33" priority="39" operator="equal">
      <formula>4</formula>
    </cfRule>
  </conditionalFormatting>
  <conditionalFormatting sqref="F59">
    <cfRule type="cellIs" dxfId="32" priority="38" operator="equal">
      <formula>2</formula>
    </cfRule>
    <cfRule type="cellIs" dxfId="31" priority="41" operator="equal">
      <formula>8</formula>
    </cfRule>
  </conditionalFormatting>
  <conditionalFormatting sqref="F59">
    <cfRule type="cellIs" dxfId="30" priority="40" operator="equal">
      <formula>6</formula>
    </cfRule>
  </conditionalFormatting>
  <conditionalFormatting sqref="F62">
    <cfRule type="cellIs" dxfId="29" priority="36" operator="equal">
      <formula>10</formula>
    </cfRule>
  </conditionalFormatting>
  <conditionalFormatting sqref="F62">
    <cfRule type="cellIs" dxfId="28" priority="31" operator="equal">
      <formula>0</formula>
    </cfRule>
    <cfRule type="cellIs" dxfId="27" priority="33" operator="equal">
      <formula>4</formula>
    </cfRule>
  </conditionalFormatting>
  <conditionalFormatting sqref="F62">
    <cfRule type="cellIs" dxfId="26" priority="32" operator="equal">
      <formula>2</formula>
    </cfRule>
    <cfRule type="cellIs" dxfId="25" priority="35" operator="equal">
      <formula>8</formula>
    </cfRule>
  </conditionalFormatting>
  <conditionalFormatting sqref="F62">
    <cfRule type="cellIs" dxfId="24" priority="34" operator="equal">
      <formula>6</formula>
    </cfRule>
  </conditionalFormatting>
  <conditionalFormatting sqref="F23">
    <cfRule type="cellIs" dxfId="23" priority="24" operator="equal">
      <formula>10</formula>
    </cfRule>
  </conditionalFormatting>
  <conditionalFormatting sqref="F23">
    <cfRule type="cellIs" dxfId="22" priority="19" operator="equal">
      <formula>0</formula>
    </cfRule>
    <cfRule type="cellIs" dxfId="21" priority="21" operator="equal">
      <formula>4</formula>
    </cfRule>
  </conditionalFormatting>
  <conditionalFormatting sqref="F23">
    <cfRule type="cellIs" dxfId="20" priority="20" operator="equal">
      <formula>2</formula>
    </cfRule>
    <cfRule type="cellIs" dxfId="19" priority="23" operator="equal">
      <formula>8</formula>
    </cfRule>
  </conditionalFormatting>
  <conditionalFormatting sqref="F23">
    <cfRule type="cellIs" dxfId="18" priority="22" operator="equal">
      <formula>6</formula>
    </cfRule>
  </conditionalFormatting>
  <conditionalFormatting sqref="F26">
    <cfRule type="cellIs" dxfId="17" priority="6" operator="equal">
      <formula>10</formula>
    </cfRule>
  </conditionalFormatting>
  <conditionalFormatting sqref="F26">
    <cfRule type="cellIs" dxfId="16" priority="1" operator="equal">
      <formula>0</formula>
    </cfRule>
    <cfRule type="cellIs" dxfId="15" priority="3" operator="equal">
      <formula>4</formula>
    </cfRule>
  </conditionalFormatting>
  <conditionalFormatting sqref="F26">
    <cfRule type="cellIs" dxfId="14" priority="2" operator="equal">
      <formula>2</formula>
    </cfRule>
    <cfRule type="cellIs" dxfId="13" priority="5" operator="equal">
      <formula>8</formula>
    </cfRule>
  </conditionalFormatting>
  <conditionalFormatting sqref="F26">
    <cfRule type="cellIs" dxfId="12" priority="4" operator="equal">
      <formula>6</formula>
    </cfRule>
  </conditionalFormatting>
  <dataValidations count="1">
    <dataValidation type="list" allowBlank="1" showInputMessage="1" showErrorMessage="1" sqref="F7 F10 F13 F16 F19 F31 F34 F37 F40 F43 F46 F49 F52 F55 F58 F61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4" display="▶️" xr:uid="{B767295B-A76A-4C3A-BCFD-A5BAD44B756B}"/>
    <hyperlink ref="G43" location="Anmerkungen!F67" display="▶️" xr:uid="{FE82B65B-DC2B-4618-A429-13BD39682CCC}"/>
    <hyperlink ref="G46" location="Anmerkungen!F68" display="▶️" xr:uid="{DF72575C-EADC-4862-A32F-951FB7B65911}"/>
    <hyperlink ref="G49" location="Anmerkungen!F69" display="▶️" xr:uid="{045220D2-5E72-4256-AB1C-A09B426D7BC8}"/>
    <hyperlink ref="G52" location="Anmerkungen!F70" display="▶️" xr:uid="{42F603FD-CAF2-4B5E-A1D1-1462C4534C41}"/>
    <hyperlink ref="G55" location="Anmerkungen!F71" display="▶️" xr:uid="{8FD81E21-C18C-4D9F-BBE8-154A6B3A24AA}"/>
    <hyperlink ref="G58" location="Anmerkungen!F72" display="▶️" xr:uid="{1962039F-7E6C-4E70-89E8-AE5399DB43EA}"/>
    <hyperlink ref="G62" location="Anmerkungen!F74" display="▶️" xr:uid="{65926FB8-AAEB-4B22-A3DA-C9C0F0579216}"/>
    <hyperlink ref="G8:G9" location="Remarks!G47" display="▶️" xr:uid="{7815D16B-95B3-4BB5-ACF8-435666465D6B}"/>
    <hyperlink ref="G10:G12" location="Remarks!G48" display="▶️" xr:uid="{FB75B6F7-1765-427A-AB12-9C5475E14DF8}"/>
    <hyperlink ref="G40:G42" location="Remarks!G59" display="▶️" xr:uid="{EF7894BB-DE24-4EA6-BBFB-CA602085F21E}"/>
    <hyperlink ref="G13:G15" location="Remarks!G49" display="▶️" xr:uid="{641DAB68-56F9-41C8-BD90-2AE7F9146A6F}"/>
    <hyperlink ref="G16:G18" location="Remarks!G50" display="▶️" xr:uid="{1ECF89D4-F7F4-4D7D-A0B7-4EBF53DD20BB}"/>
    <hyperlink ref="G19:G21" location="Remarks!G51" display="▶️" xr:uid="{4A272D12-3458-405B-9CC5-C766E427AF0E}"/>
    <hyperlink ref="G31:G33" location="Remarks!G56" display="▶️" xr:uid="{17BAE25F-0C92-464F-A7F2-0631C70D641A}"/>
    <hyperlink ref="G34:G36" location="Remarks!G57" display="▶️" xr:uid="{C78F601F-B685-40A8-B835-1A872B696E22}"/>
    <hyperlink ref="G37:G39" location="Remarks!G58" display="▶️" xr:uid="{33A22A8E-59A2-4410-897B-CB61F24C9655}"/>
    <hyperlink ref="G49:G51" location="Remarks!G62" display="▶️" xr:uid="{D49DD7A0-7E0B-4CA2-B24D-9345E1A22D9E}"/>
    <hyperlink ref="G43:G45" location="Remarks!G60" display="▶️" xr:uid="{44A36441-FACD-4AB4-9B37-2B289C53DBFA}"/>
    <hyperlink ref="G46:G48" location="Remarks!G61" display="▶️" xr:uid="{C67F9AE7-DA3A-4FCF-9E82-23E7492638B5}"/>
    <hyperlink ref="G52:G54" location="Remarks!G63" display="▶️" xr:uid="{31211589-BA71-4905-9F34-A78A3E49E11A}"/>
    <hyperlink ref="G55:G57" location="Remarks!G64" display="▶️" xr:uid="{88C53151-E46F-424D-A75C-A7CE11EF9A2E}"/>
    <hyperlink ref="G58:G60" location="Remarks!G65" display="▶️" xr:uid="{5BF9B776-0896-413B-9E53-57501F0E14E9}"/>
    <hyperlink ref="G62:G63" location="Remarks!G66" display="▶️" xr:uid="{F764732A-399C-4D55-AD86-264D4B4F685D}"/>
    <hyperlink ref="G23" location="Remarks!G53" display="▶️" xr:uid="{97B949F9-6E16-47FE-A920-DA162177A785}"/>
    <hyperlink ref="G26" location="Remarks!G53" display="▶️" xr:uid="{6DD9EE8F-1898-472A-9423-CEB444EEB10B}"/>
    <hyperlink ref="G29" location="Anmerkungen!G54" display="Anmerkungen!G54" xr:uid="{C5C3B90F-D5F4-44F2-BDFA-752AC4B3D9B9}"/>
    <hyperlink ref="G29:G30" location="Remarks!G55" display="▶️" xr:uid="{B1628E3D-A570-46DB-827B-3A17FAE6DB92}"/>
    <hyperlink ref="G26:G27" location="Remarks!G54" display="▶️" xr:uid="{63A20713-E86C-4DEF-AC5E-C748189545DD}"/>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3" manualBreakCount="3">
    <brk id="30" max="6" man="1"/>
    <brk id="42" max="6" man="1"/>
    <brk id="57" max="6"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topLeftCell="A11" zoomScaleNormal="100" workbookViewId="0">
      <selection activeCell="E14" sqref="E14:E15"/>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68" t="s">
        <v>621</v>
      </c>
      <c r="B1" s="569"/>
      <c r="C1" s="569"/>
      <c r="D1" s="569"/>
      <c r="E1" s="569"/>
      <c r="F1" s="569"/>
      <c r="G1" s="570"/>
      <c r="H1" s="100"/>
    </row>
    <row r="2" spans="1:8" ht="15" customHeight="1">
      <c r="A2" s="571"/>
      <c r="B2" s="572"/>
      <c r="C2" s="572"/>
      <c r="D2" s="572"/>
      <c r="E2" s="572"/>
      <c r="F2" s="572"/>
      <c r="G2" s="573"/>
      <c r="H2" s="100"/>
    </row>
    <row r="3" spans="1:8" ht="15.75" customHeight="1">
      <c r="A3" s="576" t="s">
        <v>417</v>
      </c>
      <c r="B3" s="577" t="s">
        <v>490</v>
      </c>
      <c r="C3" s="97"/>
      <c r="D3" s="595" t="s">
        <v>694</v>
      </c>
      <c r="E3" s="595" t="s">
        <v>491</v>
      </c>
      <c r="F3" s="596" t="s">
        <v>492</v>
      </c>
      <c r="G3" s="557" t="s">
        <v>493</v>
      </c>
      <c r="H3" s="100"/>
    </row>
    <row r="4" spans="1:8" ht="33.75" customHeight="1">
      <c r="A4" s="576"/>
      <c r="B4" s="555"/>
      <c r="C4" s="97"/>
      <c r="D4" s="578"/>
      <c r="E4" s="578"/>
      <c r="F4" s="579"/>
      <c r="G4" s="557"/>
      <c r="H4" s="100"/>
    </row>
    <row r="5" spans="1:8" ht="0.75" customHeight="1">
      <c r="A5" s="576"/>
      <c r="B5" s="555"/>
      <c r="C5" s="97"/>
      <c r="D5" s="578"/>
      <c r="E5" s="578"/>
      <c r="F5" s="579"/>
      <c r="G5" s="557"/>
      <c r="H5" s="100"/>
    </row>
    <row r="6" spans="1:8" ht="12.75" customHeight="1">
      <c r="A6" s="576"/>
      <c r="B6" s="555"/>
      <c r="C6" s="186"/>
      <c r="D6" s="623"/>
      <c r="E6" s="623"/>
      <c r="F6" s="597"/>
      <c r="G6" s="557"/>
      <c r="H6" s="100"/>
    </row>
    <row r="7" spans="1:8" ht="26.5" customHeight="1">
      <c r="A7" s="558" t="s">
        <v>478</v>
      </c>
      <c r="B7" s="582" t="s">
        <v>423</v>
      </c>
      <c r="C7" s="153"/>
      <c r="D7" s="542" t="s">
        <v>559</v>
      </c>
      <c r="E7" s="587"/>
      <c r="F7" s="166" t="s">
        <v>109</v>
      </c>
      <c r="G7" s="107"/>
      <c r="H7" s="100"/>
    </row>
    <row r="8" spans="1:8" ht="197" customHeight="1">
      <c r="A8" s="559"/>
      <c r="B8" s="563"/>
      <c r="C8" s="168"/>
      <c r="D8" s="575" t="s">
        <v>713</v>
      </c>
      <c r="E8" s="586" t="s">
        <v>801</v>
      </c>
      <c r="F8" s="599" t="str">
        <f>_xlfn.XLOOKUP(F7,BewertungsListe,Source!$C$60:$C$65)</f>
        <v>n.e.</v>
      </c>
      <c r="G8" s="517" t="s">
        <v>495</v>
      </c>
      <c r="H8" s="100"/>
    </row>
    <row r="9" spans="1:8" ht="17" customHeight="1">
      <c r="A9" s="611"/>
      <c r="B9" s="589"/>
      <c r="C9" s="169"/>
      <c r="D9" s="584"/>
      <c r="E9" s="590"/>
      <c r="F9" s="600"/>
      <c r="G9" s="517"/>
      <c r="H9" s="100"/>
    </row>
    <row r="10" spans="1:8" ht="41" customHeight="1">
      <c r="A10" s="580" t="s">
        <v>479</v>
      </c>
      <c r="B10" s="560" t="s">
        <v>423</v>
      </c>
      <c r="C10" s="172"/>
      <c r="D10" s="542" t="s">
        <v>714</v>
      </c>
      <c r="E10" s="587"/>
      <c r="F10" s="180" t="s">
        <v>109</v>
      </c>
      <c r="G10" s="107"/>
      <c r="H10" s="100"/>
    </row>
    <row r="11" spans="1:8" ht="256.5" customHeight="1">
      <c r="A11" s="581"/>
      <c r="B11" s="536"/>
      <c r="C11" s="159"/>
      <c r="D11" s="583" t="s">
        <v>802</v>
      </c>
      <c r="E11" s="585" t="s">
        <v>803</v>
      </c>
      <c r="F11" s="630" t="str">
        <f>_xlfn.XLOOKUP(F10,BewertungsListe,Source!$C$60:$C$65)</f>
        <v>n.e.</v>
      </c>
      <c r="G11" s="517" t="s">
        <v>495</v>
      </c>
      <c r="H11" s="100"/>
    </row>
    <row r="12" spans="1:8" ht="17" customHeight="1">
      <c r="A12" s="588"/>
      <c r="B12" s="598"/>
      <c r="C12" s="169"/>
      <c r="D12" s="584"/>
      <c r="E12" s="590"/>
      <c r="F12" s="600"/>
      <c r="G12" s="517"/>
      <c r="H12" s="100"/>
    </row>
    <row r="13" spans="1:8" ht="28.25" customHeight="1">
      <c r="A13" s="628" t="s">
        <v>480</v>
      </c>
      <c r="B13" s="629"/>
      <c r="C13" s="153"/>
      <c r="D13" s="542" t="s">
        <v>481</v>
      </c>
      <c r="E13" s="587"/>
      <c r="F13" s="166" t="s">
        <v>109</v>
      </c>
      <c r="G13" s="99"/>
      <c r="H13" s="100"/>
    </row>
    <row r="14" spans="1:8" ht="114.75" customHeight="1">
      <c r="A14" s="628"/>
      <c r="B14" s="629"/>
      <c r="C14" s="196"/>
      <c r="D14" s="606" t="s">
        <v>560</v>
      </c>
      <c r="E14" s="627" t="s">
        <v>561</v>
      </c>
      <c r="F14" s="599" t="str">
        <f>_xlfn.XLOOKUP(F13,BewertungsListe,Source!$C$60:$C$65)</f>
        <v>n.e.</v>
      </c>
      <c r="G14" s="517" t="s">
        <v>495</v>
      </c>
      <c r="H14" s="100"/>
    </row>
    <row r="15" spans="1:8" ht="17" customHeight="1">
      <c r="A15" s="628"/>
      <c r="B15" s="629"/>
      <c r="C15" s="196"/>
      <c r="D15" s="606"/>
      <c r="E15" s="605"/>
      <c r="F15" s="599"/>
      <c r="G15" s="517"/>
      <c r="H15" s="100"/>
    </row>
    <row r="16" spans="1:8" ht="26" customHeight="1">
      <c r="A16" s="558" t="s">
        <v>482</v>
      </c>
      <c r="B16" s="560" t="s">
        <v>423</v>
      </c>
      <c r="C16" s="183"/>
      <c r="D16" s="542" t="s">
        <v>804</v>
      </c>
      <c r="E16" s="587"/>
      <c r="F16" s="166" t="s">
        <v>109</v>
      </c>
      <c r="G16" s="107"/>
      <c r="H16" s="100"/>
    </row>
    <row r="17" spans="1:8" ht="155.25" customHeight="1">
      <c r="A17" s="559"/>
      <c r="B17" s="536"/>
      <c r="C17" s="140"/>
      <c r="D17" s="575" t="s">
        <v>805</v>
      </c>
      <c r="E17" s="586" t="s">
        <v>715</v>
      </c>
      <c r="F17" s="599" t="str">
        <f>_xlfn.XLOOKUP(F16,BewertungsListe,Source!$C$60:$C$65)</f>
        <v>n.e.</v>
      </c>
      <c r="G17" s="517" t="s">
        <v>495</v>
      </c>
      <c r="H17" s="100"/>
    </row>
    <row r="18" spans="1:8" ht="17" customHeight="1">
      <c r="A18" s="611"/>
      <c r="B18" s="598"/>
      <c r="C18" s="150"/>
      <c r="D18" s="584"/>
      <c r="E18" s="590"/>
      <c r="F18" s="600"/>
      <c r="G18" s="517"/>
      <c r="H18" s="100"/>
    </row>
    <row r="19" spans="1:8" ht="26">
      <c r="A19" s="109"/>
      <c r="B19" s="110"/>
      <c r="C19" s="174"/>
      <c r="D19" s="111" cm="1">
        <f t="array" ref="D19">SUMPRODUCT((MOD(ROW(F8:F18),3)=2)*(F8:F18&lt;&gt;"n.e."))</f>
        <v>0</v>
      </c>
      <c r="E19" s="117" t="s">
        <v>562</v>
      </c>
      <c r="F19" s="118" t="str">
        <f>IF(D19=0,"n.e.",ROUND(SUMIF(F7:F18,"&gt;=0")/(D19*10),2))</f>
        <v>n.e.</v>
      </c>
      <c r="G19" s="114"/>
      <c r="H19" s="100"/>
    </row>
    <row r="20" spans="1:8">
      <c r="A20" s="102"/>
      <c r="B20" s="98"/>
      <c r="C20" s="98"/>
      <c r="D20" s="96"/>
      <c r="E20" s="98"/>
      <c r="F20" s="98"/>
      <c r="G20" s="98"/>
    </row>
    <row r="21" spans="1:8">
      <c r="A21" s="100"/>
    </row>
    <row r="22" spans="1:8" ht="25.5" customHeight="1">
      <c r="A22" s="100"/>
    </row>
    <row r="23" spans="1:8" ht="144" customHeight="1">
      <c r="A23" s="100"/>
    </row>
    <row r="24" spans="1:8">
      <c r="A24" s="100"/>
    </row>
    <row r="25" spans="1:8" ht="25.5" customHeight="1">
      <c r="A25" s="100"/>
    </row>
    <row r="26" spans="1:8">
      <c r="A26" s="100"/>
    </row>
    <row r="27" spans="1:8">
      <c r="A27" s="100"/>
    </row>
    <row r="28" spans="1:8" ht="25.5" customHeight="1">
      <c r="A28" s="100"/>
    </row>
    <row r="29" spans="1:8">
      <c r="A29" s="100"/>
    </row>
    <row r="30" spans="1:8">
      <c r="A30" s="100"/>
    </row>
    <row r="31" spans="1:8" ht="25.5" customHeight="1">
      <c r="A31" s="100"/>
    </row>
    <row r="32" spans="1:8">
      <c r="A32" s="100"/>
    </row>
    <row r="33" spans="1:4">
      <c r="A33" s="100"/>
    </row>
    <row r="34" spans="1:4">
      <c r="A34" s="101"/>
    </row>
    <row r="35" spans="1:4">
      <c r="A35" s="100"/>
      <c r="D35" s="6"/>
    </row>
    <row r="36" spans="1:4">
      <c r="A36" s="100"/>
    </row>
    <row r="37" spans="1:4">
      <c r="A37" s="101"/>
    </row>
    <row r="38" spans="1:4">
      <c r="A38" s="101"/>
    </row>
    <row r="39" spans="1:4">
      <c r="A39" s="101"/>
    </row>
    <row r="40" spans="1:4">
      <c r="A40" s="101"/>
    </row>
    <row r="41" spans="1:4">
      <c r="A41" s="101"/>
    </row>
    <row r="42" spans="1:4">
      <c r="A42" s="101"/>
    </row>
    <row r="43" spans="1:4">
      <c r="A43" s="101"/>
    </row>
    <row r="44" spans="1:4">
      <c r="A44" s="101"/>
    </row>
    <row r="45" spans="1:4">
      <c r="A45" s="101"/>
    </row>
    <row r="46" spans="1:4">
      <c r="A46" s="101"/>
    </row>
    <row r="47" spans="1:4">
      <c r="A47" s="101"/>
    </row>
    <row r="48" spans="1:4">
      <c r="A48" s="101"/>
    </row>
    <row r="49" spans="1:1">
      <c r="A49" s="101"/>
    </row>
    <row r="50" spans="1:1">
      <c r="A50" s="101"/>
    </row>
    <row r="51" spans="1:1">
      <c r="A51" s="101"/>
    </row>
    <row r="52" spans="1:1">
      <c r="A52" s="101"/>
    </row>
  </sheetData>
  <mergeCells count="35">
    <mergeCell ref="D13:E13"/>
    <mergeCell ref="D16:E16"/>
    <mergeCell ref="D11:D12"/>
    <mergeCell ref="E11:E12"/>
    <mergeCell ref="G3:G6"/>
    <mergeCell ref="D8:D9"/>
    <mergeCell ref="E8:E9"/>
    <mergeCell ref="F3:F6"/>
    <mergeCell ref="D7:E7"/>
    <mergeCell ref="D10:E10"/>
    <mergeCell ref="A1:G2"/>
    <mergeCell ref="A7:A9"/>
    <mergeCell ref="B7:B9"/>
    <mergeCell ref="A3:A6"/>
    <mergeCell ref="B3:B6"/>
    <mergeCell ref="D3:D6"/>
    <mergeCell ref="E3:E6"/>
    <mergeCell ref="F8:F9"/>
    <mergeCell ref="G8:G9"/>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s>
  <phoneticPr fontId="77" type="noConversion"/>
  <conditionalFormatting sqref="F8 F11 F17">
    <cfRule type="cellIs" dxfId="11" priority="36" operator="equal">
      <formula>10</formula>
    </cfRule>
  </conditionalFormatting>
  <conditionalFormatting sqref="F11 F17 F8">
    <cfRule type="cellIs" dxfId="10" priority="31" operator="equal">
      <formula>0</formula>
    </cfRule>
    <cfRule type="cellIs" dxfId="9" priority="33" operator="equal">
      <formula>4</formula>
    </cfRule>
  </conditionalFormatting>
  <conditionalFormatting sqref="F11 F17 F8">
    <cfRule type="cellIs" dxfId="8" priority="32" operator="equal">
      <formula>2</formula>
    </cfRule>
    <cfRule type="cellIs" dxfId="7" priority="35" operator="equal">
      <formula>8</formula>
    </cfRule>
  </conditionalFormatting>
  <conditionalFormatting sqref="F11 F17 F8">
    <cfRule type="cellIs" dxfId="6" priority="34" operator="equal">
      <formula>6</formula>
    </cfRule>
  </conditionalFormatting>
  <conditionalFormatting sqref="F14">
    <cfRule type="cellIs" dxfId="5" priority="6" operator="equal">
      <formula>10</formula>
    </cfRule>
  </conditionalFormatting>
  <conditionalFormatting sqref="F14">
    <cfRule type="cellIs" dxfId="4" priority="1" operator="equal">
      <formula>0</formula>
    </cfRule>
    <cfRule type="cellIs" dxfId="3" priority="3" operator="equal">
      <formula>4</formula>
    </cfRule>
  </conditionalFormatting>
  <conditionalFormatting sqref="F14">
    <cfRule type="cellIs" dxfId="2" priority="2" operator="equal">
      <formula>2</formula>
    </cfRule>
    <cfRule type="cellIs" dxfId="1" priority="5" operator="equal">
      <formula>8</formula>
    </cfRule>
  </conditionalFormatting>
  <conditionalFormatting sqref="F14">
    <cfRule type="cellIs" dxfId="0"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68" display="▶️" xr:uid="{FF485BAF-525E-4777-B043-9DA3859D7016}"/>
    <hyperlink ref="G14" location="Remarks!F77" display="▶️" xr:uid="{F94FA358-1868-45AB-AEC8-563EF7689C67}"/>
    <hyperlink ref="G11:G12" location="Remarks!G69" display="▶️" xr:uid="{E0DEAEC4-2DB2-4ACA-B51E-C52BA9D99EC6}"/>
    <hyperlink ref="G14:G15" location="Remarks!G70" display="▶️" xr:uid="{6B4D654D-6C40-4528-9770-0AE905809A37}"/>
    <hyperlink ref="G17:G18" location="Remarks!G71" display="▶️" xr:uid="{4B7930BF-F173-4A18-AD2D-A4B67E4C080A}"/>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BB33B-B722-4690-82BA-04A42766AED5}">
  <sheetPr codeName="Sheet1">
    <pageSetUpPr fitToPage="1"/>
  </sheetPr>
  <dimension ref="B1:V9"/>
  <sheetViews>
    <sheetView zoomScale="70" zoomScaleNormal="70" zoomScaleSheetLayoutView="40" zoomScalePageLayoutView="55" workbookViewId="0">
      <selection activeCell="O5" sqref="O5"/>
    </sheetView>
  </sheetViews>
  <sheetFormatPr baseColWidth="10" defaultColWidth="11" defaultRowHeight="27" customHeight="1"/>
  <cols>
    <col min="1" max="1" width="3.83203125" style="299" customWidth="1"/>
    <col min="2" max="2" width="48.1640625" style="299" bestFit="1" customWidth="1"/>
    <col min="3" max="3" width="12.1640625" style="299" customWidth="1"/>
    <col min="4" max="4" width="12.1640625" style="315" customWidth="1"/>
    <col min="5" max="6" width="12.1640625" style="299" customWidth="1"/>
    <col min="7" max="7" width="12.1640625" style="289" customWidth="1"/>
    <col min="8" max="11" width="12.1640625" style="298" customWidth="1"/>
    <col min="12" max="12" width="3.5" style="298" customWidth="1"/>
    <col min="13" max="13" width="1" style="298" customWidth="1"/>
    <col min="14" max="21" width="11" style="298"/>
    <col min="22" max="22" width="5.33203125" style="298" customWidth="1"/>
    <col min="23" max="16384" width="11" style="299"/>
  </cols>
  <sheetData>
    <row r="1" spans="2:22" s="288" customFormat="1" ht="27" customHeight="1" thickBot="1">
      <c r="D1" s="310"/>
      <c r="G1" s="289"/>
      <c r="H1" s="290"/>
      <c r="I1" s="290"/>
      <c r="J1" s="290"/>
      <c r="K1" s="290"/>
      <c r="L1" s="290"/>
      <c r="M1" s="290"/>
      <c r="N1" s="290"/>
      <c r="O1" s="290"/>
      <c r="P1" s="290"/>
      <c r="Q1" s="290"/>
      <c r="R1" s="290"/>
      <c r="S1" s="290"/>
      <c r="T1" s="290"/>
      <c r="U1" s="290"/>
      <c r="V1" s="290"/>
    </row>
    <row r="2" spans="2:22" s="288" customFormat="1" ht="27" customHeight="1" thickBot="1">
      <c r="B2" s="291" t="str">
        <f>IF(SUMIF(D3:D9,"0",C3:C9)&gt;0,"Warning - not all modules have been assessed!","")</f>
        <v/>
      </c>
      <c r="C2" s="292" t="s">
        <v>1089</v>
      </c>
      <c r="D2" s="293" t="s">
        <v>1090</v>
      </c>
      <c r="E2" s="292" t="s">
        <v>1091</v>
      </c>
      <c r="F2" s="294" t="s">
        <v>1092</v>
      </c>
      <c r="G2" s="289"/>
      <c r="H2" s="290"/>
      <c r="I2" s="290"/>
      <c r="J2" s="290"/>
      <c r="K2" s="290"/>
      <c r="L2" s="290"/>
      <c r="M2" s="290"/>
      <c r="N2" s="290"/>
      <c r="O2" s="290"/>
      <c r="P2" s="290"/>
      <c r="Q2" s="290"/>
      <c r="R2" s="290"/>
      <c r="S2" s="290"/>
      <c r="T2" s="290"/>
      <c r="U2" s="290"/>
      <c r="V2" s="290"/>
    </row>
    <row r="3" spans="2:22" ht="35" customHeight="1">
      <c r="B3" s="295" t="s">
        <v>1093</v>
      </c>
      <c r="C3" s="296">
        <v>0.19047619047619047</v>
      </c>
      <c r="D3" s="311" t="str">
        <f>Evaluationsheet!G4</f>
        <v>n.e.</v>
      </c>
      <c r="E3" s="296">
        <v>0.7</v>
      </c>
      <c r="F3" s="297">
        <v>0.8</v>
      </c>
    </row>
    <row r="4" spans="2:22" ht="35" customHeight="1">
      <c r="B4" s="300" t="s">
        <v>1094</v>
      </c>
      <c r="C4" s="301">
        <v>0.10158730158730159</v>
      </c>
      <c r="D4" s="312" t="str">
        <f>Evaluationsheet!G14</f>
        <v>n.e.</v>
      </c>
      <c r="E4" s="301">
        <v>0.7</v>
      </c>
      <c r="F4" s="302">
        <v>0.8</v>
      </c>
    </row>
    <row r="5" spans="2:22" ht="35" customHeight="1">
      <c r="B5" s="300" t="s">
        <v>1095</v>
      </c>
      <c r="C5" s="301">
        <v>0.14603174603174604</v>
      </c>
      <c r="D5" s="312" t="str">
        <f>Evaluationsheet!G21</f>
        <v>n.e.</v>
      </c>
      <c r="E5" s="301">
        <v>0.7</v>
      </c>
      <c r="F5" s="302">
        <v>0.8</v>
      </c>
    </row>
    <row r="6" spans="2:22" ht="35" customHeight="1">
      <c r="B6" s="303" t="s">
        <v>1096</v>
      </c>
      <c r="C6" s="304">
        <v>0.15555555555555556</v>
      </c>
      <c r="D6" s="313" t="str">
        <f>Evaluationsheet!G29</f>
        <v>n.e.</v>
      </c>
      <c r="E6" s="304">
        <v>0.7</v>
      </c>
      <c r="F6" s="305">
        <v>0.8</v>
      </c>
    </row>
    <row r="7" spans="2:22" ht="35" customHeight="1">
      <c r="B7" s="306" t="s">
        <v>1097</v>
      </c>
      <c r="C7" s="304">
        <v>4.7619047619047616E-2</v>
      </c>
      <c r="D7" s="313" t="str">
        <f>Evaluationsheet!G39</f>
        <v>n.e.</v>
      </c>
      <c r="E7" s="304">
        <v>0.7</v>
      </c>
      <c r="F7" s="305">
        <v>0.8</v>
      </c>
    </row>
    <row r="8" spans="2:22" ht="35" customHeight="1">
      <c r="B8" s="300" t="s">
        <v>1098</v>
      </c>
      <c r="C8" s="301">
        <v>0.29841269841269841</v>
      </c>
      <c r="D8" s="312" t="str">
        <f>Evaluationsheet!G46</f>
        <v>n.e.</v>
      </c>
      <c r="E8" s="301">
        <v>0.7</v>
      </c>
      <c r="F8" s="302">
        <v>0.8</v>
      </c>
    </row>
    <row r="9" spans="2:22" ht="35" customHeight="1" thickBot="1">
      <c r="B9" s="307" t="s">
        <v>1099</v>
      </c>
      <c r="C9" s="308">
        <v>6.0317460317460318E-2</v>
      </c>
      <c r="D9" s="314" t="str">
        <f>Evaluationsheet!G67</f>
        <v>n.e.</v>
      </c>
      <c r="E9" s="308">
        <v>0.7</v>
      </c>
      <c r="F9" s="309">
        <v>0.8</v>
      </c>
    </row>
  </sheetData>
  <phoneticPr fontId="77" type="noConversion"/>
  <pageMargins left="0.23622047244094491" right="0.23622047244094491" top="0.74803149606299213" bottom="0.74803149606299213" header="0.31496062992125984" footer="0.31496062992125984"/>
  <pageSetup paperSize="9" scale="72" fitToHeight="0" orientation="landscape" r:id="rId1"/>
  <headerFooter>
    <oddHeader>&amp;L&amp;"Calibri"&amp;10&amp;K000000 INTERNAL&amp;1#_x000D_&amp;R&amp;G</oddHeader>
    <oddFooter>&amp;L_x000D_&amp;1#&amp;"Calibri"&amp;10&amp;K000000 Internal</oddFoot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K46"/>
  <sheetViews>
    <sheetView topLeftCell="A4" zoomScaleNormal="100" workbookViewId="0">
      <selection activeCell="M20" sqref="M20"/>
    </sheetView>
  </sheetViews>
  <sheetFormatPr baseColWidth="10" defaultColWidth="11.5" defaultRowHeight="16"/>
  <cols>
    <col min="1" max="1" width="1.83203125" style="42" customWidth="1"/>
    <col min="2" max="2" width="3.83203125" style="42" customWidth="1"/>
    <col min="3" max="3" width="9.5" style="42" customWidth="1"/>
    <col min="4" max="4" width="68.33203125" style="42" customWidth="1"/>
    <col min="5" max="5" width="38" style="42" customWidth="1"/>
    <col min="6" max="6" width="12.33203125" style="42" customWidth="1"/>
    <col min="7" max="7" width="8" style="42" customWidth="1"/>
    <col min="8" max="8" width="5.5" style="42" customWidth="1"/>
    <col min="9" max="9" width="13.83203125" style="42" customWidth="1"/>
    <col min="10" max="10" width="2" style="42" customWidth="1"/>
    <col min="11" max="11" width="11.5" style="42"/>
    <col min="12" max="12" width="12" style="42" customWidth="1"/>
    <col min="13" max="16384" width="11.5" style="42"/>
  </cols>
  <sheetData>
    <row r="1" spans="1:11" ht="57.75" customHeight="1" thickBot="1">
      <c r="A1" s="632" t="s">
        <v>697</v>
      </c>
      <c r="B1" s="633"/>
      <c r="C1" s="633"/>
      <c r="D1" s="633"/>
      <c r="E1" s="633"/>
      <c r="F1" s="633"/>
      <c r="G1" s="633"/>
      <c r="H1" s="633"/>
      <c r="I1" s="633"/>
      <c r="J1" s="634"/>
    </row>
    <row r="2" spans="1:11" ht="26" thickBot="1">
      <c r="A2" s="53"/>
      <c r="B2" s="54"/>
      <c r="C2" s="54" t="str">
        <f>CONCATENATE(Datasheet!C8," of ",TEXT(Datasheet!C6,"dd. MM yyyy"))</f>
        <v>Supply Chain Audit of 01. 01 2026</v>
      </c>
      <c r="D2" s="54"/>
      <c r="E2" s="54"/>
      <c r="F2" s="54"/>
      <c r="G2" s="54"/>
      <c r="H2" s="54"/>
      <c r="I2" s="54"/>
      <c r="J2" s="55"/>
      <c r="K2" s="136"/>
    </row>
    <row r="3" spans="1:11">
      <c r="A3" s="56"/>
      <c r="B3" s="57"/>
      <c r="C3" s="57"/>
      <c r="D3" s="58"/>
      <c r="E3" s="59"/>
      <c r="F3" s="58"/>
      <c r="G3" s="58"/>
      <c r="H3" s="58"/>
      <c r="I3" s="58"/>
      <c r="J3" s="60"/>
      <c r="K3" s="136"/>
    </row>
    <row r="4" spans="1:11">
      <c r="A4" s="61"/>
      <c r="B4" s="62" t="s">
        <v>417</v>
      </c>
      <c r="C4" s="62" t="s">
        <v>564</v>
      </c>
      <c r="D4" s="62" t="s">
        <v>624</v>
      </c>
      <c r="E4" s="62" t="s">
        <v>625</v>
      </c>
      <c r="F4" s="62" t="s">
        <v>626</v>
      </c>
      <c r="G4" s="62" t="s">
        <v>627</v>
      </c>
      <c r="H4" s="62" t="s">
        <v>628</v>
      </c>
      <c r="I4" s="62" t="s">
        <v>629</v>
      </c>
      <c r="J4" s="63"/>
      <c r="K4" s="136"/>
    </row>
    <row r="5" spans="1:11" ht="45.75" customHeight="1">
      <c r="A5" s="64"/>
      <c r="B5" s="65"/>
      <c r="C5" s="65" t="s">
        <v>969</v>
      </c>
      <c r="D5" s="65" t="s">
        <v>630</v>
      </c>
      <c r="E5" s="65" t="s">
        <v>631</v>
      </c>
      <c r="F5" s="65" t="s">
        <v>632</v>
      </c>
      <c r="G5" s="65" t="s">
        <v>633</v>
      </c>
      <c r="H5" s="65"/>
      <c r="I5" s="65" t="s">
        <v>681</v>
      </c>
      <c r="J5" s="66"/>
      <c r="K5" s="136"/>
    </row>
    <row r="6" spans="1:11" ht="5.25" customHeight="1" thickBot="1">
      <c r="A6" s="67"/>
      <c r="B6" s="68"/>
      <c r="C6" s="68"/>
      <c r="D6" s="69"/>
      <c r="E6" s="68"/>
      <c r="F6" s="68"/>
      <c r="G6" s="68"/>
      <c r="H6" s="68"/>
      <c r="I6" s="68"/>
      <c r="J6" s="70"/>
      <c r="K6" s="136"/>
    </row>
    <row r="7" spans="1:11">
      <c r="A7" s="61"/>
      <c r="B7" s="71">
        <v>1</v>
      </c>
      <c r="C7" s="72"/>
      <c r="D7" s="199"/>
      <c r="E7" s="73"/>
      <c r="F7" s="74"/>
      <c r="G7" s="75"/>
      <c r="H7" s="74"/>
      <c r="I7" s="74"/>
      <c r="J7" s="63"/>
      <c r="K7" s="136"/>
    </row>
    <row r="8" spans="1:11">
      <c r="A8" s="61"/>
      <c r="B8" s="76">
        <v>2</v>
      </c>
      <c r="C8" s="77"/>
      <c r="D8" s="200"/>
      <c r="E8" s="79"/>
      <c r="F8" s="80"/>
      <c r="G8" s="81"/>
      <c r="H8" s="80"/>
      <c r="I8" s="80"/>
      <c r="J8" s="63"/>
      <c r="K8" s="136"/>
    </row>
    <row r="9" spans="1:11">
      <c r="A9" s="61"/>
      <c r="B9" s="76">
        <v>3</v>
      </c>
      <c r="C9" s="76"/>
      <c r="D9" s="200"/>
      <c r="E9" s="79"/>
      <c r="F9" s="80"/>
      <c r="G9" s="81"/>
      <c r="H9" s="80"/>
      <c r="I9" s="80"/>
      <c r="J9" s="63"/>
    </row>
    <row r="10" spans="1:11">
      <c r="A10" s="61"/>
      <c r="B10" s="76">
        <v>4</v>
      </c>
      <c r="C10" s="76"/>
      <c r="D10" s="200"/>
      <c r="E10" s="79"/>
      <c r="F10" s="80"/>
      <c r="G10" s="81"/>
      <c r="H10" s="80"/>
      <c r="I10" s="80"/>
      <c r="J10" s="63"/>
    </row>
    <row r="11" spans="1:11">
      <c r="A11" s="61"/>
      <c r="B11" s="76">
        <v>5</v>
      </c>
      <c r="C11" s="76"/>
      <c r="D11" s="200"/>
      <c r="E11" s="79"/>
      <c r="F11" s="80"/>
      <c r="G11" s="81"/>
      <c r="H11" s="80"/>
      <c r="I11" s="80"/>
      <c r="J11" s="63"/>
    </row>
    <row r="12" spans="1:11">
      <c r="A12" s="61"/>
      <c r="B12" s="76">
        <v>6</v>
      </c>
      <c r="C12" s="76"/>
      <c r="D12" s="200"/>
      <c r="E12" s="79"/>
      <c r="F12" s="80"/>
      <c r="G12" s="81"/>
      <c r="H12" s="80"/>
      <c r="I12" s="80"/>
      <c r="J12" s="63"/>
    </row>
    <row r="13" spans="1:11">
      <c r="A13" s="61"/>
      <c r="B13" s="76">
        <v>7</v>
      </c>
      <c r="C13" s="76"/>
      <c r="D13" s="78"/>
      <c r="E13" s="79"/>
      <c r="F13" s="80"/>
      <c r="G13" s="81"/>
      <c r="H13" s="80"/>
      <c r="I13" s="80"/>
      <c r="J13" s="63"/>
    </row>
    <row r="14" spans="1:11">
      <c r="A14" s="61"/>
      <c r="B14" s="76">
        <v>8</v>
      </c>
      <c r="C14" s="76"/>
      <c r="D14" s="78"/>
      <c r="E14" s="79"/>
      <c r="F14" s="80"/>
      <c r="G14" s="81"/>
      <c r="H14" s="80"/>
      <c r="I14" s="80"/>
      <c r="J14" s="63"/>
    </row>
    <row r="15" spans="1:11">
      <c r="A15" s="61"/>
      <c r="B15" s="76">
        <v>9</v>
      </c>
      <c r="C15" s="76"/>
      <c r="D15" s="78"/>
      <c r="E15" s="79"/>
      <c r="F15" s="80"/>
      <c r="G15" s="81"/>
      <c r="H15" s="80"/>
      <c r="I15" s="80"/>
      <c r="J15" s="63"/>
    </row>
    <row r="16" spans="1:11">
      <c r="A16" s="61"/>
      <c r="B16" s="76">
        <v>10</v>
      </c>
      <c r="C16" s="76"/>
      <c r="D16" s="78"/>
      <c r="E16" s="79"/>
      <c r="F16" s="80"/>
      <c r="G16" s="81"/>
      <c r="H16" s="80"/>
      <c r="I16" s="80"/>
      <c r="J16" s="63"/>
    </row>
    <row r="17" spans="1:10">
      <c r="A17" s="61"/>
      <c r="B17" s="76">
        <v>11</v>
      </c>
      <c r="C17" s="76"/>
      <c r="D17" s="78"/>
      <c r="E17" s="79"/>
      <c r="F17" s="80"/>
      <c r="G17" s="81"/>
      <c r="H17" s="80"/>
      <c r="I17" s="80"/>
      <c r="J17" s="63"/>
    </row>
    <row r="18" spans="1:10">
      <c r="A18" s="61"/>
      <c r="B18" s="76">
        <v>12</v>
      </c>
      <c r="C18" s="76"/>
      <c r="D18" s="78"/>
      <c r="E18" s="79"/>
      <c r="F18" s="80"/>
      <c r="G18" s="81"/>
      <c r="H18" s="80"/>
      <c r="I18" s="80"/>
      <c r="J18" s="63"/>
    </row>
    <row r="19" spans="1:10">
      <c r="A19" s="61"/>
      <c r="B19" s="76">
        <v>13</v>
      </c>
      <c r="C19" s="76"/>
      <c r="D19" s="78"/>
      <c r="E19" s="79"/>
      <c r="F19" s="80"/>
      <c r="G19" s="81"/>
      <c r="H19" s="80"/>
      <c r="I19" s="80"/>
      <c r="J19" s="63"/>
    </row>
    <row r="20" spans="1:10">
      <c r="A20" s="61"/>
      <c r="B20" s="76">
        <v>14</v>
      </c>
      <c r="C20" s="76"/>
      <c r="D20" s="78"/>
      <c r="E20" s="79"/>
      <c r="F20" s="80"/>
      <c r="G20" s="81"/>
      <c r="H20" s="80"/>
      <c r="I20" s="80"/>
      <c r="J20" s="63"/>
    </row>
    <row r="21" spans="1:10">
      <c r="A21" s="61"/>
      <c r="B21" s="76">
        <v>15</v>
      </c>
      <c r="C21" s="76"/>
      <c r="D21" s="78"/>
      <c r="E21" s="79"/>
      <c r="F21" s="80"/>
      <c r="G21" s="81"/>
      <c r="H21" s="80"/>
      <c r="I21" s="80"/>
      <c r="J21" s="63"/>
    </row>
    <row r="22" spans="1:10">
      <c r="A22" s="61"/>
      <c r="B22" s="76">
        <v>16</v>
      </c>
      <c r="C22" s="76"/>
      <c r="D22" s="78"/>
      <c r="E22" s="79"/>
      <c r="F22" s="80"/>
      <c r="G22" s="81"/>
      <c r="H22" s="80"/>
      <c r="I22" s="80"/>
      <c r="J22" s="63"/>
    </row>
    <row r="23" spans="1:10">
      <c r="A23" s="61"/>
      <c r="B23" s="76">
        <v>17</v>
      </c>
      <c r="C23" s="76"/>
      <c r="D23" s="78"/>
      <c r="E23" s="79"/>
      <c r="F23" s="80"/>
      <c r="G23" s="81"/>
      <c r="H23" s="80"/>
      <c r="I23" s="80"/>
      <c r="J23" s="63"/>
    </row>
    <row r="24" spans="1:10">
      <c r="A24" s="61"/>
      <c r="B24" s="76">
        <v>18</v>
      </c>
      <c r="C24" s="76"/>
      <c r="D24" s="78"/>
      <c r="E24" s="79"/>
      <c r="F24" s="80"/>
      <c r="G24" s="81"/>
      <c r="H24" s="80"/>
      <c r="I24" s="80"/>
      <c r="J24" s="63"/>
    </row>
    <row r="25" spans="1:10">
      <c r="A25" s="61"/>
      <c r="B25" s="76">
        <v>20</v>
      </c>
      <c r="C25" s="76"/>
      <c r="D25" s="78"/>
      <c r="E25" s="79"/>
      <c r="F25" s="80"/>
      <c r="G25" s="81"/>
      <c r="H25" s="80"/>
      <c r="I25" s="80"/>
      <c r="J25" s="63"/>
    </row>
    <row r="26" spans="1:10" ht="17" thickBot="1">
      <c r="A26" s="67"/>
      <c r="B26" s="82"/>
      <c r="C26" s="82"/>
      <c r="D26" s="82"/>
      <c r="E26" s="82"/>
      <c r="F26" s="82"/>
      <c r="G26" s="82"/>
      <c r="H26" s="82"/>
      <c r="I26" s="82"/>
      <c r="J26" s="83"/>
    </row>
    <row r="27" spans="1:10" ht="51" thickBot="1">
      <c r="A27" s="84"/>
      <c r="B27" s="631" t="s">
        <v>634</v>
      </c>
      <c r="C27" s="631"/>
      <c r="D27" s="631"/>
      <c r="E27" s="631"/>
      <c r="F27" s="631"/>
      <c r="G27" s="631"/>
      <c r="H27" s="631"/>
      <c r="I27" s="631"/>
      <c r="J27" s="85"/>
    </row>
    <row r="28" spans="1:10">
      <c r="A28" s="87"/>
    </row>
    <row r="29" spans="1:10">
      <c r="A29" s="87"/>
    </row>
    <row r="30" spans="1:10">
      <c r="A30" s="87"/>
    </row>
    <row r="31" spans="1:10">
      <c r="A31" s="87"/>
    </row>
    <row r="32" spans="1:10">
      <c r="A32" s="87"/>
    </row>
    <row r="33" spans="1:1">
      <c r="A33" s="87"/>
    </row>
    <row r="34" spans="1:1">
      <c r="A34" s="87"/>
    </row>
    <row r="35" spans="1:1">
      <c r="A35" s="87"/>
    </row>
    <row r="36" spans="1:1">
      <c r="A36" s="87"/>
    </row>
    <row r="37" spans="1:1">
      <c r="A37" s="87"/>
    </row>
    <row r="38" spans="1:1">
      <c r="A38" s="87"/>
    </row>
    <row r="39" spans="1:1">
      <c r="A39" s="87"/>
    </row>
    <row r="40" spans="1:1">
      <c r="A40" s="87"/>
    </row>
    <row r="41" spans="1:1">
      <c r="A41" s="87"/>
    </row>
    <row r="42" spans="1:1">
      <c r="A42" s="87"/>
    </row>
    <row r="43" spans="1:1">
      <c r="A43" s="87"/>
    </row>
    <row r="44" spans="1:1">
      <c r="A44" s="87"/>
    </row>
    <row r="45" spans="1:1">
      <c r="A45" s="87"/>
    </row>
    <row r="46" spans="1:1">
      <c r="A46" s="87"/>
    </row>
  </sheetData>
  <mergeCells count="2">
    <mergeCell ref="B27:I27"/>
    <mergeCell ref="A1:J1"/>
  </mergeCells>
  <phoneticPr fontId="77" type="noConversion"/>
  <pageMargins left="0.7" right="0.7" top="0.78740157499999996" bottom="0.78740157499999996" header="0.3" footer="0.3"/>
  <pageSetup paperSize="9" scale="66" fitToHeight="0" orientation="landscape"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reate_LOP_Fixed">
                <anchor moveWithCells="1" sizeWithCells="1">
                  <from>
                    <xdr:col>11</xdr:col>
                    <xdr:colOff>152400</xdr:colOff>
                    <xdr:row>3</xdr:row>
                    <xdr:rowOff>190500</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A6EB5A-6474-4DFF-BCCC-15F60B8BE32E}">
  <ds:schemaRefs>
    <ds:schemaRef ds:uri="36ba344b-9c59-4657-ae59-6253ca81451a"/>
    <ds:schemaRef ds:uri="http://purl.org/dc/terms/"/>
    <ds:schemaRef ds:uri="http://schemas.microsoft.com/office/2006/metadata/properties"/>
    <ds:schemaRef ds:uri="96e3e34f-99d5-4d01-86b6-9b152a586365"/>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2608E4BA-BD1B-4528-8497-D8D26C4DADF4}">
  <ds:schemaRefs>
    <ds:schemaRef ds:uri="http://schemas.microsoft.com/sharepoint/v3/contenttype/forms"/>
  </ds:schemaRefs>
</ds:datastoreItem>
</file>

<file path=customXml/itemProps3.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0ff92c5-92ff-43fe-a760-6a9303f9073d}" enabled="1" method="Standard" siteId="{1272ef7d-0a4c-4c35-8f4b-416e283c5d59}" contentBits="3" removed="0"/>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工作表</vt:lpstr>
      </vt:variant>
      <vt:variant>
        <vt:i4>14</vt:i4>
      </vt:variant>
      <vt:variant>
        <vt:lpstr>命名范围</vt:lpstr>
      </vt:variant>
      <vt:variant>
        <vt:i4>15</vt:i4>
      </vt:variant>
    </vt:vector>
  </HeadingPairs>
  <TitlesOfParts>
    <vt:vector size="29" baseType="lpstr">
      <vt:lpstr>Link list</vt:lpstr>
      <vt:lpstr>Datasheet</vt:lpstr>
      <vt:lpstr>Evaluationsheet</vt:lpstr>
      <vt:lpstr>Remarks</vt:lpstr>
      <vt:lpstr>Source</vt:lpstr>
      <vt:lpstr>L1 - Project management</vt:lpstr>
      <vt:lpstr>L2 - Planning</vt:lpstr>
      <vt:lpstr>L3 - Suppliermgt.</vt:lpstr>
      <vt:lpstr>L4 - Procurement logistics</vt:lpstr>
      <vt:lpstr>L5 - Transport logistics</vt:lpstr>
      <vt:lpstr>L6 -  In-house logistics</vt:lpstr>
      <vt:lpstr>L7 - Customer management</vt:lpstr>
      <vt:lpstr>Radar chart</vt:lpstr>
      <vt:lpstr>LOP</vt:lpstr>
      <vt:lpstr>BewertungsListe</vt:lpstr>
      <vt:lpstr>Datasheet!Print_Area</vt:lpstr>
      <vt:lpstr>Evaluationsheet!Print_Area</vt:lpstr>
      <vt:lpstr>'L1 - Project management'!Print_Area</vt:lpstr>
      <vt:lpstr>'L2 - Planning'!Print_Area</vt:lpstr>
      <vt:lpstr>'L3 - Suppliermgt.'!Print_Area</vt:lpstr>
      <vt:lpstr>'L4 - Procurement logistics'!Print_Area</vt:lpstr>
      <vt:lpstr>'L5 - Transport logistics'!Print_Area</vt:lpstr>
      <vt:lpstr>'L6 -  In-house logistics'!Print_Area</vt:lpstr>
      <vt:lpstr>'L7 - Customer management'!Print_Area</vt:lpstr>
      <vt:lpstr>'Link list'!Print_Area</vt:lpstr>
      <vt:lpstr>LOP!Print_Area</vt:lpstr>
      <vt:lpstr>'Radar chart'!Print_Area</vt:lpstr>
      <vt:lpstr>Remarks!Print_Area</vt:lpstr>
      <vt:lpstr>'Link list'!Print_Titles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Li Jiajun</cp:lastModifiedBy>
  <cp:revision/>
  <cp:lastPrinted>2026-04-07T07:53:44Z</cp:lastPrinted>
  <dcterms:created xsi:type="dcterms:W3CDTF">2024-07-09T11:00:55Z</dcterms:created>
  <dcterms:modified xsi:type="dcterms:W3CDTF">2026-08-10T05:13:19Z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y fmtid="{D5CDD505-2E9C-101B-9397-08002B2CF9AE}" pid="5" name="MSIP_Label_126ea00b-4117-42cd-b507-4f042240423e_Enabled">
    <vt:lpwstr>true</vt:lpwstr>
  </property>
  <property fmtid="{D5CDD505-2E9C-101B-9397-08002B2CF9AE}" pid="6" name="MSIP_Label_126ea00b-4117-42cd-b507-4f042240423e_SetDate">
    <vt:lpwstr>2026-01-23T06:05:16Z</vt:lpwstr>
  </property>
  <property fmtid="{D5CDD505-2E9C-101B-9397-08002B2CF9AE}" pid="7" name="MSIP_Label_126ea00b-4117-42cd-b507-4f042240423e_Method">
    <vt:lpwstr>Standard</vt:lpwstr>
  </property>
  <property fmtid="{D5CDD505-2E9C-101B-9397-08002B2CF9AE}" pid="8" name="MSIP_Label_126ea00b-4117-42cd-b507-4f042240423e_Name">
    <vt:lpwstr>Internal</vt:lpwstr>
  </property>
  <property fmtid="{D5CDD505-2E9C-101B-9397-08002B2CF9AE}" pid="9" name="MSIP_Label_126ea00b-4117-42cd-b507-4f042240423e_SiteId">
    <vt:lpwstr>3d7c7980-9f6d-438d-8e73-5159b3d6b689</vt:lpwstr>
  </property>
  <property fmtid="{D5CDD505-2E9C-101B-9397-08002B2CF9AE}" pid="10" name="MSIP_Label_126ea00b-4117-42cd-b507-4f042240423e_ActionId">
    <vt:lpwstr>25b6a79c-9edc-4a19-9e6c-fdd9290d79d3</vt:lpwstr>
  </property>
  <property fmtid="{D5CDD505-2E9C-101B-9397-08002B2CF9AE}" pid="11" name="MSIP_Label_126ea00b-4117-42cd-b507-4f042240423e_ContentBits">
    <vt:lpwstr>2</vt:lpwstr>
  </property>
  <property fmtid="{D5CDD505-2E9C-101B-9397-08002B2CF9AE}" pid="12" name="MSIP_Label_126ea00b-4117-42cd-b507-4f042240423e_Tag">
    <vt:lpwstr>10, 3, 0, 1</vt:lpwstr>
  </property>
</Properties>
</file>